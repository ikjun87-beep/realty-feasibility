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840" tabRatio="641" activeTab="1"/>
  </bookViews>
  <sheets>
    <sheet name="분양개요" sheetId="36" r:id="rId1"/>
    <sheet name="사업수지표" sheetId="18" r:id="rId2"/>
    <sheet name="현금흐름표" sheetId="35" r:id="rId3"/>
    <sheet name="Exit 분양률" sheetId="40" r:id="rId4"/>
    <sheet name="자금판-HF" sheetId="37" state="hidden" r:id="rId5"/>
    <sheet name="할인분양 계산" sheetId="39" state="hidden" r:id="rId6"/>
    <sheet name="IRR 계산" sheetId="41" r:id="rId7"/>
    <sheet name="공정률" sheetId="4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q45" localSheetId="3" hidden="1">{"'용역비'!$A$4:$C$8"}</definedName>
    <definedName name="______q45" hidden="1">{"'용역비'!$A$4:$C$8"}</definedName>
    <definedName name="_____q45" localSheetId="3" hidden="1">{"'용역비'!$A$4:$C$8"}</definedName>
    <definedName name="_____q45" hidden="1">{"'용역비'!$A$4:$C$8"}</definedName>
    <definedName name="____CSA8" localSheetId="3">'[1]INPUT(덕도방향-시점)'!#REF!</definedName>
    <definedName name="____CSA8">'[1]INPUT(덕도방향-시점)'!#REF!</definedName>
    <definedName name="____HSH1" localSheetId="3">#REF!</definedName>
    <definedName name="____HSH1">#REF!</definedName>
    <definedName name="____HSH2">#REF!</definedName>
    <definedName name="____NP1">#REF!</definedName>
    <definedName name="____NP2">#REF!</definedName>
    <definedName name="____NSH1">#REF!</definedName>
    <definedName name="____NSH2">#REF!</definedName>
    <definedName name="____pl1">#REF!</definedName>
    <definedName name="____PL2">#REF!</definedName>
    <definedName name="____PL3">#REF!</definedName>
    <definedName name="____q45" localSheetId="3" hidden="1">{"'용역비'!$A$4:$C$8"}</definedName>
    <definedName name="____q45" hidden="1">{"'용역비'!$A$4:$C$8"}</definedName>
    <definedName name="____SBB1">#REF!</definedName>
    <definedName name="____SBB2">#REF!</definedName>
    <definedName name="____SBB3">#REF!</definedName>
    <definedName name="____SBB4">#REF!</definedName>
    <definedName name="____SBB5">#REF!</definedName>
    <definedName name="____SHH1">#REF!</definedName>
    <definedName name="____SHH2">#REF!</definedName>
    <definedName name="____SHH3">#REF!</definedName>
    <definedName name="____TW2">#REF!</definedName>
    <definedName name="___CSA8" localSheetId="3">'[1]INPUT(덕도방향-시점)'!#REF!</definedName>
    <definedName name="___CSA8">'[1]INPUT(덕도방향-시점)'!#REF!</definedName>
    <definedName name="___HSH1">#REF!</definedName>
    <definedName name="___HSH2">#REF!</definedName>
    <definedName name="___NP1">#REF!</definedName>
    <definedName name="___NP2">#REF!</definedName>
    <definedName name="___NSH1">#REF!</definedName>
    <definedName name="___NSH2">#REF!</definedName>
    <definedName name="___pl1">#REF!</definedName>
    <definedName name="___PL2">#REF!</definedName>
    <definedName name="___PL3">#REF!</definedName>
    <definedName name="___q45" localSheetId="3" hidden="1">{"'용역비'!$A$4:$C$8"}</definedName>
    <definedName name="___q45" hidden="1">{"'용역비'!$A$4:$C$8"}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HH1">#REF!</definedName>
    <definedName name="___SHH2">#REF!</definedName>
    <definedName name="___SHH3">#REF!</definedName>
    <definedName name="___TW2">#REF!</definedName>
    <definedName name="__CSA8" localSheetId="3">'[1]INPUT(덕도방향-시점)'!#REF!</definedName>
    <definedName name="__CSA8">'[1]INPUT(덕도방향-시점)'!#REF!</definedName>
    <definedName name="__HSH1">#REF!</definedName>
    <definedName name="__HSH2">#REF!</definedName>
    <definedName name="__NP1">#REF!</definedName>
    <definedName name="__NP2">#REF!</definedName>
    <definedName name="__NSH1">#REF!</definedName>
    <definedName name="__NSH2">#REF!</definedName>
    <definedName name="__pl1">#REF!</definedName>
    <definedName name="__PL2">#REF!</definedName>
    <definedName name="__PL3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HH1">#REF!</definedName>
    <definedName name="__SHH2">#REF!</definedName>
    <definedName name="__SHH3">#REF!</definedName>
    <definedName name="__TW2">#REF!</definedName>
    <definedName name="_2q45_" localSheetId="3" hidden="1">{"'용역비'!$A$4:$C$8"}</definedName>
    <definedName name="_2q45_" hidden="1">{"'용역비'!$A$4:$C$8"}</definedName>
    <definedName name="_6차">#REF!</definedName>
    <definedName name="_CSA8" localSheetId="3">'[1]INPUT(덕도방향-시점)'!#REF!</definedName>
    <definedName name="_CSA8">'[1]INPUT(덕도방향-시점)'!#REF!</definedName>
    <definedName name="_Fill" hidden="1">#REF!</definedName>
    <definedName name="_HSH1">#REF!</definedName>
    <definedName name="_HSH2">#REF!</definedName>
    <definedName name="_Key1" localSheetId="3" hidden="1">'[2]#REF'!#REF!</definedName>
    <definedName name="_Key1" hidden="1">'[2]#REF'!#REF!</definedName>
    <definedName name="_Key2" localSheetId="3" hidden="1">'[2]#REF'!#REF!</definedName>
    <definedName name="_Key2" hidden="1">'[2]#REF'!#REF!</definedName>
    <definedName name="_NP1">#REF!</definedName>
    <definedName name="_NP2">#REF!</definedName>
    <definedName name="_NSH1">#REF!</definedName>
    <definedName name="_NSH2">#REF!</definedName>
    <definedName name="_Order1" hidden="1">255</definedName>
    <definedName name="_Order2" hidden="1">255</definedName>
    <definedName name="_pl1">#REF!</definedName>
    <definedName name="_PL2">#REF!</definedName>
    <definedName name="_PL3">#REF!</definedName>
    <definedName name="_q45" localSheetId="3" hidden="1">{"'용역비'!$A$4:$C$8"}</definedName>
    <definedName name="_q45" hidden="1">{"'용역비'!$A$4:$C$8"}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HH1">#REF!</definedName>
    <definedName name="_SHH2">#REF!</definedName>
    <definedName name="_SHH3">#REF!</definedName>
    <definedName name="_Sort" hidden="1">#REF!</definedName>
    <definedName name="_TW2">#REF!</definedName>
    <definedName name="\a">#N/A</definedName>
    <definedName name="\b">#N/A</definedName>
    <definedName name="\p">#REF!</definedName>
    <definedName name="A">#REF!</definedName>
    <definedName name="A1시청방향">[3]교대일반수량!$AA$87</definedName>
    <definedName name="aaa" localSheetId="3" hidden="1">{#N/A,#N/A,FALSE,"속도"}</definedName>
    <definedName name="aaa" hidden="1">{#N/A,#N/A,FALSE,"속도"}</definedName>
    <definedName name="Æo°¡Au">#REF!</definedName>
    <definedName name="Æo°¡Au2">#REF!</definedName>
    <definedName name="Æo°¡EA">#REF!</definedName>
    <definedName name="Æo°¡EA2">#REF!</definedName>
    <definedName name="asd">[4]Sheet1!#REF!</definedName>
    <definedName name="B">#REF!</definedName>
    <definedName name="B1A">#REF!</definedName>
    <definedName name="B1B">#REF!</definedName>
    <definedName name="B1WL">#REF!</definedName>
    <definedName name="B1WR">#REF!</definedName>
    <definedName name="B2A">#REF!</definedName>
    <definedName name="B2B">#REF!</definedName>
    <definedName name="B2WL">#REF!</definedName>
    <definedName name="B2WR">#REF!</definedName>
    <definedName name="B3A">#REF!</definedName>
    <definedName name="B3B">#REF!</definedName>
    <definedName name="B4A">#REF!</definedName>
    <definedName name="B4B">#REF!</definedName>
    <definedName name="B5A">#REF!</definedName>
    <definedName name="B5B">#REF!</definedName>
    <definedName name="B6A">#REF!</definedName>
    <definedName name="B6B">#REF!</definedName>
    <definedName name="B7A">#REF!</definedName>
    <definedName name="B7B">#REF!</definedName>
    <definedName name="B8A">#REF!</definedName>
    <definedName name="BA">#REF!</definedName>
    <definedName name="BC">#REF!</definedName>
    <definedName name="BF">#REF!</definedName>
    <definedName name="BHU">#REF!</definedName>
    <definedName name="BMO">#REF!</definedName>
    <definedName name="bnm">[4]Sheet1!#REF!</definedName>
    <definedName name="BSH">#REF!</definedName>
    <definedName name="CASH3" localSheetId="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CASH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cgmh" localSheetId="3" hidden="1">{"'용역비'!$A$4:$C$8"}</definedName>
    <definedName name="cgmh" hidden="1">{"'용역비'!$A$4:$C$8"}</definedName>
    <definedName name="Conc160">#REF!</definedName>
    <definedName name="Conc240">#REF!</definedName>
    <definedName name="CPU">'[6]콤보박스와 리스트박스의 연결'!$H$6:$H$7</definedName>
    <definedName name="_xlnm.Criteria">'[7]1995년 섹터별 매출'!#REF!</definedName>
    <definedName name="D">#REF!</definedName>
    <definedName name="DC">#REF!</definedName>
    <definedName name="ddd">[4]Sheet1!#REF!</definedName>
    <definedName name="ddddd" hidden="1">'[2]#REF'!$A$6:$A$216</definedName>
    <definedName name="DF">#REF!</definedName>
    <definedName name="dfg">[4]Sheet1!#REF!</definedName>
    <definedName name="dhj" localSheetId="3" hidden="1">{"'용역비'!$A$4:$C$8"}</definedName>
    <definedName name="dhj" hidden="1">{"'용역비'!$A$4:$C$8"}</definedName>
    <definedName name="DIA">#REF!</definedName>
    <definedName name="DPI">#REF!</definedName>
    <definedName name="edc">[4]Sheet1!#REF!</definedName>
    <definedName name="ej" localSheetId="3" hidden="1">{"'용역비'!$A$4:$C$8"}</definedName>
    <definedName name="ej" hidden="1">{"'용역비'!$A$4:$C$8"}</definedName>
    <definedName name="ert">[4]Sheet1!#REF!</definedName>
    <definedName name="ertyertye" localSheetId="3" hidden="1">{"'용역비'!$A$4:$C$8"}</definedName>
    <definedName name="ertyertye" hidden="1">{"'용역비'!$A$4:$C$8"}</definedName>
    <definedName name="etyj" localSheetId="3" hidden="1">{"'용역비'!$A$4:$C$8"}</definedName>
    <definedName name="etyj" hidden="1">{"'용역비'!$A$4:$C$8"}</definedName>
    <definedName name="etyjj" localSheetId="3" hidden="1">{"'용역비'!$A$4:$C$8"}</definedName>
    <definedName name="etyjj" hidden="1">{"'용역비'!$A$4:$C$8"}</definedName>
    <definedName name="Excel_BuiltIn_Print_Area_2">#REF!</definedName>
    <definedName name="F1F">#REF!</definedName>
    <definedName name="F2F">#REF!</definedName>
    <definedName name="F3F">#REF!</definedName>
    <definedName name="fdjk" localSheetId="3" hidden="1">{#N/A,#N/A,FALSE,"골재소요량";#N/A,#N/A,FALSE,"골재소요량"}</definedName>
    <definedName name="fdjk" hidden="1">{#N/A,#N/A,FALSE,"골재소요량";#N/A,#N/A,FALSE,"골재소요량"}</definedName>
    <definedName name="fgh">[4]Sheet1!#REF!</definedName>
    <definedName name="FK" localSheetId="3" hidden="1">{"'용역비'!$A$4:$C$8"}</definedName>
    <definedName name="FK" hidden="1">{"'용역비'!$A$4:$C$8"}</definedName>
    <definedName name="FN">#REF!</definedName>
    <definedName name="form_dump">#REF!</definedName>
    <definedName name="form_footing">#REF!</definedName>
    <definedName name="form0">#REF!</definedName>
    <definedName name="form1">#REF!</definedName>
    <definedName name="form10">#REF!</definedName>
    <definedName name="form2">#REF!</definedName>
    <definedName name="form3">#REF!</definedName>
    <definedName name="form7">#REF!</definedName>
    <definedName name="H">'[8]상 부'!#REF!</definedName>
    <definedName name="H1C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C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H">#REF!</definedName>
    <definedName name="H4L">#REF!</definedName>
    <definedName name="H4R">#REF!</definedName>
    <definedName name="H5L">#REF!</definedName>
    <definedName name="H5R">#REF!</definedName>
    <definedName name="H6L">#REF!</definedName>
    <definedName name="H6R">#REF!</definedName>
    <definedName name="H7L">#REF!</definedName>
    <definedName name="H7R">#REF!</definedName>
    <definedName name="H9A">#REF!</definedName>
    <definedName name="HF">#REF!</definedName>
    <definedName name="HH">#REF!</definedName>
    <definedName name="HHH">#REF!</definedName>
    <definedName name="HL">#REF!</definedName>
    <definedName name="HP">#REF!</definedName>
    <definedName name="HR">#REF!</definedName>
    <definedName name="HS">#REF!</definedName>
    <definedName name="HSH">#REF!</definedName>
    <definedName name="HTML_CodePage" hidden="1">949</definedName>
    <definedName name="HTML_Control" localSheetId="3" hidden="1">{"'용역비'!$A$4:$C$8"}</definedName>
    <definedName name="HTML_Control" hidden="1">{"'용역비'!$A$4:$C$8"}</definedName>
    <definedName name="HTML_Description" hidden="1">""</definedName>
    <definedName name="HTML_Email" hidden="1">""</definedName>
    <definedName name="HTML_Header" hidden="1">"용역비"</definedName>
    <definedName name="HTML_LastUpdate" hidden="1">"99-07-01"</definedName>
    <definedName name="HTML_LineAfter" hidden="1">FALSE</definedName>
    <definedName name="HTML_LineBefore" hidden="1">FALSE</definedName>
    <definedName name="HTML_Name" hidden="1">"전산실"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"전체금액"</definedName>
    <definedName name="HWL">#REF!</definedName>
    <definedName name="HWR">#REF!</definedName>
    <definedName name="I57rrr">'[9]06-BATCH '!#REF!</definedName>
    <definedName name="J" localSheetId="3" hidden="1">{"'용역비'!$A$4:$C$8"}</definedName>
    <definedName name="J" hidden="1">{"'용역비'!$A$4:$C$8"}</definedName>
    <definedName name="ja">'[10]L형옹벽(key)'!$AW$3</definedName>
    <definedName name="jb">'[10]L형옹벽(key)'!$AW$4</definedName>
    <definedName name="jc">'[10]L형옹벽(key)'!$AW$5</definedName>
    <definedName name="jd">'[10]L형옹벽(key)'!$AW$6</definedName>
    <definedName name="je">'[10]L형옹벽(key)'!$AW$7</definedName>
    <definedName name="jf">'[10]L형옹벽(key)'!$AW$8</definedName>
    <definedName name="jg">'[10]L형옹벽(key)'!$AW$9</definedName>
    <definedName name="jh">'[10]L형옹벽(key)'!$AW$10</definedName>
    <definedName name="ji">'[10]L형옹벽(key)'!$AW$11</definedName>
    <definedName name="jj">'[10]L형옹벽(key)'!$AW$12</definedName>
    <definedName name="jk">'[10]L형옹벽(key)'!$AW$13</definedName>
    <definedName name="k" localSheetId="3" hidden="1">{#N/A,#N/A,FALSE,"조골재"}</definedName>
    <definedName name="k" hidden="1">{#N/A,#N/A,FALSE,"조골재"}</definedName>
    <definedName name="L">#REF!</definedName>
    <definedName name="L1L">#REF!</definedName>
    <definedName name="L2L">#REF!</definedName>
    <definedName name="L3L">#REF!</definedName>
    <definedName name="L4L">#REF!</definedName>
    <definedName name="LA">#REF!</definedName>
    <definedName name="li" localSheetId="3" hidden="1">{"'용역비'!$A$4:$C$8"}</definedName>
    <definedName name="li" hidden="1">{"'용역비'!$A$4:$C$8"}</definedName>
    <definedName name="LMO">#REF!</definedName>
    <definedName name="LPI">#REF!</definedName>
    <definedName name="LSH">#REF!</definedName>
    <definedName name="MM" localSheetId="3" hidden="1">{#N/A,#N/A,FALSE,"단가표지"}</definedName>
    <definedName name="MM" hidden="1">{#N/A,#N/A,FALSE,"단가표지"}</definedName>
    <definedName name="N1S">#REF!</definedName>
    <definedName name="N2S">#REF!</definedName>
    <definedName name="N3S">#REF!</definedName>
    <definedName name="NDO">#REF!</definedName>
    <definedName name="NPI">#REF!</definedName>
    <definedName name="NSH">#REF!</definedName>
    <definedName name="NSO">#REF!</definedName>
    <definedName name="OIL" localSheetId="3" hidden="1">{"'용역비'!$A$4:$C$8"}</definedName>
    <definedName name="OIL" hidden="1">{"'용역비'!$A$4:$C$8"}</definedName>
    <definedName name="OP">#REF!</definedName>
    <definedName name="PL">#REF!</definedName>
    <definedName name="PN">#REF!</definedName>
    <definedName name="_xlnm.Print_Area" localSheetId="0">분양개요!$A$1:$N$72</definedName>
    <definedName name="_xlnm.Print_Area" localSheetId="1">사업수지표!$A$1:$BW$93</definedName>
    <definedName name="_xlnm.Print_Area" localSheetId="2">현금흐름표!$A$1:$BY$136</definedName>
    <definedName name="_xlnm.Print_Area">[11]평가보고서!$A$1:$M$58</definedName>
    <definedName name="PRINT_AREA_MI" localSheetId="3">#REF!</definedName>
    <definedName name="PRINT_AREA_MI">#REF!</definedName>
    <definedName name="_xlnm.Print_Titles" localSheetId="2">현금흐름표!$A:$N,현금흐름표!$1:$6</definedName>
    <definedName name="_xlnm.Print_Titles">[11]Sheet1!$A:$A</definedName>
    <definedName name="Print_Titles_MI" localSheetId="3">#REF!</definedName>
    <definedName name="Print_Titles_MI">#REF!</definedName>
    <definedName name="PT" localSheetId="3">#REF!</definedName>
    <definedName name="PT">#REF!</definedName>
    <definedName name="Q" localSheetId="3">#REF!</definedName>
    <definedName name="Q">#REF!</definedName>
    <definedName name="q234562456" localSheetId="3" hidden="1">{"'용역비'!$A$4:$C$8"}</definedName>
    <definedName name="q234562456" hidden="1">{"'용역비'!$A$4:$C$8"}</definedName>
    <definedName name="QA" localSheetId="3" hidden="1">{"'용역비'!$A$4:$C$8"}</definedName>
    <definedName name="QA" hidden="1">{"'용역비'!$A$4:$C$8"}</definedName>
    <definedName name="qaz" localSheetId="3">[4]Sheet1!#REF!</definedName>
    <definedName name="qaz">[4]Sheet1!#REF!</definedName>
    <definedName name="qqq" localSheetId="3">[4]Sheet1!#REF!</definedName>
    <definedName name="qqq">[4]Sheet1!#REF!</definedName>
    <definedName name="QW" localSheetId="3" hidden="1">{#N/A,#N/A,FALSE,"배수2"}</definedName>
    <definedName name="QW" hidden="1">{#N/A,#N/A,FALSE,"배수2"}</definedName>
    <definedName name="qwe">[4]Sheet1!#REF!</definedName>
    <definedName name="qyk" localSheetId="3" hidden="1">{"'용역비'!$A$4:$C$8"}</definedName>
    <definedName name="qyk" hidden="1">{"'용역비'!$A$4:$C$8"}</definedName>
    <definedName name="rfv">[4]Sheet1!#REF!</definedName>
    <definedName name="RH" localSheetId="3" hidden="1">{"'용역비'!$A$4:$C$8"}</definedName>
    <definedName name="RH" hidden="1">{"'용역비'!$A$4:$C$8"}</definedName>
    <definedName name="RRR" localSheetId="3" hidden="1">{#N/A,#N/A,FALSE,"포장2"}</definedName>
    <definedName name="RRR" hidden="1">{#N/A,#N/A,FALSE,"포장2"}</definedName>
    <definedName name="rth" localSheetId="3" hidden="1">{"'용역비'!$A$4:$C$8"}</definedName>
    <definedName name="rth" hidden="1">{"'용역비'!$A$4:$C$8"}</definedName>
    <definedName name="rty" localSheetId="3" hidden="1">{"'용역비'!$A$4:$C$8"}</definedName>
    <definedName name="rty" hidden="1">{"'용역비'!$A$4:$C$8"}</definedName>
    <definedName name="ryuk" localSheetId="3" hidden="1">{"'용역비'!$A$4:$C$8"}</definedName>
    <definedName name="ryuk" hidden="1">{"'용역비'!$A$4:$C$8"}</definedName>
    <definedName name="S">#REF!</definedName>
    <definedName name="S2L">#REF!</definedName>
    <definedName name="SDCFG\" localSheetId="3" hidden="1">{#N/A,#N/A,FALSE,"운반시간"}</definedName>
    <definedName name="SDCFG\" hidden="1">{#N/A,#N/A,FALSE,"운반시간"}</definedName>
    <definedName name="sdf">[4]Sheet1!#REF!</definedName>
    <definedName name="sdryhj" localSheetId="3" hidden="1">{"'용역비'!$A$4:$C$8"}</definedName>
    <definedName name="sdryhj" hidden="1">{"'용역비'!$A$4:$C$8"}</definedName>
    <definedName name="SE" localSheetId="3" hidden="1">{"'용역비'!$A$4:$C$8"}</definedName>
    <definedName name="SE" hidden="1">{"'용역비'!$A$4:$C$8"}</definedName>
    <definedName name="SH" localSheetId="3">CHOOSE(#REF!,주거시설,종교시설,의료시설,업무시설,청북지구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SH">CHOOSE(#REF!,주거시설,종교시설,의료시설,업무시설,청북지구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sheet" localSheetId="3" hidden="1">{#N/A,#N/A,FALSE,"골재소요량";#N/A,#N/A,FALSE,"골재소요량"}</definedName>
    <definedName name="sheet" hidden="1">{#N/A,#N/A,FALSE,"골재소요량";#N/A,#N/A,FALSE,"골재소요량"}</definedName>
    <definedName name="SHT">#REF!</definedName>
    <definedName name="SK">#REF!</definedName>
    <definedName name="SKE">#REF!</definedName>
    <definedName name="SOIL">#REF!</definedName>
    <definedName name="srth" localSheetId="3" hidden="1">{"'용역비'!$A$4:$C$8"}</definedName>
    <definedName name="srth" hidden="1">{"'용역비'!$A$4:$C$8"}</definedName>
    <definedName name="SS">#REF!</definedName>
    <definedName name="STS" localSheetId="3" hidden="1">{"'용역비'!$A$4:$C$8"}</definedName>
    <definedName name="STS" hidden="1">{"'용역비'!$A$4:$C$8"}</definedName>
    <definedName name="SWL">#REF!</definedName>
    <definedName name="SWR">#REF!</definedName>
    <definedName name="T">#REF!</definedName>
    <definedName name="T1S">#REF!</definedName>
    <definedName name="T2S">#REF!</definedName>
    <definedName name="T3S">#REF!</definedName>
    <definedName name="TFUI" localSheetId="3" hidden="1">{"'용역비'!$A$4:$C$8"}</definedName>
    <definedName name="TFUI" hidden="1">{"'용역비'!$A$4:$C$8"}</definedName>
    <definedName name="tgb">[4]Sheet1!#REF!</definedName>
    <definedName name="TMO">#REF!</definedName>
    <definedName name="tu" localSheetId="3" hidden="1">{"'용역비'!$A$4:$C$8"}</definedName>
    <definedName name="tu" hidden="1">{"'용역비'!$A$4:$C$8"}</definedName>
    <definedName name="tuilol" localSheetId="3" hidden="1">{"'용역비'!$A$4:$C$8"}</definedName>
    <definedName name="tuilol" hidden="1">{"'용역비'!$A$4:$C$8"}</definedName>
    <definedName name="TW">#REF!</definedName>
    <definedName name="TWI">#REF!</definedName>
    <definedName name="TWL">#REF!</definedName>
    <definedName name="TWR">#REF!</definedName>
    <definedName name="TYJ" localSheetId="3" hidden="1">{"'용역비'!$A$4:$C$8"}</definedName>
    <definedName name="TYJ" hidden="1">{"'용역비'!$A$4:$C$8"}</definedName>
    <definedName name="tyje" localSheetId="3" hidden="1">{"'용역비'!$A$4:$C$8"}</definedName>
    <definedName name="tyje" hidden="1">{"'용역비'!$A$4:$C$8"}</definedName>
    <definedName name="tyjet" localSheetId="3" hidden="1">{"'용역비'!$A$4:$C$8"}</definedName>
    <definedName name="tyjet" hidden="1">{"'용역비'!$A$4:$C$8"}</definedName>
    <definedName name="tyu" localSheetId="3" hidden="1">{"'용역비'!$A$4:$C$8"}</definedName>
    <definedName name="tyu" hidden="1">{"'용역비'!$A$4:$C$8"}</definedName>
    <definedName name="U" localSheetId="3" hidden="1">{"'용역비'!$A$4:$C$8"}</definedName>
    <definedName name="U" hidden="1">{"'용역비'!$A$4:$C$8"}</definedName>
    <definedName name="UD">[12]시청방향슬래브수량!#REF!</definedName>
    <definedName name="ujm">[4]Sheet1!#REF!</definedName>
    <definedName name="ulo" localSheetId="3" hidden="1">{"'용역비'!$A$4:$C$8"}</definedName>
    <definedName name="ulo" hidden="1">{"'용역비'!$A$4:$C$8"}</definedName>
    <definedName name="uu" localSheetId="3" hidden="1">{"'용역비'!$A$4:$C$8"}</definedName>
    <definedName name="uu" hidden="1">{"'용역비'!$A$4:$C$8"}</definedName>
    <definedName name="vbn">[4]Sheet1!#REF!</definedName>
    <definedName name="WA">#REF!</definedName>
    <definedName name="WB">'[8]상 부'!#REF!</definedName>
    <definedName name="WBB">#REF!</definedName>
    <definedName name="WC">#REF!</definedName>
    <definedName name="wer">[4]Sheet1!#REF!</definedName>
    <definedName name="WF">#REF!</definedName>
    <definedName name="WH">#REF!</definedName>
    <definedName name="WL">#REF!</definedName>
    <definedName name="WN">#REF!</definedName>
    <definedName name="wrn.2번." localSheetId="3" hidden="1">{#N/A,#N/A,FALSE,"2~8번"}</definedName>
    <definedName name="wrn.2번." hidden="1">{#N/A,#N/A,FALSE,"2~8번"}</definedName>
    <definedName name="wrn.골재소요량." localSheetId="3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3" hidden="1">{#N/A,#N/A,FALSE,"구조2"}</definedName>
    <definedName name="wrn.구조2." hidden="1">{#N/A,#N/A,FALSE,"구조2"}</definedName>
    <definedName name="wrn.단가표지." localSheetId="3" hidden="1">{#N/A,#N/A,FALSE,"단가표지"}</definedName>
    <definedName name="wrn.단가표지." hidden="1">{#N/A,#N/A,FALSE,"단가표지"}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운반시간." localSheetId="3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hidden="1">{#N/A,#N/A,FALSE,"이정표"}</definedName>
    <definedName name="wrn.조골재." localSheetId="3" hidden="1">{#N/A,#N/A,FALSE,"조골재"}</definedName>
    <definedName name="wrn.조골재." hidden="1">{#N/A,#N/A,FALSE,"조골재"}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표지목차." localSheetId="3" hidden="1">{#N/A,#N/A,FALSE,"표지목차"}</definedName>
    <definedName name="wrn.표지목차." hidden="1">{#N/A,#N/A,FALSE,"표지목차"}</definedName>
    <definedName name="wrn.혼합골재." localSheetId="3" hidden="1">{#N/A,#N/A,FALSE,"혼합골재"}</definedName>
    <definedName name="wrn.혼합골재." hidden="1">{#N/A,#N/A,FALSE,"혼합골재"}</definedName>
    <definedName name="wrty" localSheetId="3" hidden="1">{"'용역비'!$A$4:$C$8"}</definedName>
    <definedName name="wrty" hidden="1">{"'용역비'!$A$4:$C$8"}</definedName>
    <definedName name="wrtyrtyrt" localSheetId="3" hidden="1">{"'용역비'!$A$4:$C$8"}</definedName>
    <definedName name="wrtyrtyrt" hidden="1">{"'용역비'!$A$4:$C$8"}</definedName>
    <definedName name="wrtywrtywr" localSheetId="3" hidden="1">{"'용역비'!$A$4:$C$8"}</definedName>
    <definedName name="wrtywrtywr" hidden="1">{"'용역비'!$A$4:$C$8"}</definedName>
    <definedName name="WSO">#REF!</definedName>
    <definedName name="wsx">[4]Sheet1!#REF!</definedName>
    <definedName name="wuy" localSheetId="3" hidden="1">{"'용역비'!$A$4:$C$8"}</definedName>
    <definedName name="wuy" hidden="1">{"'용역비'!$A$4:$C$8"}</definedName>
    <definedName name="www">[4]Sheet1!#REF!</definedName>
    <definedName name="x" localSheetId="3" hidden="1">{#N/A,#N/A,FALSE,"운반시간"}</definedName>
    <definedName name="x" hidden="1">{#N/A,#N/A,FALSE,"운반시간"}</definedName>
    <definedName name="xcv">[4]Sheet1!#REF!</definedName>
    <definedName name="y" localSheetId="3" hidden="1">{"'용역비'!$A$4:$C$8"}</definedName>
    <definedName name="y" hidden="1">{"'용역비'!$A$4:$C$8"}</definedName>
    <definedName name="YFU" localSheetId="3" hidden="1">{"'용역비'!$A$4:$C$8"}</definedName>
    <definedName name="YFU" hidden="1">{"'용역비'!$A$4:$C$8"}</definedName>
    <definedName name="yhn">[4]Sheet1!#REF!</definedName>
    <definedName name="YL" localSheetId="3" hidden="1">{"'용역비'!$A$4:$C$8"}</definedName>
    <definedName name="YL" hidden="1">{"'용역비'!$A$4:$C$8"}</definedName>
    <definedName name="yu" localSheetId="3" hidden="1">{"'용역비'!$A$4:$C$8"}</definedName>
    <definedName name="yu" hidden="1">{"'용역비'!$A$4:$C$8"}</definedName>
    <definedName name="YUK" localSheetId="3" hidden="1">{"'용역비'!$A$4:$C$8"}</definedName>
    <definedName name="YUK" hidden="1">{"'용역비'!$A$4:$C$8"}</definedName>
    <definedName name="zxc">[4]Sheet1!#REF!</definedName>
    <definedName name="ㄱ" localSheetId="3" hidden="1">{"'용역비'!$A$4:$C$8"}</definedName>
    <definedName name="ㄱ" hidden="1">{"'용역비'!$A$4:$C$8"}</definedName>
    <definedName name="ㄱ1">#REF!</definedName>
    <definedName name="ㄱ2">#REF!</definedName>
    <definedName name="ㄱㄱ" localSheetId="3" hidden="1">{"'용역비'!$A$4:$C$8"}</definedName>
    <definedName name="ㄱㄱ" hidden="1">{"'용역비'!$A$4:$C$8"}</definedName>
    <definedName name="ㄱㄱㄱ" localSheetId="3" hidden="1">{"'용역비'!$A$4:$C$8"}</definedName>
    <definedName name="ㄱㄱㄱ" hidden="1">{"'용역비'!$A$4:$C$8"}</definedName>
    <definedName name="ㄱㄱㄱㄱㄱ" localSheetId="3" hidden="1">{"'용역비'!$A$4:$C$8"}</definedName>
    <definedName name="ㄱㄱㄱㄱㄱ" hidden="1">{"'용역비'!$A$4:$C$8"}</definedName>
    <definedName name="ㄱㄱㄱㄱㄱㄱ" localSheetId="3" hidden="1">{"'용역비'!$A$4:$C$8"}</definedName>
    <definedName name="ㄱㄱㄱㄱㄱㄱ" hidden="1">{"'용역비'!$A$4:$C$8"}</definedName>
    <definedName name="ㄱㅎ" localSheetId="3" hidden="1">{"'용역비'!$A$4:$C$8"}</definedName>
    <definedName name="ㄱㅎ" hidden="1">{"'용역비'!$A$4:$C$8"}</definedName>
    <definedName name="강경욱" localSheetId="3" hidden="1">{#N/A,#N/A,FALSE,"골재소요량";#N/A,#N/A,FALSE,"골재소요량"}</definedName>
    <definedName name="강경욱" hidden="1">{#N/A,#N/A,FALSE,"골재소요량";#N/A,#N/A,FALSE,"골재소요량"}</definedName>
    <definedName name="강관철근221">'[13]대창(함평)'!$AL$584</definedName>
    <definedName name="경비율" localSheetId="3">#REF!</definedName>
    <definedName name="경비율">#REF!</definedName>
    <definedName name="경비집계" localSheetId="3" hidden="1">{"'용역비'!$A$4:$C$8"}</definedName>
    <definedName name="경비집계" hidden="1">{"'용역비'!$A$4:$C$8"}</definedName>
    <definedName name="계">#REF!</definedName>
    <definedName name="공공용시설">[5]건축개요!$C$150</definedName>
    <definedName name="공공총면적">#REF!</definedName>
    <definedName name="공장">[5]건축개요!$C$133</definedName>
    <definedName name="관광휴게시설">[5]건축개요!$C$139:$C$140</definedName>
    <definedName name="관람집회">[5]건축개요!$C$120:$C$121</definedName>
    <definedName name="관련시설">[5]건축개요!$C$129:$C$131</definedName>
    <definedName name="교대펄근집계" localSheetId="3" hidden="1">{#N/A,#N/A,FALSE,"배수1"}</definedName>
    <definedName name="교대펄근집계" hidden="1">{#N/A,#N/A,FALSE,"배수1"}</definedName>
    <definedName name="교육연구시설">[5]건축개요!$C$134:$C$135</definedName>
    <definedName name="근린생활시설">[5]건축개요!$C$144:$C$145</definedName>
    <definedName name="기타경비" localSheetId="3" hidden="1">{"'용역비'!$A$4:$C$8"}</definedName>
    <definedName name="기타경비" hidden="1">{"'용역비'!$A$4:$C$8"}</definedName>
    <definedName name="ㄳㄱ" localSheetId="3" hidden="1">{"'용역비'!$A$4:$C$8"}</definedName>
    <definedName name="ㄳㄱ" hidden="1">{"'용역비'!$A$4:$C$8"}</definedName>
    <definedName name="ㄳㄳㄳㄳ" localSheetId="3" hidden="1">{"'용역비'!$A$4:$C$8"}</definedName>
    <definedName name="ㄳㄳㄳㄳ" hidden="1">{"'용역비'!$A$4:$C$8"}</definedName>
    <definedName name="ㄴ1">#REF!</definedName>
    <definedName name="ㄴ2">#REF!</definedName>
    <definedName name="ㄴㄴ" localSheetId="3" hidden="1">{"'용역비'!$A$4:$C$8"}</definedName>
    <definedName name="ㄴㄴ" hidden="1">{"'용역비'!$A$4:$C$8"}</definedName>
    <definedName name="ㄴㅁㅇㅀㅍㅁㄴㅇ" localSheetId="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ㄴㅁㅇㅀㅍㅁㄴㅇ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ㄴㅇ" localSheetId="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ㄴㅇ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ㄴㅇㄹ" localSheetId="3" hidden="1">{"'용역비'!$A$4:$C$8"}</definedName>
    <definedName name="ㄴㅇㄹ" hidden="1">{"'용역비'!$A$4:$C$8"}</definedName>
    <definedName name="ㄴㅇㄹㅇㄴㄹㅇㄴㄹ" localSheetId="3" hidden="1">{"'용역비'!$A$4:$C$8"}</definedName>
    <definedName name="ㄴㅇㄹㅇㄴㄹㅇㄴㄹ" hidden="1">{"'용역비'!$A$4:$C$8"}</definedName>
    <definedName name="ㄴㅇㄻㄴㅇㄹ" localSheetId="3" hidden="1">{"'용역비'!$A$4:$C$8"}</definedName>
    <definedName name="ㄴㅇㄻㄴㅇㄹ" hidden="1">{"'용역비'!$A$4:$C$8"}</definedName>
    <definedName name="내벽">#REF!</definedName>
    <definedName name="내벽2">#REF!</definedName>
    <definedName name="농업총면적">#REF!</definedName>
    <definedName name="ㄷ1">#REF!</definedName>
    <definedName name="ㄷ2">#REF!</definedName>
    <definedName name="ㄷ6ㅓ" localSheetId="3" hidden="1">{"'용역비'!$A$4:$C$8"}</definedName>
    <definedName name="ㄷ6ㅓ" hidden="1">{"'용역비'!$A$4:$C$8"}</definedName>
    <definedName name="ㄷㄱㄷㄱㄷㄱ" localSheetId="3" hidden="1">{"'용역비'!$A$4:$C$8"}</definedName>
    <definedName name="ㄷㄱㄷㄱㄷㄱ" hidden="1">{"'용역비'!$A$4:$C$8"}</definedName>
    <definedName name="ㄷㄷ" localSheetId="3" hidden="1">{"'용역비'!$A$4:$C$8"}</definedName>
    <definedName name="ㄷㄷ" hidden="1">{"'용역비'!$A$4:$C$8"}</definedName>
    <definedName name="ㄷㄷㄱㄱ" localSheetId="3" hidden="1">{"'용역비'!$A$4:$C$8"}</definedName>
    <definedName name="ㄷㄷㄱㄱ" hidden="1">{"'용역비'!$A$4:$C$8"}</definedName>
    <definedName name="ㄷㅍㅂ" localSheetId="3" hidden="1">{"'용역비'!$A$4:$C$8"}</definedName>
    <definedName name="ㄷㅍㅂ" hidden="1">{"'용역비'!$A$4:$C$8"}</definedName>
    <definedName name="단차">#REF!</definedName>
    <definedName name="도시지원총면적">#REF!</definedName>
    <definedName name="도장2">[14]Sheet3!#REF!</definedName>
    <definedName name="도장수량2">[14]Sheet3!#REF!</definedName>
    <definedName name="돋움체" localSheetId="3">#REF!</definedName>
    <definedName name="돋움체">#REF!</definedName>
    <definedName name="동물관련시설">[5]건축개요!$C$149</definedName>
    <definedName name="동바리목재">'[15]용산1(해보)'!#REF!</definedName>
    <definedName name="ㄹ" localSheetId="3" hidden="1">{"'용역비'!$A$4:$C$8"}</definedName>
    <definedName name="ㄹ" hidden="1">{"'용역비'!$A$4:$C$8"}</definedName>
    <definedName name="ㄹ1">#REF!</definedName>
    <definedName name="ㄹ2">#REF!</definedName>
    <definedName name="램">'[6]콤보박스와 리스트박스의 연결'!$H$8:$H$10</definedName>
    <definedName name="ㅁ" localSheetId="3" hidden="1">{"'용역비'!$A$4:$C$8"}</definedName>
    <definedName name="ㅁ" hidden="1">{"'용역비'!$A$4:$C$8"}</definedName>
    <definedName name="ㅁ1">#REF!</definedName>
    <definedName name="ㅁ1a1">#REF!</definedName>
    <definedName name="ㅁ2">#REF!</definedName>
    <definedName name="ㅁ331">#REF!</definedName>
    <definedName name="ㅁㄴㅁㄴㅁ" localSheetId="3" hidden="1">{#N/A,#N/A,FALSE,"골재소요량";#N/A,#N/A,FALSE,"골재소요량"}</definedName>
    <definedName name="ㅁㄴㅁㄴㅁ" hidden="1">{#N/A,#N/A,FALSE,"골재소요량";#N/A,#N/A,FALSE,"골재소요량"}</definedName>
    <definedName name="ㅁㄴㅇ" localSheetId="3" hidden="1">{#N/A,#N/A,FALSE,"배수1"}</definedName>
    <definedName name="ㅁㄴㅇ" hidden="1">{#N/A,#N/A,FALSE,"배수1"}</definedName>
    <definedName name="ㅁㄴㅇㄻㄴㅇㄹㄴㅁㅎㄴㅇㅎ" localSheetId="3" hidden="1">{"'용역비'!$A$4:$C$8"}</definedName>
    <definedName name="ㅁㄴㅇㄻㄴㅇㄹㄴㅁㅎㄴㅇㅎ" hidden="1">{"'용역비'!$A$4:$C$8"}</definedName>
    <definedName name="ㅁㄴㅇㅁ" localSheetId="3" hidden="1">{"'용역비'!$A$4:$C$8"}</definedName>
    <definedName name="ㅁㄴㅇㅁ" hidden="1">{"'용역비'!$A$4:$C$8"}</definedName>
    <definedName name="ㅁㄴㅇㅇㅊ">[16]무안방향교대일반수량집계표!$I$20</definedName>
    <definedName name="ㅁㅁ12ㅁㅁ">[17]교대일반수량총괄집계표!#REF!</definedName>
    <definedName name="ㅁㅁㅁ">[3]교대일반수량!$AA$85</definedName>
    <definedName name="ㅁㅁㅁㅁㅁ" localSheetId="3" hidden="1">{"'용역비'!$A$4:$C$8"}</definedName>
    <definedName name="ㅁㅁㅁㅁㅁ" hidden="1">{"'용역비'!$A$4:$C$8"}</definedName>
    <definedName name="ㅁㅁㅁㅁㅁㅁㅁㅁㅁㅁㅁㅁㅁㅁ" localSheetId="3" hidden="1">{"'용역비'!$A$4:$C$8"}</definedName>
    <definedName name="ㅁㅁㅁㅁㅁㅁㅁㅁㅁㅁㅁㅁㅁㅁ" hidden="1">{"'용역비'!$A$4:$C$8"}</definedName>
    <definedName name="ㅁㅁㅁㅂ">[16]무안방향교대일반수량집계표!$I$4</definedName>
    <definedName name="만득이" localSheetId="3" hidden="1">{#N/A,#N/A,FALSE,"2~8번"}</definedName>
    <definedName name="만득이" hidden="1">{#N/A,#N/A,FALSE,"2~8번"}</definedName>
    <definedName name="매크로11">[18]!매크로11</definedName>
    <definedName name="매크로4">[18]!매크로4</definedName>
    <definedName name="맨" localSheetId="3" hidden="1">{#N/A,#N/A,FALSE,"혼합골재"}</definedName>
    <definedName name="맨" hidden="1">{#N/A,#N/A,FALSE,"혼합골재"}</definedName>
    <definedName name="먼득이" localSheetId="3" hidden="1">{#N/A,#N/A,FALSE,"골재소요량";#N/A,#N/A,FALSE,"골재소요량"}</definedName>
    <definedName name="먼득이" hidden="1">{#N/A,#N/A,FALSE,"골재소요량";#N/A,#N/A,FALSE,"골재소요량"}</definedName>
    <definedName name="메1">'[19]공주-교대(A1)'!#REF!</definedName>
    <definedName name="메2" localSheetId="3">#REF!</definedName>
    <definedName name="메2">#REF!</definedName>
    <definedName name="메3" localSheetId="3">#REF!</definedName>
    <definedName name="메3">#REF!</definedName>
    <definedName name="메4" localSheetId="3">#REF!</definedName>
    <definedName name="메4">#REF!</definedName>
    <definedName name="모니터">'[6]콤보박스와 리스트박스의 연결'!$H$15:$H$17</definedName>
    <definedName name="무늬1">'[20]계림(함평)'!#REF!</definedName>
    <definedName name="무늬2">'[20]계림(장성)'!#REF!</definedName>
    <definedName name="ㅂㅁㅋ" localSheetId="3" hidden="1">{"'용역비'!$A$4:$C$8"}</definedName>
    <definedName name="ㅂㅁㅋ" hidden="1">{"'용역비'!$A$4:$C$8"}</definedName>
    <definedName name="ㅂㅂ" localSheetId="3" hidden="1">{"'용역비'!$A$4:$C$8"}</definedName>
    <definedName name="ㅂㅂ" hidden="1">{"'용역비'!$A$4:$C$8"}</definedName>
    <definedName name="ㅂㅂㅂ" localSheetId="3" hidden="1">{"'용역비'!$A$4:$C$8"}</definedName>
    <definedName name="ㅂㅂㅂ" hidden="1">{"'용역비'!$A$4:$C$8"}</definedName>
    <definedName name="ㅂㅂㅂㅂㅂㅂ" localSheetId="3" hidden="1">{"'용역비'!$A$4:$C$8"}</definedName>
    <definedName name="ㅂㅂㅂㅂㅂㅂ" hidden="1">{"'용역비'!$A$4:$C$8"}</definedName>
    <definedName name="ㅂㅋ" localSheetId="3" hidden="1">{"'용역비'!$A$4:$C$8"}</definedName>
    <definedName name="ㅂㅋ" hidden="1">{"'용역비'!$A$4:$C$8"}</definedName>
    <definedName name="바보" localSheetId="3" hidden="1">{#N/A,#N/A,FALSE,"골재소요량";#N/A,#N/A,FALSE,"골재소요량"}</definedName>
    <definedName name="바보" hidden="1">{#N/A,#N/A,FALSE,"골재소요량";#N/A,#N/A,FALSE,"골재소요량"}</definedName>
    <definedName name="박생광리스트" localSheetId="3" hidden="1">{"'용역비'!$A$4:$C$8"}</definedName>
    <definedName name="박생광리스트" hidden="1">{"'용역비'!$A$4:$C$8"}</definedName>
    <definedName name="방송통신시설">[5]건축개요!$C$132</definedName>
    <definedName name="방콘2">'[13]대창(장성)'!$AL$481</definedName>
    <definedName name="버림콘크리트">[21]룡전상부!#REF!</definedName>
    <definedName name="버림콘크리트2">[22]시점교대!$AG$69</definedName>
    <definedName name="번호">'[23]Sheet1 (2)'!#REF!</definedName>
    <definedName name="벽체" localSheetId="3" hidden="1">{#N/A,#N/A,FALSE,"혼합골재"}</definedName>
    <definedName name="벽체" hidden="1">{#N/A,#N/A,FALSE,"혼합골재"}</definedName>
    <definedName name="복1_1">[24]공동!#REF!</definedName>
    <definedName name="복1_2">[24]공동!#REF!</definedName>
    <definedName name="복2_1">[24]공동!#REF!</definedName>
    <definedName name="복2_2">[24]공동!#REF!</definedName>
    <definedName name="복3_1">[24]공동!#REF!</definedName>
    <definedName name="복3_2">[24]공동!#REF!</definedName>
    <definedName name="복4_1">[24]공동!#REF!</definedName>
    <definedName name="복4_2">[24]공동!#REF!</definedName>
    <definedName name="복5_1">[24]공동!#REF!</definedName>
    <definedName name="복5_2">[24]공동!#REF!</definedName>
    <definedName name="복6_1">[24]공동!#REF!</definedName>
    <definedName name="복6_2">[24]공동!#REF!</definedName>
    <definedName name="복7_01">[25]공동!#REF!</definedName>
    <definedName name="복7_1">[24]공동!#REF!</definedName>
    <definedName name="복7_2">[24]공동!#REF!</definedName>
    <definedName name="복8_1">[24]공동!#REF!</definedName>
    <definedName name="복8_2">[24]공동!#REF!</definedName>
    <definedName name="복9_01">[25]공동!#REF!</definedName>
    <definedName name="복9_02">[25]공동!#REF!</definedName>
    <definedName name="복9_1">[24]공동!#REF!</definedName>
    <definedName name="복9_2">[24]공동!#REF!</definedName>
    <definedName name="복합총면적">[24]공동!#REF!</definedName>
    <definedName name="복합총면적_1">[25]공동!#REF!</definedName>
    <definedName name="블10_1">[26]단독!#REF!</definedName>
    <definedName name="블14_010">[25]단독!#REF!</definedName>
    <definedName name="블14_10">[26]단독!#REF!</definedName>
    <definedName name="블록형총면적" localSheetId="3">#REF!</definedName>
    <definedName name="블록형총면적">#REF!</definedName>
    <definedName name="사람아" localSheetId="3" hidden="1">{#N/A,#N/A,FALSE,"2~8번"}</definedName>
    <definedName name="사람아" hidden="1">{#N/A,#N/A,FALSE,"2~8번"}</definedName>
    <definedName name="사업성검토2">#N/A</definedName>
    <definedName name="사회복지시설">[5]건축개요!$C$142</definedName>
    <definedName name="상업총면적">#REF!</definedName>
    <definedName name="선택" localSheetId="3">CHOOSE('[6]콤보박스와 리스트박스의 연결'!$C$9,CPU,램,프린터,모니터)</definedName>
    <definedName name="선택">CHOOSE('[6]콤보박스와 리스트박스의 연결'!$C$9,CPU,램,프린터,모니터)</definedName>
    <definedName name="선택1" localSheetId="3">CHOOSE([5]건축개요!$B$21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선택1">CHOOSE([5]건축개요!$B$21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선택2" localSheetId="3">CHOOSE([5]건축개요!$B$35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선택2">CHOOSE([5]건축개요!$B$35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선택3" localSheetId="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선택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송곡교">#REF!</definedName>
    <definedName name="수중토사p1">#REF!</definedName>
    <definedName name="수토1">#REF!</definedName>
    <definedName name="숙박시설">[5]건축개요!$C$126</definedName>
    <definedName name="스티로폴">'[13]대창(장성)'!$AR$450</definedName>
    <definedName name="슬래브총괄수량집계표">'[27]Sheet1 (2)'!#REF!</definedName>
    <definedName name="승용교" localSheetId="3" hidden="1">{#N/A,#N/A,FALSE,"2~8번"}</definedName>
    <definedName name="승용교" hidden="1">{#N/A,#N/A,FALSE,"2~8번"}</definedName>
    <definedName name="신">[4]Sheet1!#REF!</definedName>
    <definedName name="ㅇ" localSheetId="3" hidden="1">{"'용역비'!$A$4:$C$8"}</definedName>
    <definedName name="ㅇ" hidden="1">{"'용역비'!$A$4:$C$8"}</definedName>
    <definedName name="ㅇㅇ" localSheetId="3" hidden="1">{"'용역비'!$A$4:$C$8"}</definedName>
    <definedName name="ㅇㅇ" hidden="1">{"'용역비'!$A$4:$C$8"}</definedName>
    <definedName name="ㅇㅇㅇ" localSheetId="3" hidden="1">{"'용역비'!$A$4:$C$8"}</definedName>
    <definedName name="ㅇㅇㅇ" hidden="1">{"'용역비'!$A$4:$C$8"}</definedName>
    <definedName name="ㅇㅎㅇㅎ" localSheetId="3" hidden="1">{"'용역비'!$A$4:$C$8"}</definedName>
    <definedName name="ㅇㅎㅇㅎ" hidden="1">{"'용역비'!$A$4:$C$8"}</definedName>
    <definedName name="아1_1">[24]공동!#REF!</definedName>
    <definedName name="아1_2">[24]공동!#REF!</definedName>
    <definedName name="아2_1">[24]공동!#REF!</definedName>
    <definedName name="아2_2">[24]공동!#REF!</definedName>
    <definedName name="아3_1">[24]공동!#REF!</definedName>
    <definedName name="아3_2">[24]공동!#REF!</definedName>
    <definedName name="아3_3">[24]공동!#REF!</definedName>
    <definedName name="아3_4">[24]공동!#REF!</definedName>
    <definedName name="아4_1">[24]공동!#REF!</definedName>
    <definedName name="아4_2">[24]공동!#REF!</definedName>
    <definedName name="아4_3">[24]공동!#REF!</definedName>
    <definedName name="아4_4">[24]공동!#REF!</definedName>
    <definedName name="아5_1">[24]공동!#REF!</definedName>
    <definedName name="아5_2">[24]공동!#REF!</definedName>
    <definedName name="아5_3">[24]공동!#REF!</definedName>
    <definedName name="아5_4">[24]공동!#REF!</definedName>
    <definedName name="아6_1">[24]공동!#REF!</definedName>
    <definedName name="아6_2">[24]공동!#REF!</definedName>
    <definedName name="아7">[24]공동!#REF!</definedName>
    <definedName name="아8_1">[24]공동!#REF!</definedName>
    <definedName name="아8_2">[24]공동!#REF!</definedName>
    <definedName name="아8_3">[24]공동!#REF!</definedName>
    <definedName name="아8_4">[24]공동!#REF!</definedName>
    <definedName name="아8_5">[24]공동!#REF!</definedName>
    <definedName name="아9_04">[25]공동!#REF!</definedName>
    <definedName name="아9_1">[24]공동!#REF!</definedName>
    <definedName name="아9_2">[24]공동!#REF!</definedName>
    <definedName name="아9_3">[24]공동!#REF!</definedName>
    <definedName name="아9_4">[24]공동!#REF!</definedName>
    <definedName name="아9_5">[24]공동!#REF!</definedName>
    <definedName name="암석산근" localSheetId="3" hidden="1">{"'용역비'!$A$4:$C$8"}</definedName>
    <definedName name="암석산근" hidden="1">{"'용역비'!$A$4:$C$8"}</definedName>
    <definedName name="암석설간" localSheetId="3" hidden="1">{"'용역비'!$A$4:$C$8"}</definedName>
    <definedName name="암석설간" hidden="1">{"'용역비'!$A$4:$C$8"}</definedName>
    <definedName name="업무시설">[5]건축개요!$C$118:$C$119</definedName>
    <definedName name="연1_01">[25]공동!#REF!</definedName>
    <definedName name="연1_1">[24]공동!#REF!</definedName>
    <definedName name="연1_2">[24]공동!#REF!</definedName>
    <definedName name="연1_3">[24]공동!#REF!</definedName>
    <definedName name="연2_1">[24]공동!#REF!</definedName>
    <definedName name="연2_2">[24]공동!#REF!</definedName>
    <definedName name="연3">[24]공동!#REF!</definedName>
    <definedName name="연4">[24]공동!#REF!</definedName>
    <definedName name="연립총면적">[24]공동!#REF!</definedName>
    <definedName name="예정공정표" localSheetId="3">#REF!</definedName>
    <definedName name="예정공정표">#REF!</definedName>
    <definedName name="옹" localSheetId="3" hidden="1">{#N/A,#N/A,FALSE,"골재소요량";#N/A,#N/A,FALSE,"골재소요량"}</definedName>
    <definedName name="옹" hidden="1">{#N/A,#N/A,FALSE,"골재소요량";#N/A,#N/A,FALSE,"골재소요량"}</definedName>
    <definedName name="옹벽" localSheetId="3" hidden="1">{#N/A,#N/A,FALSE,"혼합골재"}</definedName>
    <definedName name="옹벽" hidden="1">{#N/A,#N/A,FALSE,"혼합골재"}</definedName>
    <definedName name="옹벽수량집계표" localSheetId="3" hidden="1">{#N/A,#N/A,FALSE,"2~8번"}</definedName>
    <definedName name="옹벽수량집계표" hidden="1">{#N/A,#N/A,FALSE,"2~8번"}</definedName>
    <definedName name="옹벽수량집계표총괄" localSheetId="3" hidden="1">{#N/A,#N/A,FALSE,"혼합골재"}</definedName>
    <definedName name="옹벽수량집계표총괄" hidden="1">{#N/A,#N/A,FALSE,"혼합골재"}</definedName>
    <definedName name="위락시설">[5]건축개요!$C$127:$C$128</definedName>
    <definedName name="위치조서">#REF!</definedName>
    <definedName name="위험물">[5]건축개요!$C$143</definedName>
    <definedName name="의료시설">[5]건축개요!$C$117</definedName>
    <definedName name="이정" localSheetId="3" hidden="1">{#N/A,#N/A,FALSE,"2~8번"}</definedName>
    <definedName name="이정" hidden="1">{#N/A,#N/A,FALSE,"2~8번"}</definedName>
    <definedName name="일">#REF!</definedName>
    <definedName name="일위대가표" localSheetId="3" hidden="1">{"'용역비'!$A$4:$C$8"}</definedName>
    <definedName name="일위대가표" hidden="1">{"'용역비'!$A$4:$C$8"}</definedName>
    <definedName name="ㅈ" localSheetId="3" hidden="1">{#N/A,#N/A,FALSE,"혼합골재"}</definedName>
    <definedName name="ㅈ" hidden="1">{#N/A,#N/A,FALSE,"혼합골재"}</definedName>
    <definedName name="ㅈ238">#REF!</definedName>
    <definedName name="ㅈㄷㄱㄷㄱㄷ" localSheetId="3" hidden="1">{"'용역비'!$A$4:$C$8"}</definedName>
    <definedName name="ㅈㄷㄱㄷㄱㄷ" hidden="1">{"'용역비'!$A$4:$C$8"}</definedName>
    <definedName name="ㅈㅇ" localSheetId="3" hidden="1">{"'용역비'!$A$4:$C$8"}</definedName>
    <definedName name="ㅈㅇ" hidden="1">{"'용역비'!$A$4:$C$8"}</definedName>
    <definedName name="ㅈㅈ" localSheetId="3" hidden="1">{#N/A,#N/A,FALSE,"표지목차"}</definedName>
    <definedName name="ㅈㅈ" hidden="1">{#N/A,#N/A,FALSE,"표지목차"}</definedName>
    <definedName name="ㅈㅈㅈ" localSheetId="3" hidden="1">{"'용역비'!$A$4:$C$8"}</definedName>
    <definedName name="ㅈㅈㅈ" hidden="1">{"'용역비'!$A$4:$C$8"}</definedName>
    <definedName name="ㅈㅈㅈㅈㅈㅈ" localSheetId="3" hidden="1">{"'용역비'!$A$4:$C$8"}</definedName>
    <definedName name="ㅈㅈㅈㅈㅈㅈ" hidden="1">{"'용역비'!$A$4:$C$8"}</definedName>
    <definedName name="장례묘지관련">[5]건축개요!$C$146:$C$147</definedName>
    <definedName name="장산교">#REF!</definedName>
    <definedName name="저장시설">[5]건축개요!$C$136:$C$138</definedName>
    <definedName name="전시시설">[5]건축개요!$C$122:$C$123</definedName>
    <definedName name="종교시설">[5]건축개요!$C$115:$C$116</definedName>
    <definedName name="주거시설">[5]건축개요!$C$114</definedName>
    <definedName name="준공_및_잔금">#REF!</definedName>
    <definedName name="철">#REF!</definedName>
    <definedName name="첫장" localSheetId="3" hidden="1">{"'용역비'!$A$4:$C$8"}</definedName>
    <definedName name="첫장" hidden="1">{"'용역비'!$A$4:$C$8"}</definedName>
    <definedName name="첫장1" localSheetId="3" hidden="1">{"'용역비'!$A$4:$C$8"}</definedName>
    <definedName name="첫장1" hidden="1">{"'용역비'!$A$4:$C$8"}</definedName>
    <definedName name="청북지구">#REF!</definedName>
    <definedName name="청소년수련시설">[5]건축개요!$C$148</definedName>
    <definedName name="체육시설">[5]건축개요!$C$141</definedName>
    <definedName name="ㅋㅋㅋ" localSheetId="3" hidden="1">{"'용역비'!$A$4:$C$8"}</definedName>
    <definedName name="ㅋㅋㅋ" hidden="1">{"'용역비'!$A$4:$C$8"}</definedName>
    <definedName name="ㅋㅌ" localSheetId="3" hidden="1">{"'용역비'!$A$4:$C$8"}</definedName>
    <definedName name="ㅋㅌ" hidden="1">{"'용역비'!$A$4:$C$8"}</definedName>
    <definedName name="콘크리트">[21]룡전상부!#REF!</definedName>
    <definedName name="토">[4]Sheet1!#REF!</definedName>
    <definedName name="판매시설">[5]건축개요!$C$124:$C$125</definedName>
    <definedName name="평">#REF!</definedName>
    <definedName name="평가전">#REF!</definedName>
    <definedName name="평가후">#REF!</definedName>
    <definedName name="평형구분">#REF!</definedName>
    <definedName name="폭">#REF!</definedName>
    <definedName name="프린터">'[6]콤보박스와 리스트박스의 연결'!$H$11:$H$14</definedName>
    <definedName name="ㅎ" localSheetId="3" hidden="1">{"'용역비'!$A$4:$C$8"}</definedName>
    <definedName name="ㅎ" hidden="1">{"'용역비'!$A$4:$C$8"}</definedName>
    <definedName name="ㅎㄱ" localSheetId="3" hidden="1">{"'용역비'!$A$4:$C$8"}</definedName>
    <definedName name="ㅎㄱ" hidden="1">{"'용역비'!$A$4:$C$8"}</definedName>
    <definedName name="ㅎㄱㅎ" localSheetId="3" hidden="1">{"'용역비'!$A$4:$C$8"}</definedName>
    <definedName name="ㅎㄱㅎ" hidden="1">{"'용역비'!$A$4:$C$8"}</definedName>
    <definedName name="ㅎㄱㅎㄱㅎㄱㅎ" localSheetId="3" hidden="1">{"'용역비'!$A$4:$C$8"}</definedName>
    <definedName name="ㅎㄱㅎㄱㅎㄱㅎ" hidden="1">{"'용역비'!$A$4:$C$8"}</definedName>
    <definedName name="ㅎㅎㅎ" localSheetId="3" hidden="1">{"'용역비'!$A$4:$C$8"}</definedName>
    <definedName name="ㅎㅎㅎ" hidden="1">{"'용역비'!$A$4:$C$8"}</definedName>
    <definedName name="한" localSheetId="3" hidden="1">{#N/A,#N/A,FALSE,"조골재"}</definedName>
    <definedName name="한" hidden="1">{#N/A,#N/A,FALSE,"조골재"}</definedName>
    <definedName name="한동" localSheetId="3" hidden="1">{#N/A,#N/A,FALSE,"단가표지"}</definedName>
    <definedName name="한동" hidden="1">{#N/A,#N/A,FALSE,"단가표지"}</definedName>
    <definedName name="합37">'[13]대창(함평)-창열'!#REF!</definedName>
    <definedName name="합372">'[13]대창(장성)'!#REF!</definedName>
    <definedName name="합37a">'[13]대창(함평)-창열'!#REF!</definedName>
    <definedName name="합37함">'[13]대창(함평)-창열'!#REF!</definedName>
    <definedName name="합3함7">'[13]대창(함평)-창열'!#REF!</definedName>
    <definedName name="합판317">'[13]대창(함평)-창열'!#REF!</definedName>
    <definedName name="합판371">'[13]대창(함평)-창열'!#REF!</definedName>
    <definedName name="합판731">'[13]대창(함평)-창열'!#REF!</definedName>
    <definedName name="항타비2">'[13]대창(장성)'!#REF!</definedName>
    <definedName name="호호" localSheetId="3">#REF!</definedName>
    <definedName name="호호">#REF!</definedName>
    <definedName name="ㅑㅑ" localSheetId="3" hidden="1">{"'용역비'!$A$4:$C$8"}</definedName>
    <definedName name="ㅑㅑ" hidden="1">{"'용역비'!$A$4:$C$8"}</definedName>
    <definedName name="ㅑㅑㅑ" localSheetId="3" hidden="1">{"'용역비'!$A$4:$C$8"}</definedName>
    <definedName name="ㅑㅑㅑ" hidden="1">{"'용역비'!$A$4:$C$8"}</definedName>
    <definedName name="ㅑㅑㅑㅑㅑ" localSheetId="3" hidden="1">{"'용역비'!$A$4:$C$8"}</definedName>
    <definedName name="ㅑㅑㅑㅑㅑ" hidden="1">{"'용역비'!$A$4:$C$8"}</definedName>
    <definedName name="ㅑㅑㅑㅑㅑㅑ" localSheetId="3" hidden="1">{"'용역비'!$A$4:$C$8"}</definedName>
    <definedName name="ㅑㅑㅑㅑㅑㅑ" hidden="1">{"'용역비'!$A$4:$C$8"}</definedName>
    <definedName name="ㅑㅕㅕ" localSheetId="3" hidden="1">{"'용역비'!$A$4:$C$8"}</definedName>
    <definedName name="ㅑㅕㅕ" hidden="1">{"'용역비'!$A$4:$C$8"}</definedName>
    <definedName name="ㅔㅐㅑㅔ" localSheetId="3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ㅔㅐㅑㅔ">CHOOSE([5]건축개요!$B$46,주거시설,종교시설,의료시설,업무시설,관람집회,전시시설,판매시설,숙박시설,위락시설,관련시설,방송통신시설,공장,교육연구시설,저장시설,관광휴게시설,체육시설,사회복지시설,위험물,근린생활시설,장례묘지관련,청소년수련시설,동물관련시설,공공용시설)</definedName>
    <definedName name="ㅔㅣ" localSheetId="3" hidden="1">{"'용역비'!$A$4:$C$8"}</definedName>
    <definedName name="ㅔㅣ" hidden="1">{"'용역비'!$A$4:$C$8"}</definedName>
    <definedName name="ㅗ">#REF!</definedName>
    <definedName name="ㅗ1">#REF!</definedName>
    <definedName name="ㅗ2">#REF!</definedName>
    <definedName name="ㅗ3">#REF!</definedName>
    <definedName name="ㅗ4">#REF!</definedName>
    <definedName name="ㅗ5">#REF!</definedName>
    <definedName name="ㅛ" localSheetId="3" hidden="1">{"'용역비'!$A$4:$C$8"}</definedName>
    <definedName name="ㅛ" hidden="1">{"'용역비'!$A$4:$C$8"}</definedName>
    <definedName name="ㅛㅕㅑㅛㅑ" localSheetId="3">CHOOSE('[6]콤보박스와 리스트박스의 연결'!$C$9,CPU,램,프린터,모니터)</definedName>
    <definedName name="ㅛㅕㅑㅛㅑ">CHOOSE('[6]콤보박스와 리스트박스의 연결'!$C$9,CPU,램,프린터,모니터)</definedName>
    <definedName name="ㅛㅛ" localSheetId="3" hidden="1">{"'용역비'!$A$4:$C$8"}</definedName>
    <definedName name="ㅛㅛ" hidden="1">{"'용역비'!$A$4:$C$8"}</definedName>
    <definedName name="ㅛㅛㅛ" localSheetId="3" hidden="1">{"'용역비'!$A$4:$C$8"}</definedName>
    <definedName name="ㅛㅛㅛ" hidden="1">{"'용역비'!$A$4:$C$8"}</definedName>
    <definedName name="ㅠ1">#REF!</definedName>
    <definedName name="ㅠ10">#REF!</definedName>
    <definedName name="ㅠ11">#REF!</definedName>
    <definedName name="ㅠ2">#REF!</definedName>
    <definedName name="ㅠ3">#REF!</definedName>
    <definedName name="ㅠ4">#REF!</definedName>
    <definedName name="ㅠ5">#REF!</definedName>
    <definedName name="ㅠ6">#REF!</definedName>
    <definedName name="ㅠ7">#REF!</definedName>
    <definedName name="ㅠ8">#REF!</definedName>
    <definedName name="ㅠ9">#REF!</definedName>
    <definedName name="ㅠㄱ" localSheetId="3" hidden="1">{"'용역비'!$A$4:$C$8"}</definedName>
    <definedName name="ㅠㄱ" hidden="1">{"'용역비'!$A$4:$C$8"}</definedName>
    <definedName name="ㅣ">#REF!</definedName>
    <definedName name="ㅣ35">#REF!</definedName>
    <definedName name="ㅣㅣ" localSheetId="3" hidden="1">{#N/A,#N/A,FALSE,"골재소요량";#N/A,#N/A,FALSE,"골재소요량"}</definedName>
    <definedName name="ㅣㅣ" hidden="1">{#N/A,#N/A,FALSE,"골재소요량";#N/A,#N/A,FALSE,"골재소요량"}</definedName>
  </definedNames>
  <calcPr calcId="125725" iterate="1"/>
</workbook>
</file>

<file path=xl/calcChain.xml><?xml version="1.0" encoding="utf-8"?>
<calcChain xmlns="http://schemas.openxmlformats.org/spreadsheetml/2006/main">
  <c r="AT91" i="18"/>
  <c r="BN94" i="35"/>
  <c r="AB76"/>
  <c r="AB80" s="1"/>
  <c r="AC76"/>
  <c r="AC80" s="1"/>
  <c r="AD76"/>
  <c r="AD80" s="1"/>
  <c r="AE76"/>
  <c r="AF76"/>
  <c r="AG76"/>
  <c r="AG80" s="1"/>
  <c r="AB100"/>
  <c r="AC100"/>
  <c r="AD100"/>
  <c r="AE100"/>
  <c r="AF100"/>
  <c r="AG100"/>
  <c r="AB87"/>
  <c r="AC87"/>
  <c r="AD87"/>
  <c r="AE87"/>
  <c r="AF87"/>
  <c r="AG87"/>
  <c r="AE80"/>
  <c r="AF80"/>
  <c r="Q58"/>
  <c r="R58"/>
  <c r="S58"/>
  <c r="T58"/>
  <c r="U58"/>
  <c r="V58"/>
  <c r="W58"/>
  <c r="Y58"/>
  <c r="Z58"/>
  <c r="BO58"/>
  <c r="BP58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Y52"/>
  <c r="AA141"/>
  <c r="AA142" s="1"/>
  <c r="AB141"/>
  <c r="AC141"/>
  <c r="AD141"/>
  <c r="AD142" s="1"/>
  <c r="AE141"/>
  <c r="AF141"/>
  <c r="AF142" s="1"/>
  <c r="AB142"/>
  <c r="AC142"/>
  <c r="AE142"/>
  <c r="AA144"/>
  <c r="AB144"/>
  <c r="AC144"/>
  <c r="AD144"/>
  <c r="AE144"/>
  <c r="AF144"/>
  <c r="AG144"/>
  <c r="AB64"/>
  <c r="AC64"/>
  <c r="AD64"/>
  <c r="AE64"/>
  <c r="AF64"/>
  <c r="AG64"/>
  <c r="P42"/>
  <c r="Q42"/>
  <c r="R42"/>
  <c r="S42"/>
  <c r="T42"/>
  <c r="U42"/>
  <c r="V42"/>
  <c r="W42"/>
  <c r="X42"/>
  <c r="Y42"/>
  <c r="Z42"/>
  <c r="R23"/>
  <c r="S23"/>
  <c r="T23"/>
  <c r="U23"/>
  <c r="V23"/>
  <c r="W23"/>
  <c r="X23"/>
  <c r="Y23"/>
  <c r="Z23"/>
  <c r="AC10"/>
  <c r="AD10" s="1"/>
  <c r="AE10" s="1"/>
  <c r="AF10" s="1"/>
  <c r="AG10" s="1"/>
  <c r="AH10" s="1"/>
  <c r="AI10" s="1"/>
  <c r="AJ10" s="1"/>
  <c r="AK10" s="1"/>
  <c r="AL10" s="1"/>
  <c r="AB10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AA7"/>
  <c r="G2" i="4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F2"/>
  <c r="G4"/>
  <c r="F4"/>
  <c r="F5" s="1"/>
  <c r="H3"/>
  <c r="H4" s="1"/>
  <c r="G3"/>
  <c r="G5" l="1"/>
  <c r="H5" s="1"/>
  <c r="I3"/>
  <c r="BP11" i="35"/>
  <c r="BP39"/>
  <c r="BP64"/>
  <c r="BP80"/>
  <c r="BP89"/>
  <c r="BD81" i="18"/>
  <c r="AT40"/>
  <c r="AU40"/>
  <c r="H8" i="41"/>
  <c r="H7"/>
  <c r="E7"/>
  <c r="H10" s="1"/>
  <c r="F7"/>
  <c r="H9" s="1"/>
  <c r="G7"/>
  <c r="D7"/>
  <c r="H11" s="1"/>
  <c r="O88" i="35"/>
  <c r="BN39"/>
  <c r="BO39"/>
  <c r="I4" i="42" l="1"/>
  <c r="J3"/>
  <c r="H12" i="41"/>
  <c r="K90" i="35"/>
  <c r="D90"/>
  <c r="Q120"/>
  <c r="Q122" s="1"/>
  <c r="R120"/>
  <c r="R122" s="1"/>
  <c r="S120"/>
  <c r="S122" s="1"/>
  <c r="T120"/>
  <c r="T122" s="1"/>
  <c r="U120"/>
  <c r="U122" s="1"/>
  <c r="V120"/>
  <c r="V122" s="1"/>
  <c r="W120"/>
  <c r="W122" s="1"/>
  <c r="Z120"/>
  <c r="Z122" s="1"/>
  <c r="P112"/>
  <c r="Q87"/>
  <c r="R87"/>
  <c r="S87"/>
  <c r="T87"/>
  <c r="U87"/>
  <c r="V87"/>
  <c r="W87"/>
  <c r="X87"/>
  <c r="Y87"/>
  <c r="Q80"/>
  <c r="R80"/>
  <c r="S80"/>
  <c r="T80"/>
  <c r="U80"/>
  <c r="V80"/>
  <c r="W80"/>
  <c r="X80"/>
  <c r="Y80"/>
  <c r="N51"/>
  <c r="D51"/>
  <c r="D50"/>
  <c r="AS30" i="18"/>
  <c r="AL30"/>
  <c r="J4" i="42" l="1"/>
  <c r="K3"/>
  <c r="I5"/>
  <c r="AU45" i="18"/>
  <c r="AT45"/>
  <c r="J5" i="42" l="1"/>
  <c r="K4"/>
  <c r="L3"/>
  <c r="CC48" i="18"/>
  <c r="O91" i="35"/>
  <c r="BY62"/>
  <c r="O50"/>
  <c r="BY50" s="1"/>
  <c r="N50"/>
  <c r="D46"/>
  <c r="AR32" i="18"/>
  <c r="AV32"/>
  <c r="AU32"/>
  <c r="AL31"/>
  <c r="AS31" s="1"/>
  <c r="L4" i="42" l="1"/>
  <c r="M3"/>
  <c r="K5"/>
  <c r="AW29" i="18"/>
  <c r="D85" i="35"/>
  <c r="AV66" i="18"/>
  <c r="AU66"/>
  <c r="AV59"/>
  <c r="AW51"/>
  <c r="Z51" s="1"/>
  <c r="AU38"/>
  <c r="Z89" i="35"/>
  <c r="AA89"/>
  <c r="AH89"/>
  <c r="L5" i="42" l="1"/>
  <c r="M4"/>
  <c r="N3"/>
  <c r="M5"/>
  <c r="D47" i="35"/>
  <c r="AL27" i="18"/>
  <c r="AS27" s="1"/>
  <c r="BW27" l="1"/>
  <c r="AS28"/>
  <c r="AW28"/>
  <c r="N4" i="42"/>
  <c r="O3"/>
  <c r="N5"/>
  <c r="N47" i="35"/>
  <c r="P47" s="1"/>
  <c r="BY47" s="1"/>
  <c r="AT27" i="18"/>
  <c r="BQ111" i="35"/>
  <c r="P118"/>
  <c r="BR118"/>
  <c r="BS118"/>
  <c r="BT118"/>
  <c r="O4" i="42" l="1"/>
  <c r="O5" s="1"/>
  <c r="P3"/>
  <c r="BR110" i="35"/>
  <c r="P4" i="42" l="1"/>
  <c r="P5" s="1"/>
  <c r="Q3"/>
  <c r="AW65" i="18"/>
  <c r="Q4" i="42" l="1"/>
  <c r="Q5" s="1"/>
  <c r="R3"/>
  <c r="AW62" i="18"/>
  <c r="Z29"/>
  <c r="R5" i="42" l="1"/>
  <c r="R4"/>
  <c r="S3"/>
  <c r="AL26" i="18"/>
  <c r="N46" i="35" s="1"/>
  <c r="P46" s="1"/>
  <c r="BY46" s="1"/>
  <c r="S4" i="42" l="1"/>
  <c r="S5" s="1"/>
  <c r="T3"/>
  <c r="AT26" i="18"/>
  <c r="P51" i="35"/>
  <c r="BY51" s="1"/>
  <c r="T4" i="42" l="1"/>
  <c r="T5" s="1"/>
  <c r="U3"/>
  <c r="U5" l="1"/>
  <c r="U4"/>
  <c r="V3"/>
  <c r="G122" i="35"/>
  <c r="V4" i="42" l="1"/>
  <c r="V5" s="1"/>
  <c r="W3"/>
  <c r="AF78" i="18"/>
  <c r="BI34" i="35"/>
  <c r="BJ34"/>
  <c r="AA8"/>
  <c r="Z65" i="18"/>
  <c r="Z62"/>
  <c r="AW64" s="1"/>
  <c r="Z64" s="1"/>
  <c r="AL64" s="1"/>
  <c r="Z61"/>
  <c r="Z45"/>
  <c r="Z44"/>
  <c r="AF44" s="1"/>
  <c r="R70" i="36"/>
  <c r="F6"/>
  <c r="AR9" i="18"/>
  <c r="AB8" i="35" l="1"/>
  <c r="AC8" s="1"/>
  <c r="AD8" s="1"/>
  <c r="AE8" s="1"/>
  <c r="AF8" s="1"/>
  <c r="AG8" s="1"/>
  <c r="AH8" s="1"/>
  <c r="AI8" s="1"/>
  <c r="AJ8" s="1"/>
  <c r="AK8" s="1"/>
  <c r="AL8" s="1"/>
  <c r="AM8" s="1"/>
  <c r="AN8" s="1"/>
  <c r="AO8" s="1"/>
  <c r="AP8" s="1"/>
  <c r="AQ8" s="1"/>
  <c r="AR8" s="1"/>
  <c r="AS8" s="1"/>
  <c r="AT8" s="1"/>
  <c r="AU8" s="1"/>
  <c r="AV8" s="1"/>
  <c r="AW8" s="1"/>
  <c r="AX8" s="1"/>
  <c r="AY8" s="1"/>
  <c r="AZ8" s="1"/>
  <c r="BA8" s="1"/>
  <c r="BB8" s="1"/>
  <c r="BC8" s="1"/>
  <c r="BD8" s="1"/>
  <c r="BE8" s="1"/>
  <c r="BF8" s="1"/>
  <c r="BG8" s="1"/>
  <c r="BH8" s="1"/>
  <c r="BI8" s="1"/>
  <c r="BJ8" s="1"/>
  <c r="BK8" s="1"/>
  <c r="BL8" s="1"/>
  <c r="W5" i="42"/>
  <c r="W4"/>
  <c r="X3"/>
  <c r="AT64" i="18"/>
  <c r="N85" i="35"/>
  <c r="AH85" s="1"/>
  <c r="X4" i="42" l="1"/>
  <c r="X5" s="1"/>
  <c r="Y3"/>
  <c r="BY85" i="35"/>
  <c r="AL54" i="18"/>
  <c r="AS54" s="1"/>
  <c r="BK76" i="35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N76"/>
  <c r="AM76"/>
  <c r="AL76"/>
  <c r="AK76"/>
  <c r="AJ76"/>
  <c r="AI76"/>
  <c r="AH76"/>
  <c r="AH80" s="1"/>
  <c r="AA76"/>
  <c r="Z55" i="18"/>
  <c r="AL55" s="1"/>
  <c r="Y4" i="42" l="1"/>
  <c r="Y5" s="1"/>
  <c r="Z3"/>
  <c r="AT55" i="18"/>
  <c r="AU55"/>
  <c r="T55"/>
  <c r="Z5" i="42" l="1"/>
  <c r="Z4"/>
  <c r="AA3"/>
  <c r="BB17" i="18"/>
  <c r="BD82"/>
  <c r="X117" i="35" s="1"/>
  <c r="AA82"/>
  <c r="AA4" i="42" l="1"/>
  <c r="AA5" s="1"/>
  <c r="AB3"/>
  <c r="X118" i="35"/>
  <c r="Z87"/>
  <c r="Z80"/>
  <c r="AB4" i="42" l="1"/>
  <c r="AB5" s="1"/>
  <c r="AC3"/>
  <c r="Z10" i="18"/>
  <c r="AW37" s="1"/>
  <c r="Z37" s="1"/>
  <c r="G9"/>
  <c r="Z9" s="1"/>
  <c r="AF42" s="1"/>
  <c r="G8"/>
  <c r="Z8" s="1"/>
  <c r="AW36" s="1"/>
  <c r="Z36" s="1"/>
  <c r="Z7"/>
  <c r="Z6"/>
  <c r="Z5"/>
  <c r="AC5" i="42" l="1"/>
  <c r="AC4"/>
  <c r="AD3"/>
  <c r="BN11" i="35"/>
  <c r="AD4" i="42" l="1"/>
  <c r="AD5" s="1"/>
  <c r="AE3"/>
  <c r="BY51" i="18"/>
  <c r="D72" i="35"/>
  <c r="O72"/>
  <c r="AE4" i="42" l="1"/>
  <c r="AE5" s="1"/>
  <c r="AF3"/>
  <c r="AR52" i="18"/>
  <c r="O63" i="35"/>
  <c r="AF5" i="42" l="1"/>
  <c r="AF4"/>
  <c r="AG3"/>
  <c r="AF51" i="18"/>
  <c r="CC51" s="1"/>
  <c r="O100" i="35"/>
  <c r="O86"/>
  <c r="O84"/>
  <c r="O83"/>
  <c r="O82"/>
  <c r="O81"/>
  <c r="BN81" s="1"/>
  <c r="O79"/>
  <c r="O78"/>
  <c r="O77"/>
  <c r="O76"/>
  <c r="O75"/>
  <c r="O74"/>
  <c r="O71"/>
  <c r="O70"/>
  <c r="O69"/>
  <c r="O68"/>
  <c r="O67"/>
  <c r="O66"/>
  <c r="O65"/>
  <c r="O61"/>
  <c r="O60"/>
  <c r="O57"/>
  <c r="O54"/>
  <c r="BY54" s="1"/>
  <c r="O45"/>
  <c r="O49"/>
  <c r="AG4" i="42" l="1"/>
  <c r="AG5" s="1"/>
  <c r="AH3"/>
  <c r="O73" i="35"/>
  <c r="O87"/>
  <c r="AL51" i="18"/>
  <c r="O80" i="35"/>
  <c r="O58"/>
  <c r="AH4" i="42" l="1"/>
  <c r="AH5" s="1"/>
  <c r="AI3"/>
  <c r="AV51" i="18"/>
  <c r="AV52" s="1"/>
  <c r="AT51"/>
  <c r="N72" i="35"/>
  <c r="X95"/>
  <c r="AS49" i="18"/>
  <c r="AI5" i="42" l="1"/>
  <c r="AI4"/>
  <c r="AJ3"/>
  <c r="AP72" i="35"/>
  <c r="AV72"/>
  <c r="BA72"/>
  <c r="Z57" i="18"/>
  <c r="AF57" s="1"/>
  <c r="AJ4" i="42" l="1"/>
  <c r="AJ5" s="1"/>
  <c r="AK3"/>
  <c r="BY72" i="35"/>
  <c r="BZ72" s="1"/>
  <c r="Z28" i="18"/>
  <c r="Z32" s="1"/>
  <c r="D91" i="35"/>
  <c r="AK4" i="42" l="1"/>
  <c r="AK5" s="1"/>
  <c r="AL3"/>
  <c r="AW49" i="18"/>
  <c r="Z49" s="1"/>
  <c r="Z46"/>
  <c r="AL5" i="42" l="1"/>
  <c r="AL4"/>
  <c r="AM3"/>
  <c r="P54" i="36"/>
  <c r="AM4" i="42" l="1"/>
  <c r="AM5" s="1"/>
  <c r="AN3"/>
  <c r="BS53" i="35"/>
  <c r="BU53"/>
  <c r="BV53"/>
  <c r="BW53"/>
  <c r="AN5" i="42" l="1"/>
  <c r="AN4"/>
  <c r="AO3"/>
  <c r="BY7" i="35"/>
  <c r="AO4" i="42" l="1"/>
  <c r="AO5" s="1"/>
  <c r="AP3"/>
  <c r="H70" i="36"/>
  <c r="H69"/>
  <c r="G70"/>
  <c r="E70"/>
  <c r="AP4" i="42" l="1"/>
  <c r="AP5" s="1"/>
  <c r="AQ3"/>
  <c r="BY9" i="35"/>
  <c r="AQ4" i="42" l="1"/>
  <c r="AQ5" s="1"/>
  <c r="AR3"/>
  <c r="X144" i="35"/>
  <c r="Y144" s="1"/>
  <c r="AH144" s="1"/>
  <c r="AI144" s="1"/>
  <c r="AJ144" s="1"/>
  <c r="AK144" s="1"/>
  <c r="X89"/>
  <c r="Y89"/>
  <c r="AI89"/>
  <c r="AJ89"/>
  <c r="AK89"/>
  <c r="P89"/>
  <c r="D89"/>
  <c r="AQ3"/>
  <c r="P141"/>
  <c r="Y141"/>
  <c r="X141"/>
  <c r="X142" s="1"/>
  <c r="AR4" i="42" l="1"/>
  <c r="AR5" s="1"/>
  <c r="AS3"/>
  <c r="Y142" i="35"/>
  <c r="K89"/>
  <c r="BW143"/>
  <c r="BW89" s="1"/>
  <c r="AS5" i="42" l="1"/>
  <c r="AS4"/>
  <c r="AT3"/>
  <c r="BX143" i="35"/>
  <c r="BX89" s="1"/>
  <c r="AT4" i="42" l="1"/>
  <c r="AT5" s="1"/>
  <c r="AU3"/>
  <c r="BU143" i="35"/>
  <c r="BU89" s="1"/>
  <c r="BV143"/>
  <c r="BV89" s="1"/>
  <c r="AU4" i="42" l="1"/>
  <c r="AU5" s="1"/>
  <c r="AV3"/>
  <c r="BX73" i="35"/>
  <c r="BW73"/>
  <c r="BV73"/>
  <c r="BU73"/>
  <c r="BT73"/>
  <c r="BX64"/>
  <c r="BW64"/>
  <c r="BV64"/>
  <c r="BU64"/>
  <c r="BT64"/>
  <c r="BS64"/>
  <c r="BX95"/>
  <c r="BW95"/>
  <c r="BV95"/>
  <c r="P95"/>
  <c r="P86"/>
  <c r="P84"/>
  <c r="P83"/>
  <c r="P81"/>
  <c r="P79"/>
  <c r="P78"/>
  <c r="P77"/>
  <c r="P71"/>
  <c r="P70"/>
  <c r="P69"/>
  <c r="P67"/>
  <c r="BV80"/>
  <c r="BS80"/>
  <c r="BQ80"/>
  <c r="BJ80"/>
  <c r="BH80"/>
  <c r="BX87"/>
  <c r="BW87"/>
  <c r="BV87"/>
  <c r="BU87"/>
  <c r="D82"/>
  <c r="D83"/>
  <c r="D84"/>
  <c r="BX80"/>
  <c r="BW80"/>
  <c r="BU80"/>
  <c r="D75"/>
  <c r="D76"/>
  <c r="D77"/>
  <c r="D78"/>
  <c r="D79"/>
  <c r="D74"/>
  <c r="D66"/>
  <c r="D67"/>
  <c r="D68"/>
  <c r="D69"/>
  <c r="D70"/>
  <c r="D71"/>
  <c r="D65"/>
  <c r="BW58"/>
  <c r="BV58"/>
  <c r="BU58"/>
  <c r="BS58"/>
  <c r="D57"/>
  <c r="BX52"/>
  <c r="BW52"/>
  <c r="BV52"/>
  <c r="BU52"/>
  <c r="BT52"/>
  <c r="BS52"/>
  <c r="BR52"/>
  <c r="BQ52"/>
  <c r="D49"/>
  <c r="BY13"/>
  <c r="P23"/>
  <c r="Y8"/>
  <c r="BM8" s="1"/>
  <c r="AV4" i="42" l="1"/>
  <c r="AV5" s="1"/>
  <c r="AW3"/>
  <c r="BO8" i="35"/>
  <c r="BN8"/>
  <c r="P43"/>
  <c r="P87"/>
  <c r="AW4" i="42" l="1"/>
  <c r="AW5" s="1"/>
  <c r="AX3"/>
  <c r="BP8" i="35"/>
  <c r="BQ8" s="1"/>
  <c r="BR8" s="1"/>
  <c r="BS8" s="1"/>
  <c r="BT8" s="1"/>
  <c r="BU8" s="1"/>
  <c r="BV8" s="1"/>
  <c r="BW8" s="1"/>
  <c r="BX8" s="1"/>
  <c r="BY8" s="1"/>
  <c r="B40"/>
  <c r="AK32"/>
  <c r="AJ32"/>
  <c r="AI32"/>
  <c r="AH32"/>
  <c r="Y32"/>
  <c r="X32"/>
  <c r="AK14"/>
  <c r="AL14" s="1"/>
  <c r="X14"/>
  <c r="Y14" s="1"/>
  <c r="B13"/>
  <c r="B33" s="1"/>
  <c r="X12"/>
  <c r="Y12" s="1"/>
  <c r="BO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L11"/>
  <c r="AL12" s="1"/>
  <c r="B11"/>
  <c r="B24" s="1"/>
  <c r="X10"/>
  <c r="B9"/>
  <c r="B15" s="1"/>
  <c r="CC58" i="18"/>
  <c r="CC56"/>
  <c r="BY80"/>
  <c r="BY49"/>
  <c r="BY48"/>
  <c r="BY47"/>
  <c r="BY46"/>
  <c r="BY45"/>
  <c r="BY42"/>
  <c r="BY37"/>
  <c r="CC29"/>
  <c r="CB29"/>
  <c r="N76" i="35"/>
  <c r="AR87" i="18"/>
  <c r="AR38"/>
  <c r="BY57"/>
  <c r="AF49"/>
  <c r="AL49" s="1"/>
  <c r="AT49" s="1"/>
  <c r="AF46"/>
  <c r="AF37"/>
  <c r="AL37" s="1"/>
  <c r="AX5" i="42" l="1"/>
  <c r="AX4"/>
  <c r="AY3"/>
  <c r="N70" i="35"/>
  <c r="Y10"/>
  <c r="AA10"/>
  <c r="N57"/>
  <c r="AT37" i="18"/>
  <c r="AM14" i="35"/>
  <c r="AP14"/>
  <c r="AQ14" s="1"/>
  <c r="BY76"/>
  <c r="BZ76" s="1"/>
  <c r="X43"/>
  <c r="X120" s="1"/>
  <c r="X122" s="1"/>
  <c r="Y43"/>
  <c r="Y120" s="1"/>
  <c r="Y122" s="1"/>
  <c r="CC49" i="18"/>
  <c r="CC46"/>
  <c r="AF45"/>
  <c r="CC45" s="1"/>
  <c r="AL44"/>
  <c r="CC37"/>
  <c r="CC57"/>
  <c r="AQ12" i="35"/>
  <c r="AR12" s="1"/>
  <c r="AS12" s="1"/>
  <c r="CE29" i="18"/>
  <c r="CD29" s="1"/>
  <c r="AY4" i="42" l="1"/>
  <c r="AY5" s="1"/>
  <c r="AZ3"/>
  <c r="BN70" i="35"/>
  <c r="BP70"/>
  <c r="AL70"/>
  <c r="BJ70"/>
  <c r="BM70"/>
  <c r="BQ70"/>
  <c r="BE70"/>
  <c r="BL70"/>
  <c r="BI70"/>
  <c r="BA70"/>
  <c r="BO70"/>
  <c r="AU70"/>
  <c r="BB70"/>
  <c r="AZ70"/>
  <c r="AX70"/>
  <c r="BS70"/>
  <c r="BS73" s="1"/>
  <c r="AY70"/>
  <c r="BC70"/>
  <c r="AR70"/>
  <c r="AJ70"/>
  <c r="BG70"/>
  <c r="AK70"/>
  <c r="AV70"/>
  <c r="AO70"/>
  <c r="AT70"/>
  <c r="AW70"/>
  <c r="AM70"/>
  <c r="BK70"/>
  <c r="AI70"/>
  <c r="AP70"/>
  <c r="BH70"/>
  <c r="AS70"/>
  <c r="AH70"/>
  <c r="AQ70"/>
  <c r="AN70"/>
  <c r="BF70"/>
  <c r="BD70"/>
  <c r="BR70"/>
  <c r="AM10"/>
  <c r="AN10" s="1"/>
  <c r="AO10" s="1"/>
  <c r="AP10" s="1"/>
  <c r="AQ10" s="1"/>
  <c r="AR10" s="1"/>
  <c r="AS10" s="1"/>
  <c r="AT10" s="1"/>
  <c r="AU10" s="1"/>
  <c r="AV10" s="1"/>
  <c r="AW10" s="1"/>
  <c r="BG57"/>
  <c r="BH57"/>
  <c r="BJ57"/>
  <c r="X57"/>
  <c r="X58" s="1"/>
  <c r="P57"/>
  <c r="P58" s="1"/>
  <c r="AR14"/>
  <c r="AS14" s="1"/>
  <c r="AT14" s="1"/>
  <c r="AU14" s="1"/>
  <c r="AV14" s="1"/>
  <c r="AL46" i="18"/>
  <c r="AL45"/>
  <c r="N65" i="35"/>
  <c r="AL57" i="18"/>
  <c r="AU57" s="1"/>
  <c r="AT12" i="35"/>
  <c r="AU12" s="1"/>
  <c r="AV12" s="1"/>
  <c r="AE65" l="1"/>
  <c r="AD65"/>
  <c r="AC65"/>
  <c r="AB65"/>
  <c r="AF65"/>
  <c r="AU65"/>
  <c r="AG65"/>
  <c r="AZ4" i="42"/>
  <c r="AZ5" s="1"/>
  <c r="BA5" s="1"/>
  <c r="BA3"/>
  <c r="BA4" s="1"/>
  <c r="AH65" i="35"/>
  <c r="AP65"/>
  <c r="AA65"/>
  <c r="AO65"/>
  <c r="Z65"/>
  <c r="AL65"/>
  <c r="AK65"/>
  <c r="AJ65"/>
  <c r="AR65"/>
  <c r="AI65"/>
  <c r="AQ65"/>
  <c r="AN65"/>
  <c r="Y65"/>
  <c r="AM65"/>
  <c r="X65"/>
  <c r="AT65"/>
  <c r="AS65"/>
  <c r="BY70"/>
  <c r="BZ70" s="1"/>
  <c r="AT46" i="18"/>
  <c r="AU46" s="1"/>
  <c r="BY57" i="35"/>
  <c r="BZ57" s="1"/>
  <c r="AW14"/>
  <c r="AX14" s="1"/>
  <c r="AY14" s="1"/>
  <c r="AZ14" s="1"/>
  <c r="BA14" s="1"/>
  <c r="N67"/>
  <c r="N66"/>
  <c r="AW12"/>
  <c r="AX12" s="1"/>
  <c r="AY12" s="1"/>
  <c r="AZ12" s="1"/>
  <c r="BA12" s="1"/>
  <c r="BB12" s="1"/>
  <c r="N78"/>
  <c r="AX10"/>
  <c r="AD67" l="1"/>
  <c r="AD73" s="1"/>
  <c r="AL67"/>
  <c r="AT67"/>
  <c r="AC67"/>
  <c r="AC73" s="1"/>
  <c r="AK67"/>
  <c r="AS67"/>
  <c r="AB67"/>
  <c r="AJ67"/>
  <c r="AR67"/>
  <c r="AI67"/>
  <c r="AH67"/>
  <c r="AP67"/>
  <c r="AN67"/>
  <c r="AM67"/>
  <c r="AG67"/>
  <c r="AO67"/>
  <c r="AF67"/>
  <c r="AF73" s="1"/>
  <c r="AA67"/>
  <c r="AE67"/>
  <c r="AE73" s="1"/>
  <c r="AU67"/>
  <c r="AQ67"/>
  <c r="AG73"/>
  <c r="AB73"/>
  <c r="E4" i="42"/>
  <c r="X66" i="35"/>
  <c r="Y66"/>
  <c r="Z66"/>
  <c r="BL78"/>
  <c r="BM78"/>
  <c r="BY65"/>
  <c r="AT44" i="18"/>
  <c r="BB14" i="35"/>
  <c r="AY10"/>
  <c r="AZ10" s="1"/>
  <c r="BA10" s="1"/>
  <c r="BC12"/>
  <c r="BD12" s="1"/>
  <c r="BE12" s="1"/>
  <c r="BC14" l="1"/>
  <c r="BY78"/>
  <c r="BZ78" s="1"/>
  <c r="BY66"/>
  <c r="BY67"/>
  <c r="BZ67" s="1"/>
  <c r="BB10"/>
  <c r="BC10" s="1"/>
  <c r="BD10" s="1"/>
  <c r="BE10" s="1"/>
  <c r="BF12"/>
  <c r="BG12" s="1"/>
  <c r="BH12" s="1"/>
  <c r="BD14" l="1"/>
  <c r="BF10"/>
  <c r="BG10" s="1"/>
  <c r="BH10" s="1"/>
  <c r="BI10" s="1"/>
  <c r="BI12"/>
  <c r="BJ12" s="1"/>
  <c r="BK12" s="1"/>
  <c r="BE14" l="1"/>
  <c r="BJ10"/>
  <c r="BK10" s="1"/>
  <c r="BL10" s="1"/>
  <c r="BL12"/>
  <c r="BF14" l="1"/>
  <c r="BG14" s="1"/>
  <c r="BH14" s="1"/>
  <c r="BI14" s="1"/>
  <c r="BJ14" s="1"/>
  <c r="BK14" s="1"/>
  <c r="BL14" s="1"/>
  <c r="BM14" s="1"/>
  <c r="BM10"/>
  <c r="BM12"/>
  <c r="BN12" s="1"/>
  <c r="BN14" l="1"/>
  <c r="BO14"/>
  <c r="BN10"/>
  <c r="BO12"/>
  <c r="BP12" s="1"/>
  <c r="BQ14" l="1"/>
  <c r="BR14" s="1"/>
  <c r="BS14" s="1"/>
  <c r="BT14" s="1"/>
  <c r="BU14" s="1"/>
  <c r="BV14" s="1"/>
  <c r="BW14" s="1"/>
  <c r="BX14" s="1"/>
  <c r="BY14" s="1"/>
  <c r="BP14"/>
  <c r="BO10"/>
  <c r="BP10" l="1"/>
  <c r="BQ10" s="1"/>
  <c r="BR10" s="1"/>
  <c r="BS10" s="1"/>
  <c r="BT10" s="1"/>
  <c r="BU10" s="1"/>
  <c r="BV10" s="1"/>
  <c r="BW10" s="1"/>
  <c r="BW22" s="1"/>
  <c r="BV22" l="1"/>
  <c r="BU22"/>
  <c r="BX10"/>
  <c r="BX22" s="1"/>
  <c r="BY10" l="1"/>
  <c r="BY24" i="18"/>
  <c r="BY25"/>
  <c r="BY28"/>
  <c r="BY29"/>
  <c r="BY33"/>
  <c r="BY34"/>
  <c r="BY35"/>
  <c r="BY36"/>
  <c r="BY39"/>
  <c r="BY40"/>
  <c r="BY41"/>
  <c r="BY44"/>
  <c r="BY50"/>
  <c r="BY53"/>
  <c r="BY54"/>
  <c r="BY55"/>
  <c r="BY56"/>
  <c r="BY58"/>
  <c r="BY60"/>
  <c r="BY61"/>
  <c r="BY62"/>
  <c r="BY63"/>
  <c r="BY65"/>
  <c r="BY67"/>
  <c r="BY68"/>
  <c r="BY69"/>
  <c r="BY70"/>
  <c r="BY71"/>
  <c r="BY72"/>
  <c r="BY73"/>
  <c r="BY74"/>
  <c r="BY75"/>
  <c r="BY76"/>
  <c r="BY78"/>
  <c r="BY79"/>
  <c r="BY81"/>
  <c r="BY82"/>
  <c r="BY83"/>
  <c r="BY84"/>
  <c r="BY85"/>
  <c r="BY86"/>
  <c r="AL29"/>
  <c r="T29"/>
  <c r="BH21"/>
  <c r="BB19"/>
  <c r="N32" i="35" l="1"/>
  <c r="BZ32" s="1"/>
  <c r="AS29" i="18"/>
  <c r="N49" i="35"/>
  <c r="P49" s="1"/>
  <c r="BY49" l="1"/>
  <c r="BZ49" s="1"/>
  <c r="AT29" i="18"/>
  <c r="BH14"/>
  <c r="BH15"/>
  <c r="BH16"/>
  <c r="BH17"/>
  <c r="BH13"/>
  <c r="BB14"/>
  <c r="BB15"/>
  <c r="BB16"/>
  <c r="BB13"/>
  <c r="BH18" l="1"/>
  <c r="BH22" s="1"/>
  <c r="Z22" s="1"/>
  <c r="I70" i="36"/>
  <c r="I69"/>
  <c r="M70"/>
  <c r="K70"/>
  <c r="K54"/>
  <c r="H54"/>
  <c r="I54" s="1"/>
  <c r="G54"/>
  <c r="E54"/>
  <c r="Q55"/>
  <c r="R55"/>
  <c r="Q56"/>
  <c r="R56"/>
  <c r="Q57"/>
  <c r="R57"/>
  <c r="Q58"/>
  <c r="R58"/>
  <c r="B59"/>
  <c r="D6" i="40" l="1"/>
  <c r="D12" s="1"/>
  <c r="B22" i="36"/>
  <c r="F22" s="1"/>
  <c r="U70"/>
  <c r="S56"/>
  <c r="S58"/>
  <c r="S55"/>
  <c r="L54"/>
  <c r="M54" s="1"/>
  <c r="S57"/>
  <c r="AW20" i="18" l="1"/>
  <c r="Z20" s="1"/>
  <c r="A70" i="36"/>
  <c r="Q54"/>
  <c r="A36" s="1"/>
  <c r="R54" l="1"/>
  <c r="S54" s="1"/>
  <c r="BP20" i="18"/>
  <c r="AL20"/>
  <c r="D63" i="35"/>
  <c r="CC42" i="18"/>
  <c r="CC84"/>
  <c r="CB84"/>
  <c r="CB58"/>
  <c r="CE58" s="1"/>
  <c r="CD58" s="1"/>
  <c r="BS20" l="1"/>
  <c r="N25" i="35"/>
  <c r="AL42" i="18"/>
  <c r="CE84"/>
  <c r="CD84" s="1"/>
  <c r="BN25" i="35" l="1"/>
  <c r="BP25"/>
  <c r="N63"/>
  <c r="AT42" i="18"/>
  <c r="AK64" i="35"/>
  <c r="AZ64"/>
  <c r="AN64"/>
  <c r="BK64"/>
  <c r="BC64"/>
  <c r="AT64"/>
  <c r="AW64"/>
  <c r="BZ25"/>
  <c r="BC25"/>
  <c r="AT25"/>
  <c r="AW25"/>
  <c r="BK25"/>
  <c r="AX25"/>
  <c r="BL25"/>
  <c r="BG25"/>
  <c r="BJ25"/>
  <c r="BM25"/>
  <c r="AU25"/>
  <c r="BA25"/>
  <c r="BE25"/>
  <c r="BO25"/>
  <c r="BI25"/>
  <c r="BD25"/>
  <c r="AY25"/>
  <c r="BB25"/>
  <c r="BH25"/>
  <c r="AV25"/>
  <c r="BF25"/>
  <c r="AZ25"/>
  <c r="AS25"/>
  <c r="AR59" i="18"/>
  <c r="BY63" i="35" l="1"/>
  <c r="BZ63" s="1"/>
  <c r="AH64"/>
  <c r="CC86" i="18"/>
  <c r="D99" i="35" l="1"/>
  <c r="D98"/>
  <c r="CC85" i="18" l="1"/>
  <c r="N99" i="35"/>
  <c r="Y99" s="1"/>
  <c r="BY99" s="1"/>
  <c r="BZ99" s="1"/>
  <c r="N98"/>
  <c r="Y98" s="1"/>
  <c r="BY98" s="1"/>
  <c r="BZ98" s="1"/>
  <c r="CC82" i="18" l="1"/>
  <c r="CB82"/>
  <c r="CE82" l="1"/>
  <c r="CD82" s="1"/>
  <c r="K95" i="35" l="1"/>
  <c r="K94"/>
  <c r="K92" l="1"/>
  <c r="K93"/>
  <c r="D97"/>
  <c r="K96"/>
  <c r="D96"/>
  <c r="CC81" i="18" l="1"/>
  <c r="CC76"/>
  <c r="CC75"/>
  <c r="CC65"/>
  <c r="CC63"/>
  <c r="CC62"/>
  <c r="CC61"/>
  <c r="CC60"/>
  <c r="CC54"/>
  <c r="CC53"/>
  <c r="CC25"/>
  <c r="CC24"/>
  <c r="CC83"/>
  <c r="CB81"/>
  <c r="CB76"/>
  <c r="CB75"/>
  <c r="CB74"/>
  <c r="CB73"/>
  <c r="CB72"/>
  <c r="CB71"/>
  <c r="CB70"/>
  <c r="CB69"/>
  <c r="CB68"/>
  <c r="CB67"/>
  <c r="CB65"/>
  <c r="CB63"/>
  <c r="CB62"/>
  <c r="CB61"/>
  <c r="CB60"/>
  <c r="CB54"/>
  <c r="CB53"/>
  <c r="CB24"/>
  <c r="CB56" l="1"/>
  <c r="CE56" s="1"/>
  <c r="CD56" s="1"/>
  <c r="CC55"/>
  <c r="AF59"/>
  <c r="CC28" l="1"/>
  <c r="AF32"/>
  <c r="CC44"/>
  <c r="L6" i="37" l="1"/>
  <c r="H14"/>
  <c r="H15"/>
  <c r="H10"/>
  <c r="H12"/>
  <c r="H11"/>
  <c r="D93" i="35"/>
  <c r="BZ65" l="1"/>
  <c r="D48"/>
  <c r="P53" i="36" l="1"/>
  <c r="K53"/>
  <c r="G53"/>
  <c r="H53"/>
  <c r="I53" s="1"/>
  <c r="L53" l="1"/>
  <c r="M53" s="1"/>
  <c r="E22" i="39"/>
  <c r="E21"/>
  <c r="E20"/>
  <c r="F20" s="1"/>
  <c r="CE24" i="18" l="1"/>
  <c r="CD24" s="1"/>
  <c r="AF71"/>
  <c r="Q53" i="36" l="1"/>
  <c r="R53" s="1"/>
  <c r="F59"/>
  <c r="G59" s="1"/>
  <c r="D59"/>
  <c r="E59" s="1"/>
  <c r="H52"/>
  <c r="L52" s="1"/>
  <c r="M52" s="1"/>
  <c r="Q52" s="1"/>
  <c r="G52"/>
  <c r="E52"/>
  <c r="I51"/>
  <c r="B7" s="1"/>
  <c r="G51"/>
  <c r="E51"/>
  <c r="I50"/>
  <c r="B6" s="1"/>
  <c r="G50"/>
  <c r="E50"/>
  <c r="J59"/>
  <c r="K59" s="1"/>
  <c r="K52"/>
  <c r="K51"/>
  <c r="K50"/>
  <c r="CC70" i="18"/>
  <c r="CC68"/>
  <c r="CC67"/>
  <c r="CE74"/>
  <c r="CE73"/>
  <c r="CE72"/>
  <c r="A50" i="36" l="1"/>
  <c r="AW13" i="18"/>
  <c r="Z13" s="1"/>
  <c r="A51" i="36"/>
  <c r="AW14" i="18"/>
  <c r="Z14" s="1"/>
  <c r="L50" i="36"/>
  <c r="M50" s="1"/>
  <c r="Q50" s="1"/>
  <c r="L51"/>
  <c r="M51" s="1"/>
  <c r="Q51" s="1"/>
  <c r="S53"/>
  <c r="H59"/>
  <c r="I59" s="1"/>
  <c r="I52"/>
  <c r="B8" s="1"/>
  <c r="CC66" i="18"/>
  <c r="CC71"/>
  <c r="CE75"/>
  <c r="CD75" s="1"/>
  <c r="CE81"/>
  <c r="CD81" s="1"/>
  <c r="CE76"/>
  <c r="CD76" s="1"/>
  <c r="A52" i="36" l="1"/>
  <c r="AW15" i="18"/>
  <c r="Z15" s="1"/>
  <c r="AL13"/>
  <c r="BP13"/>
  <c r="BW13" s="1"/>
  <c r="BY13" s="1"/>
  <c r="N54" i="36"/>
  <c r="AW18" i="18"/>
  <c r="AL14"/>
  <c r="BP14"/>
  <c r="BW14" s="1"/>
  <c r="BY14" s="1"/>
  <c r="L59" i="36"/>
  <c r="M59" s="1"/>
  <c r="N51"/>
  <c r="N50"/>
  <c r="N53"/>
  <c r="N52"/>
  <c r="Q59"/>
  <c r="AF22" i="18" l="1"/>
  <c r="AL22" s="1"/>
  <c r="N42" i="35" s="1"/>
  <c r="AL15" i="18"/>
  <c r="BP15"/>
  <c r="BW15" s="1"/>
  <c r="BY15" s="1"/>
  <c r="BO64" i="35"/>
  <c r="D17" i="37"/>
  <c r="N40" i="35" l="1"/>
  <c r="N41"/>
  <c r="N27"/>
  <c r="AS71" i="18"/>
  <c r="AR71"/>
  <c r="AS66"/>
  <c r="AR66"/>
  <c r="BP42" i="35" l="1"/>
  <c r="AF40"/>
  <c r="AF42" s="1"/>
  <c r="AN40"/>
  <c r="AN42" s="1"/>
  <c r="AV40"/>
  <c r="AV42" s="1"/>
  <c r="BD40"/>
  <c r="BL40"/>
  <c r="AE40"/>
  <c r="AE42" s="1"/>
  <c r="AM40"/>
  <c r="AU40"/>
  <c r="AU42" s="1"/>
  <c r="BC40"/>
  <c r="BC42" s="1"/>
  <c r="BK40"/>
  <c r="AD40"/>
  <c r="AD42" s="1"/>
  <c r="AL40"/>
  <c r="AT40"/>
  <c r="BB40"/>
  <c r="BJ40"/>
  <c r="AK40"/>
  <c r="AK42" s="1"/>
  <c r="BA40"/>
  <c r="AB40"/>
  <c r="AB42" s="1"/>
  <c r="AJ40"/>
  <c r="AR40"/>
  <c r="AZ40"/>
  <c r="BH40"/>
  <c r="BP40"/>
  <c r="AP40"/>
  <c r="AP42" s="1"/>
  <c r="BF40"/>
  <c r="BF42" s="1"/>
  <c r="AO40"/>
  <c r="AO42" s="1"/>
  <c r="BM40"/>
  <c r="AC40"/>
  <c r="AC42" s="1"/>
  <c r="AS40"/>
  <c r="AA40"/>
  <c r="AA42" s="1"/>
  <c r="AI40"/>
  <c r="AQ40"/>
  <c r="AQ42" s="1"/>
  <c r="AY40"/>
  <c r="AY42" s="1"/>
  <c r="BG40"/>
  <c r="BG42" s="1"/>
  <c r="BO40"/>
  <c r="BO42" s="1"/>
  <c r="AH40"/>
  <c r="AH42" s="1"/>
  <c r="AX40"/>
  <c r="AX42" s="1"/>
  <c r="BN40"/>
  <c r="BN42" s="1"/>
  <c r="AG40"/>
  <c r="AG42" s="1"/>
  <c r="AW40"/>
  <c r="AW42" s="1"/>
  <c r="BE40"/>
  <c r="BE42" s="1"/>
  <c r="BI40"/>
  <c r="BI42" s="1"/>
  <c r="BN27"/>
  <c r="BP27"/>
  <c r="BH42"/>
  <c r="AZ42"/>
  <c r="AJ42"/>
  <c r="AS42"/>
  <c r="AM42"/>
  <c r="AI42"/>
  <c r="AR42"/>
  <c r="BA42"/>
  <c r="BJ42"/>
  <c r="BB42"/>
  <c r="AT42"/>
  <c r="AL42"/>
  <c r="BD42"/>
  <c r="BM41"/>
  <c r="BL41"/>
  <c r="BR40"/>
  <c r="BV40"/>
  <c r="BT40"/>
  <c r="BX40"/>
  <c r="BU40"/>
  <c r="BQ40"/>
  <c r="BS40"/>
  <c r="BW40"/>
  <c r="BZ27"/>
  <c r="BB27"/>
  <c r="BG27"/>
  <c r="BF27"/>
  <c r="BE27"/>
  <c r="BC27"/>
  <c r="BA27"/>
  <c r="BJ27"/>
  <c r="AZ27"/>
  <c r="BM27"/>
  <c r="BL27"/>
  <c r="BD27"/>
  <c r="BH27"/>
  <c r="BO27"/>
  <c r="BK27"/>
  <c r="BI27"/>
  <c r="AY27"/>
  <c r="F7" i="36"/>
  <c r="H7"/>
  <c r="BY41" i="35" l="1"/>
  <c r="BY40"/>
  <c r="BZ40" s="1"/>
  <c r="BM42"/>
  <c r="BL42"/>
  <c r="J7" i="36"/>
  <c r="BY42" i="35" l="1"/>
  <c r="D54"/>
  <c r="D86" l="1"/>
  <c r="AM3" l="1"/>
  <c r="AK3"/>
  <c r="BN132" s="1"/>
  <c r="P132" l="1"/>
  <c r="P88" s="1"/>
  <c r="BN88"/>
  <c r="D94"/>
  <c r="D92"/>
  <c r="P133" l="1"/>
  <c r="K88"/>
  <c r="AF36" i="18" l="1"/>
  <c r="CC36" l="1"/>
  <c r="AL36"/>
  <c r="N56" i="35" s="1"/>
  <c r="AH56" s="1"/>
  <c r="R72" i="36"/>
  <c r="Q72"/>
  <c r="R71"/>
  <c r="Q71"/>
  <c r="Q70"/>
  <c r="A42" s="1"/>
  <c r="P52"/>
  <c r="R52" s="1"/>
  <c r="S52" s="1"/>
  <c r="P51"/>
  <c r="R51" s="1"/>
  <c r="S51" s="1"/>
  <c r="P50"/>
  <c r="R50" s="1"/>
  <c r="K69"/>
  <c r="G69"/>
  <c r="E69"/>
  <c r="F8"/>
  <c r="J8" s="1"/>
  <c r="B10"/>
  <c r="B11"/>
  <c r="B12"/>
  <c r="B13"/>
  <c r="B14"/>
  <c r="F14" s="1"/>
  <c r="H11"/>
  <c r="H12"/>
  <c r="H13"/>
  <c r="H14"/>
  <c r="B16"/>
  <c r="F16" s="1"/>
  <c r="H16"/>
  <c r="H17"/>
  <c r="H18"/>
  <c r="H19"/>
  <c r="J22"/>
  <c r="H23"/>
  <c r="F23" s="1"/>
  <c r="J23" s="1"/>
  <c r="H24"/>
  <c r="E62"/>
  <c r="G62"/>
  <c r="H62"/>
  <c r="I62" s="1"/>
  <c r="K62"/>
  <c r="E63"/>
  <c r="G63"/>
  <c r="H63"/>
  <c r="L63" s="1"/>
  <c r="M63" s="1"/>
  <c r="B17" s="1"/>
  <c r="F17" s="1"/>
  <c r="K63"/>
  <c r="E64"/>
  <c r="G64"/>
  <c r="H64"/>
  <c r="I64" s="1"/>
  <c r="K64"/>
  <c r="E65"/>
  <c r="G65"/>
  <c r="H65"/>
  <c r="I65" s="1"/>
  <c r="K65"/>
  <c r="F73"/>
  <c r="G73" s="1"/>
  <c r="H73"/>
  <c r="I73" s="1"/>
  <c r="J73"/>
  <c r="K73" s="1"/>
  <c r="AQ56" i="35" l="1"/>
  <c r="AM56"/>
  <c r="A54" i="36"/>
  <c r="AW17" i="18"/>
  <c r="Z17" s="1"/>
  <c r="BP17" s="1"/>
  <c r="CA17" s="1"/>
  <c r="CB17" s="1"/>
  <c r="S50" i="36"/>
  <c r="S59" s="1"/>
  <c r="R59"/>
  <c r="J17"/>
  <c r="J16"/>
  <c r="L62"/>
  <c r="M62" s="1"/>
  <c r="L64"/>
  <c r="M64" s="1"/>
  <c r="B18" s="1"/>
  <c r="F18" s="1"/>
  <c r="J18" s="1"/>
  <c r="H25"/>
  <c r="A34"/>
  <c r="L65"/>
  <c r="M65" s="1"/>
  <c r="B19" s="1"/>
  <c r="F19" s="1"/>
  <c r="J19" s="1"/>
  <c r="I63"/>
  <c r="F24"/>
  <c r="J24" s="1"/>
  <c r="B9"/>
  <c r="AW16" i="18" s="1"/>
  <c r="Z16" s="1"/>
  <c r="A40" i="36"/>
  <c r="J14"/>
  <c r="F10"/>
  <c r="J10" s="1"/>
  <c r="A38"/>
  <c r="F12"/>
  <c r="J12" s="1"/>
  <c r="A33"/>
  <c r="A39"/>
  <c r="F13"/>
  <c r="J13" s="1"/>
  <c r="D73"/>
  <c r="E73" s="1"/>
  <c r="A37"/>
  <c r="F11"/>
  <c r="J11" s="1"/>
  <c r="H20"/>
  <c r="H15"/>
  <c r="A35"/>
  <c r="AL16" i="18" l="1"/>
  <c r="BP16"/>
  <c r="BW16" s="1"/>
  <c r="BY16" s="1"/>
  <c r="Z18"/>
  <c r="F9" i="36"/>
  <c r="J9" s="1"/>
  <c r="A53"/>
  <c r="J20"/>
  <c r="J6"/>
  <c r="M69"/>
  <c r="L73"/>
  <c r="M73" s="1"/>
  <c r="AW21" i="18" s="1"/>
  <c r="C6" i="40" l="1"/>
  <c r="C7" s="1"/>
  <c r="D7" s="1"/>
  <c r="AW48" i="18"/>
  <c r="Z48" s="1"/>
  <c r="AW63"/>
  <c r="Z63" s="1"/>
  <c r="B21" i="36"/>
  <c r="U69"/>
  <c r="BB18" i="18"/>
  <c r="J15" i="36"/>
  <c r="A32"/>
  <c r="Q69"/>
  <c r="D81" i="35"/>
  <c r="C12" i="40" l="1"/>
  <c r="C13" s="1"/>
  <c r="AL48" i="18"/>
  <c r="N69" i="35" s="1"/>
  <c r="AA69" s="1"/>
  <c r="AL63" i="18"/>
  <c r="AT63" s="1"/>
  <c r="AW19"/>
  <c r="Z19" s="1"/>
  <c r="F21" i="36"/>
  <c r="J21" s="1"/>
  <c r="A69"/>
  <c r="N84" i="35"/>
  <c r="T61" i="18"/>
  <c r="CE70"/>
  <c r="CD70" s="1"/>
  <c r="CE62"/>
  <c r="CD62" s="1"/>
  <c r="CE60"/>
  <c r="CD60" s="1"/>
  <c r="CE68"/>
  <c r="CD68" s="1"/>
  <c r="CE67"/>
  <c r="CD67" s="1"/>
  <c r="CE65"/>
  <c r="CD65" s="1"/>
  <c r="CE61"/>
  <c r="CD61" s="1"/>
  <c r="CE54"/>
  <c r="CD54" s="1"/>
  <c r="CE53"/>
  <c r="CD53" s="1"/>
  <c r="R69" i="36"/>
  <c r="A41"/>
  <c r="A45" s="1"/>
  <c r="B32" s="1"/>
  <c r="Q73"/>
  <c r="Q75" s="1"/>
  <c r="AL61" i="18"/>
  <c r="AT61" s="1"/>
  <c r="Z21" l="1"/>
  <c r="AT48"/>
  <c r="AH84" i="35"/>
  <c r="AH87" s="1"/>
  <c r="BP84"/>
  <c r="BP87" s="1"/>
  <c r="AA87"/>
  <c r="D13" i="40"/>
  <c r="BY69" i="35"/>
  <c r="BZ69" s="1"/>
  <c r="BN84"/>
  <c r="BN87" s="1"/>
  <c r="BQ84"/>
  <c r="BO84"/>
  <c r="BO87" s="1"/>
  <c r="AS87"/>
  <c r="BR84"/>
  <c r="BF87"/>
  <c r="AL87"/>
  <c r="AZ87"/>
  <c r="BM84"/>
  <c r="BT84"/>
  <c r="BT87" s="1"/>
  <c r="BL84"/>
  <c r="BS84"/>
  <c r="BS87" s="1"/>
  <c r="AX87"/>
  <c r="AR87"/>
  <c r="BJ87"/>
  <c r="AT87"/>
  <c r="AU87"/>
  <c r="BP19" i="18"/>
  <c r="BG87" i="35"/>
  <c r="J25" i="36"/>
  <c r="J26" s="1"/>
  <c r="S69"/>
  <c r="S73" s="1"/>
  <c r="R73"/>
  <c r="D32"/>
  <c r="F32" s="1"/>
  <c r="B36"/>
  <c r="D36" s="1"/>
  <c r="F36" s="1"/>
  <c r="H36" s="1"/>
  <c r="AF17" i="18" s="1"/>
  <c r="B40" i="36"/>
  <c r="D40" s="1"/>
  <c r="F40" s="1"/>
  <c r="H40" s="1"/>
  <c r="B43"/>
  <c r="D43" s="1"/>
  <c r="F43" s="1"/>
  <c r="H43" s="1"/>
  <c r="B44"/>
  <c r="D44" s="1"/>
  <c r="F44" s="1"/>
  <c r="H44" s="1"/>
  <c r="B38"/>
  <c r="D38" s="1"/>
  <c r="F38" s="1"/>
  <c r="H38" s="1"/>
  <c r="B34"/>
  <c r="D34" s="1"/>
  <c r="B42"/>
  <c r="D42" s="1"/>
  <c r="F42" s="1"/>
  <c r="H42" s="1"/>
  <c r="B37"/>
  <c r="D37" s="1"/>
  <c r="F37" s="1"/>
  <c r="H37" s="1"/>
  <c r="B33"/>
  <c r="D33" s="1"/>
  <c r="F33" s="1"/>
  <c r="B39"/>
  <c r="D39" s="1"/>
  <c r="F39" s="1"/>
  <c r="H39" s="1"/>
  <c r="B35"/>
  <c r="D35" s="1"/>
  <c r="F35" s="1"/>
  <c r="B41"/>
  <c r="D41" s="1"/>
  <c r="N82" i="35"/>
  <c r="Z23" i="18" l="1"/>
  <c r="AW53" s="1"/>
  <c r="Z53" s="1"/>
  <c r="BV53" s="1"/>
  <c r="AW50"/>
  <c r="Z50" s="1"/>
  <c r="BB21"/>
  <c r="E6" i="40"/>
  <c r="E12" s="1"/>
  <c r="BI82" i="35"/>
  <c r="AY82"/>
  <c r="F6" i="40"/>
  <c r="E7"/>
  <c r="C43"/>
  <c r="C42"/>
  <c r="C41"/>
  <c r="C44"/>
  <c r="C40"/>
  <c r="C29"/>
  <c r="AI87" i="35"/>
  <c r="BY84"/>
  <c r="BZ84" s="1"/>
  <c r="F41" i="36"/>
  <c r="H41" s="1"/>
  <c r="AF18" i="18"/>
  <c r="AL18" s="1"/>
  <c r="AL17"/>
  <c r="AL62"/>
  <c r="AN87" i="35"/>
  <c r="BD87"/>
  <c r="S75" i="36"/>
  <c r="L33" s="1"/>
  <c r="R75"/>
  <c r="F34"/>
  <c r="B45"/>
  <c r="AF50" i="18" l="1"/>
  <c r="CC50" s="1"/>
  <c r="BV50"/>
  <c r="BV21"/>
  <c r="AW58"/>
  <c r="BV31"/>
  <c r="BV39"/>
  <c r="BV55"/>
  <c r="BV71"/>
  <c r="BV79"/>
  <c r="BV29"/>
  <c r="BV37"/>
  <c r="BV69"/>
  <c r="BV85"/>
  <c r="BV44"/>
  <c r="BV60"/>
  <c r="BV84"/>
  <c r="BV35"/>
  <c r="BV51"/>
  <c r="BV67"/>
  <c r="BV83"/>
  <c r="BV30"/>
  <c r="BV38"/>
  <c r="BV46"/>
  <c r="BV54"/>
  <c r="BV62"/>
  <c r="BV70"/>
  <c r="BV78"/>
  <c r="BV86"/>
  <c r="BV45"/>
  <c r="BV61"/>
  <c r="BV28"/>
  <c r="BV36"/>
  <c r="BV68"/>
  <c r="BV27"/>
  <c r="BV43"/>
  <c r="BV26"/>
  <c r="BV34"/>
  <c r="BV42"/>
  <c r="BV74"/>
  <c r="BV24"/>
  <c r="BV25"/>
  <c r="BV33"/>
  <c r="BV41"/>
  <c r="BV49"/>
  <c r="BV57"/>
  <c r="BV65"/>
  <c r="BV73"/>
  <c r="BV23"/>
  <c r="BV32"/>
  <c r="BV40"/>
  <c r="BV56"/>
  <c r="BV64"/>
  <c r="BV72"/>
  <c r="BV80"/>
  <c r="BV22"/>
  <c r="BV20"/>
  <c r="BV18"/>
  <c r="BV63"/>
  <c r="BV48"/>
  <c r="BV19"/>
  <c r="AW47"/>
  <c r="Z47" s="1"/>
  <c r="BV47" s="1"/>
  <c r="BY82" i="35"/>
  <c r="BZ82" s="1"/>
  <c r="F7" i="40"/>
  <c r="E13"/>
  <c r="C23" s="1"/>
  <c r="F12"/>
  <c r="E15"/>
  <c r="C35" s="1"/>
  <c r="BS17" i="18"/>
  <c r="BW17" s="1"/>
  <c r="BY17" s="1"/>
  <c r="BX6" i="35"/>
  <c r="AF21" i="18"/>
  <c r="AF23" s="1"/>
  <c r="AL19"/>
  <c r="AL21" s="1"/>
  <c r="AT62"/>
  <c r="BQ39" i="35"/>
  <c r="L32" i="36"/>
  <c r="H45"/>
  <c r="F45"/>
  <c r="D55" i="35"/>
  <c r="AL50" i="18" l="1"/>
  <c r="AT50" s="1"/>
  <c r="C19" i="40"/>
  <c r="C20"/>
  <c r="C22"/>
  <c r="C24"/>
  <c r="F13"/>
  <c r="C21"/>
  <c r="C32"/>
  <c r="C33"/>
  <c r="C31"/>
  <c r="C30"/>
  <c r="C34"/>
  <c r="AF47" i="18"/>
  <c r="AF52" s="1"/>
  <c r="Z52"/>
  <c r="BV52" s="1"/>
  <c r="BS19"/>
  <c r="N24" i="35"/>
  <c r="N23"/>
  <c r="I46" i="36"/>
  <c r="J27"/>
  <c r="J28" s="1"/>
  <c r="L34"/>
  <c r="N71" i="35" l="1"/>
  <c r="AH71" s="1"/>
  <c r="AH73" s="1"/>
  <c r="BN24"/>
  <c r="BN32" s="1"/>
  <c r="BP24"/>
  <c r="BP32" s="1"/>
  <c r="BC71"/>
  <c r="BA71"/>
  <c r="AO71"/>
  <c r="AS71"/>
  <c r="AP71"/>
  <c r="CC47" i="18"/>
  <c r="CC52" s="1"/>
  <c r="AL47"/>
  <c r="N26" i="35"/>
  <c r="N39"/>
  <c r="BK24"/>
  <c r="BK32" s="1"/>
  <c r="BB24"/>
  <c r="BB32" s="1"/>
  <c r="AQ24"/>
  <c r="AQ32" s="1"/>
  <c r="BJ24"/>
  <c r="BJ32" s="1"/>
  <c r="BE24"/>
  <c r="BE32" s="1"/>
  <c r="AT24"/>
  <c r="AT32" s="1"/>
  <c r="AW24"/>
  <c r="AW32" s="1"/>
  <c r="BM24"/>
  <c r="BM32" s="1"/>
  <c r="BO24"/>
  <c r="BO32" s="1"/>
  <c r="BC24"/>
  <c r="BC32" s="1"/>
  <c r="AU24"/>
  <c r="AU32" s="1"/>
  <c r="BL24"/>
  <c r="BL32" s="1"/>
  <c r="AS24"/>
  <c r="AS32" s="1"/>
  <c r="BH24"/>
  <c r="BH32" s="1"/>
  <c r="BA24"/>
  <c r="BA32" s="1"/>
  <c r="AY24"/>
  <c r="AY32" s="1"/>
  <c r="BZ24"/>
  <c r="AV24"/>
  <c r="AV32" s="1"/>
  <c r="AR24"/>
  <c r="AR32" s="1"/>
  <c r="AX24"/>
  <c r="AX32" s="1"/>
  <c r="AZ24"/>
  <c r="AZ32" s="1"/>
  <c r="AL24"/>
  <c r="AL32" s="1"/>
  <c r="BG24"/>
  <c r="BG32" s="1"/>
  <c r="BF24"/>
  <c r="BF32" s="1"/>
  <c r="BD24"/>
  <c r="BD32" s="1"/>
  <c r="BI24"/>
  <c r="BI32" s="1"/>
  <c r="AL23" i="18"/>
  <c r="BT30" s="1"/>
  <c r="N17" i="35"/>
  <c r="N20"/>
  <c r="BP20" s="1"/>
  <c r="N15"/>
  <c r="N22"/>
  <c r="BP22" s="1"/>
  <c r="N18"/>
  <c r="N21"/>
  <c r="BP21" s="1"/>
  <c r="N19"/>
  <c r="N16"/>
  <c r="BR39"/>
  <c r="L35" i="36"/>
  <c r="M32"/>
  <c r="M33"/>
  <c r="AU71" i="35" l="1"/>
  <c r="BQ71"/>
  <c r="BQ73" s="1"/>
  <c r="BI71"/>
  <c r="BK71"/>
  <c r="BH71"/>
  <c r="AR71"/>
  <c r="AK71"/>
  <c r="BL71"/>
  <c r="AI71"/>
  <c r="BY71" s="1"/>
  <c r="BZ71" s="1"/>
  <c r="BJ71"/>
  <c r="AQ71"/>
  <c r="BN71"/>
  <c r="BN73" s="1"/>
  <c r="AN71"/>
  <c r="BM71"/>
  <c r="BM73" s="1"/>
  <c r="BP71"/>
  <c r="BP73" s="1"/>
  <c r="BR71"/>
  <c r="BR73" s="1"/>
  <c r="AZ71"/>
  <c r="AL71"/>
  <c r="AW71"/>
  <c r="AT71"/>
  <c r="BO71"/>
  <c r="BO73" s="1"/>
  <c r="BG71"/>
  <c r="BF71"/>
  <c r="AY71"/>
  <c r="BB71"/>
  <c r="BD71"/>
  <c r="AJ71"/>
  <c r="AV71"/>
  <c r="Y71"/>
  <c r="BE71"/>
  <c r="AM71"/>
  <c r="AX71"/>
  <c r="AI15"/>
  <c r="AQ15"/>
  <c r="AY15"/>
  <c r="BG15"/>
  <c r="BO15"/>
  <c r="AH15"/>
  <c r="AP15"/>
  <c r="AX15"/>
  <c r="BF15"/>
  <c r="BN15"/>
  <c r="AW15"/>
  <c r="AN15"/>
  <c r="BL15"/>
  <c r="AE15"/>
  <c r="AE23" s="1"/>
  <c r="AE43" s="1"/>
  <c r="AM15"/>
  <c r="AU15"/>
  <c r="BC15"/>
  <c r="BK15"/>
  <c r="AC15"/>
  <c r="AC23" s="1"/>
  <c r="AC43" s="1"/>
  <c r="AS15"/>
  <c r="BI15"/>
  <c r="AJ15"/>
  <c r="AZ15"/>
  <c r="BP15"/>
  <c r="AO15"/>
  <c r="BM15"/>
  <c r="AF15"/>
  <c r="AF23" s="1"/>
  <c r="AF43" s="1"/>
  <c r="BD15"/>
  <c r="AD15"/>
  <c r="AD23" s="1"/>
  <c r="AD43" s="1"/>
  <c r="AL15"/>
  <c r="AT15"/>
  <c r="BB15"/>
  <c r="BJ15"/>
  <c r="AK15"/>
  <c r="AK23" s="1"/>
  <c r="BA15"/>
  <c r="AA15"/>
  <c r="AA23" s="1"/>
  <c r="AB15"/>
  <c r="AB23" s="1"/>
  <c r="AB43" s="1"/>
  <c r="AR15"/>
  <c r="BH15"/>
  <c r="AG15"/>
  <c r="BE15"/>
  <c r="AV15"/>
  <c r="BD19"/>
  <c r="BL19"/>
  <c r="BC19"/>
  <c r="BK19"/>
  <c r="BJ19"/>
  <c r="AY19"/>
  <c r="BI19"/>
  <c r="BH19"/>
  <c r="BP19"/>
  <c r="BF19"/>
  <c r="BE19"/>
  <c r="BA19"/>
  <c r="BG19"/>
  <c r="BO19"/>
  <c r="BN19"/>
  <c r="BM19"/>
  <c r="BB19"/>
  <c r="AZ19"/>
  <c r="AL16"/>
  <c r="AT16"/>
  <c r="BB16"/>
  <c r="BJ16"/>
  <c r="AG16"/>
  <c r="AG141" s="1"/>
  <c r="AG142" s="1"/>
  <c r="AK16"/>
  <c r="AK141" s="1"/>
  <c r="AS16"/>
  <c r="BA16"/>
  <c r="BI16"/>
  <c r="AH16"/>
  <c r="AH141" s="1"/>
  <c r="AH142" s="1"/>
  <c r="AR16"/>
  <c r="BP16"/>
  <c r="AI16"/>
  <c r="AI141" s="1"/>
  <c r="BG16"/>
  <c r="AP16"/>
  <c r="AX16"/>
  <c r="BF16"/>
  <c r="BN16"/>
  <c r="AN16"/>
  <c r="BD16"/>
  <c r="AU16"/>
  <c r="BK16"/>
  <c r="BH16"/>
  <c r="AY16"/>
  <c r="AO16"/>
  <c r="AW16"/>
  <c r="BE16"/>
  <c r="BM16"/>
  <c r="AV16"/>
  <c r="BL16"/>
  <c r="AM16"/>
  <c r="BC16"/>
  <c r="AJ16"/>
  <c r="AJ141" s="1"/>
  <c r="AZ16"/>
  <c r="AQ16"/>
  <c r="BO16"/>
  <c r="AV18"/>
  <c r="BD18"/>
  <c r="BL18"/>
  <c r="AU18"/>
  <c r="BC18"/>
  <c r="BK18"/>
  <c r="BB18"/>
  <c r="BJ18"/>
  <c r="AS18"/>
  <c r="BI18"/>
  <c r="AZ18"/>
  <c r="BH18"/>
  <c r="BP18"/>
  <c r="AX18"/>
  <c r="AW18"/>
  <c r="BM18"/>
  <c r="BA18"/>
  <c r="AT18"/>
  <c r="AY18"/>
  <c r="BG18"/>
  <c r="BO18"/>
  <c r="BF18"/>
  <c r="BN18"/>
  <c r="BE18"/>
  <c r="AP17"/>
  <c r="AX17"/>
  <c r="BF17"/>
  <c r="BN17"/>
  <c r="AO17"/>
  <c r="AW17"/>
  <c r="BE17"/>
  <c r="BM17"/>
  <c r="BD17"/>
  <c r="BC17"/>
  <c r="AT17"/>
  <c r="BB17"/>
  <c r="BJ17"/>
  <c r="AM17"/>
  <c r="AR17"/>
  <c r="BH17"/>
  <c r="AY17"/>
  <c r="BO17"/>
  <c r="BL17"/>
  <c r="BK17"/>
  <c r="AS17"/>
  <c r="BA17"/>
  <c r="BI17"/>
  <c r="AN17"/>
  <c r="AZ17"/>
  <c r="BP17"/>
  <c r="AQ17"/>
  <c r="BG17"/>
  <c r="AV17"/>
  <c r="AU17"/>
  <c r="BN26"/>
  <c r="BP26"/>
  <c r="AU47" i="18"/>
  <c r="AU52" s="1"/>
  <c r="AT47"/>
  <c r="BT27"/>
  <c r="BT31"/>
  <c r="BM22" i="35"/>
  <c r="BL22"/>
  <c r="AS50" i="18"/>
  <c r="AS52" s="1"/>
  <c r="N68" i="35"/>
  <c r="P73"/>
  <c r="BT64" i="18"/>
  <c r="BT26"/>
  <c r="AL52"/>
  <c r="BL21" i="35"/>
  <c r="BN21"/>
  <c r="BE20"/>
  <c r="BN20"/>
  <c r="BT18" i="18"/>
  <c r="BT51"/>
  <c r="CB20"/>
  <c r="BQ22" i="35"/>
  <c r="BM21"/>
  <c r="BI21"/>
  <c r="BT50" i="18"/>
  <c r="BT37"/>
  <c r="BT13"/>
  <c r="BT47"/>
  <c r="BT22"/>
  <c r="BT63"/>
  <c r="BT29"/>
  <c r="BT19"/>
  <c r="BT44"/>
  <c r="BT46"/>
  <c r="BT62"/>
  <c r="BT48"/>
  <c r="BT45"/>
  <c r="BT14"/>
  <c r="BT15"/>
  <c r="BT16"/>
  <c r="N28" i="35"/>
  <c r="N43"/>
  <c r="BT20" i="18"/>
  <c r="BT56"/>
  <c r="BT49"/>
  <c r="BT42"/>
  <c r="BT57"/>
  <c r="BT17"/>
  <c r="BT55"/>
  <c r="BT21"/>
  <c r="N36" i="35"/>
  <c r="N33"/>
  <c r="N37"/>
  <c r="BI37" s="1"/>
  <c r="BY37" s="1"/>
  <c r="N34"/>
  <c r="N35"/>
  <c r="N38"/>
  <c r="AW26"/>
  <c r="BE26"/>
  <c r="AX26"/>
  <c r="BI26"/>
  <c r="BH26"/>
  <c r="BJ26"/>
  <c r="BB26"/>
  <c r="AY26"/>
  <c r="BA26"/>
  <c r="BC26"/>
  <c r="BM26"/>
  <c r="BK26"/>
  <c r="BZ26"/>
  <c r="AZ26"/>
  <c r="BD26"/>
  <c r="BL26"/>
  <c r="AV26"/>
  <c r="BF26"/>
  <c r="BO26"/>
  <c r="BG26"/>
  <c r="BT21"/>
  <c r="BQ21"/>
  <c r="BJ21"/>
  <c r="BR21"/>
  <c r="BW21"/>
  <c r="BO21"/>
  <c r="BX21"/>
  <c r="BK21"/>
  <c r="BS21"/>
  <c r="BV21"/>
  <c r="BU21"/>
  <c r="BH20"/>
  <c r="BV20"/>
  <c r="BW20"/>
  <c r="BJ20"/>
  <c r="BT20"/>
  <c r="BL20"/>
  <c r="BS20"/>
  <c r="BM20"/>
  <c r="BI20"/>
  <c r="BK20"/>
  <c r="BF20"/>
  <c r="BR20"/>
  <c r="BG20"/>
  <c r="BX20"/>
  <c r="BU20"/>
  <c r="BQ20"/>
  <c r="BO20"/>
  <c r="BR18"/>
  <c r="BW18"/>
  <c r="BS18"/>
  <c r="BQ18"/>
  <c r="BU18"/>
  <c r="BV18"/>
  <c r="BT18"/>
  <c r="BX18"/>
  <c r="BR17"/>
  <c r="BU17"/>
  <c r="BV17"/>
  <c r="BW17"/>
  <c r="BT17"/>
  <c r="BS17"/>
  <c r="BX17"/>
  <c r="BQ17"/>
  <c r="BR16"/>
  <c r="BQ16"/>
  <c r="AN141"/>
  <c r="BU16"/>
  <c r="BT16"/>
  <c r="BX16"/>
  <c r="AM141"/>
  <c r="BW16"/>
  <c r="AO141"/>
  <c r="BS16"/>
  <c r="BV16"/>
  <c r="BS19"/>
  <c r="BU19"/>
  <c r="BV19"/>
  <c r="BT19"/>
  <c r="BW19"/>
  <c r="BX19"/>
  <c r="BQ19"/>
  <c r="BR19"/>
  <c r="BU15"/>
  <c r="BT15"/>
  <c r="BV15"/>
  <c r="BQ15"/>
  <c r="AJ23"/>
  <c r="BX15"/>
  <c r="BR15"/>
  <c r="BS15"/>
  <c r="BW15"/>
  <c r="M34" i="36"/>
  <c r="M35" s="1"/>
  <c r="AI23" i="35" l="1"/>
  <c r="AI43" s="1"/>
  <c r="AI120" s="1"/>
  <c r="AF120"/>
  <c r="AF122" s="1"/>
  <c r="AC120"/>
  <c r="AC122" s="1"/>
  <c r="AB120"/>
  <c r="AB122" s="1"/>
  <c r="AD120"/>
  <c r="AD122" s="1"/>
  <c r="AE120"/>
  <c r="AE122" s="1"/>
  <c r="AI142"/>
  <c r="AJ142" s="1"/>
  <c r="AK142" s="1"/>
  <c r="AL143" s="1"/>
  <c r="AG23"/>
  <c r="AG43" s="1"/>
  <c r="BY22"/>
  <c r="BZ22" s="1"/>
  <c r="BY21"/>
  <c r="BZ21" s="1"/>
  <c r="BY15"/>
  <c r="BZ15" s="1"/>
  <c r="BY20"/>
  <c r="BZ20" s="1"/>
  <c r="BY18"/>
  <c r="BZ18" s="1"/>
  <c r="BY19"/>
  <c r="BZ19" s="1"/>
  <c r="BY16"/>
  <c r="BZ16" s="1"/>
  <c r="BY17"/>
  <c r="BZ17" s="1"/>
  <c r="BP141"/>
  <c r="BH28"/>
  <c r="BP28"/>
  <c r="BP23"/>
  <c r="BP43" s="1"/>
  <c r="BI68"/>
  <c r="BI73" s="1"/>
  <c r="Y68"/>
  <c r="Y73" s="1"/>
  <c r="X68"/>
  <c r="X73" s="1"/>
  <c r="AA68"/>
  <c r="AA73" s="1"/>
  <c r="AQ68"/>
  <c r="AQ73" s="1"/>
  <c r="AV68"/>
  <c r="AV73" s="1"/>
  <c r="BA68"/>
  <c r="BA73" s="1"/>
  <c r="BE68"/>
  <c r="BE73" s="1"/>
  <c r="Z68"/>
  <c r="Z73" s="1"/>
  <c r="AL68"/>
  <c r="AL73" s="1"/>
  <c r="AJ43"/>
  <c r="AJ120" s="1"/>
  <c r="AK43"/>
  <c r="AK120" s="1"/>
  <c r="S73"/>
  <c r="T73"/>
  <c r="U73"/>
  <c r="V73"/>
  <c r="W73"/>
  <c r="Q73"/>
  <c r="R73"/>
  <c r="AY73"/>
  <c r="BK73"/>
  <c r="BL73"/>
  <c r="BM38"/>
  <c r="BM39" s="1"/>
  <c r="BL38"/>
  <c r="AR73"/>
  <c r="AZ73"/>
  <c r="AN73"/>
  <c r="AK73"/>
  <c r="AJ73"/>
  <c r="AS73"/>
  <c r="AO73"/>
  <c r="BF73"/>
  <c r="BC73"/>
  <c r="BJ73"/>
  <c r="BG73"/>
  <c r="AW73"/>
  <c r="N73"/>
  <c r="BD73"/>
  <c r="AT73"/>
  <c r="AX73"/>
  <c r="AP73"/>
  <c r="AM73"/>
  <c r="AU73"/>
  <c r="BH73"/>
  <c r="BB73"/>
  <c r="AI73"/>
  <c r="BN141"/>
  <c r="BK141"/>
  <c r="BE36"/>
  <c r="BF36"/>
  <c r="BH36"/>
  <c r="BC33"/>
  <c r="AQ33"/>
  <c r="BB33"/>
  <c r="AW33"/>
  <c r="BD33"/>
  <c r="AR33"/>
  <c r="AR39" s="1"/>
  <c r="BA33"/>
  <c r="AT33"/>
  <c r="AT39" s="1"/>
  <c r="AS33"/>
  <c r="AS39" s="1"/>
  <c r="AZ33"/>
  <c r="AY33"/>
  <c r="AU33"/>
  <c r="AU39" s="1"/>
  <c r="AX33"/>
  <c r="AV33"/>
  <c r="AX34"/>
  <c r="AX141" s="1"/>
  <c r="BH34"/>
  <c r="BB34"/>
  <c r="AY34"/>
  <c r="AY141" s="1"/>
  <c r="BC34"/>
  <c r="AV34"/>
  <c r="AW34"/>
  <c r="BG34"/>
  <c r="BG141" s="1"/>
  <c r="BA34"/>
  <c r="AZ34"/>
  <c r="AZ141" s="1"/>
  <c r="BD34"/>
  <c r="BF34"/>
  <c r="BE34"/>
  <c r="BH35"/>
  <c r="BF35"/>
  <c r="BB35"/>
  <c r="BA35"/>
  <c r="BC35"/>
  <c r="BD35"/>
  <c r="BM141"/>
  <c r="BL141"/>
  <c r="BO141"/>
  <c r="BK28"/>
  <c r="AQ141"/>
  <c r="BT23" i="18"/>
  <c r="BC28" i="35"/>
  <c r="BM28"/>
  <c r="BO28"/>
  <c r="BF28"/>
  <c r="BL28"/>
  <c r="BJ28"/>
  <c r="BI28"/>
  <c r="BN28"/>
  <c r="BN23"/>
  <c r="BN43" s="1"/>
  <c r="CB37" i="18"/>
  <c r="CE37" s="1"/>
  <c r="CD37" s="1"/>
  <c r="CB41"/>
  <c r="CB33"/>
  <c r="CB21"/>
  <c r="CB51" s="1"/>
  <c r="CE51" s="1"/>
  <c r="CD51" s="1"/>
  <c r="CB40"/>
  <c r="CB39"/>
  <c r="CB34"/>
  <c r="CB36"/>
  <c r="CE36" s="1"/>
  <c r="CD36" s="1"/>
  <c r="CB35"/>
  <c r="BZ28" i="35"/>
  <c r="BB28"/>
  <c r="BE28"/>
  <c r="BD28"/>
  <c r="BG28"/>
  <c r="AM23"/>
  <c r="BZ37"/>
  <c r="AX23"/>
  <c r="AT23"/>
  <c r="AO23"/>
  <c r="BE33"/>
  <c r="BH33"/>
  <c r="BT33"/>
  <c r="BT39" s="1"/>
  <c r="BJ33"/>
  <c r="BJ39" s="1"/>
  <c r="BK33"/>
  <c r="BV33"/>
  <c r="BV39" s="1"/>
  <c r="BF33"/>
  <c r="BG33"/>
  <c r="BW33"/>
  <c r="BW39" s="1"/>
  <c r="BS33"/>
  <c r="BS39" s="1"/>
  <c r="BI33"/>
  <c r="BX33"/>
  <c r="BX39" s="1"/>
  <c r="BU33"/>
  <c r="BU39" s="1"/>
  <c r="AW23"/>
  <c r="BC23"/>
  <c r="AV23"/>
  <c r="BK23"/>
  <c r="AP23"/>
  <c r="BJ23"/>
  <c r="BM23"/>
  <c r="BI23"/>
  <c r="AY23"/>
  <c r="BD23"/>
  <c r="AT141"/>
  <c r="BR23"/>
  <c r="BT23"/>
  <c r="AT52" i="18"/>
  <c r="BG23" i="35"/>
  <c r="BS23"/>
  <c r="BE23"/>
  <c r="BA23"/>
  <c r="BU23"/>
  <c r="BS141"/>
  <c r="BX141"/>
  <c r="AP141"/>
  <c r="AU141"/>
  <c r="AS141"/>
  <c r="AN23"/>
  <c r="BH23"/>
  <c r="AZ23"/>
  <c r="AL23"/>
  <c r="BL23"/>
  <c r="AQ23"/>
  <c r="BQ23"/>
  <c r="BV23"/>
  <c r="AR141"/>
  <c r="BW141"/>
  <c r="BJ141"/>
  <c r="BT141"/>
  <c r="BR141"/>
  <c r="AL141"/>
  <c r="AL142" s="1"/>
  <c r="BW23"/>
  <c r="AR23"/>
  <c r="AU23"/>
  <c r="AS23"/>
  <c r="BB23"/>
  <c r="BX23"/>
  <c r="BF23"/>
  <c r="BO23"/>
  <c r="BO43" s="1"/>
  <c r="BV141"/>
  <c r="BU141"/>
  <c r="AH23"/>
  <c r="AH43" s="1"/>
  <c r="AH120" s="1"/>
  <c r="AH122" s="1"/>
  <c r="T53" i="18"/>
  <c r="T71"/>
  <c r="BV43" i="35" l="1"/>
  <c r="BV120" s="1"/>
  <c r="BY36"/>
  <c r="BZ36" s="1"/>
  <c r="AL89"/>
  <c r="AL144"/>
  <c r="AG120"/>
  <c r="AG122" s="1"/>
  <c r="BX43"/>
  <c r="BX120" s="1"/>
  <c r="BL39"/>
  <c r="BL43" s="1"/>
  <c r="BL120" s="1"/>
  <c r="BY38"/>
  <c r="BZ38" s="1"/>
  <c r="BY23"/>
  <c r="BZ23" s="1"/>
  <c r="AA43"/>
  <c r="AA120" s="1"/>
  <c r="BY35"/>
  <c r="BZ35" s="1"/>
  <c r="BY34"/>
  <c r="BZ34" s="1"/>
  <c r="BT43"/>
  <c r="BT120" s="1"/>
  <c r="AQ39"/>
  <c r="AQ43" s="1"/>
  <c r="AQ120" s="1"/>
  <c r="BY33"/>
  <c r="BZ33" s="1"/>
  <c r="BW43"/>
  <c r="BW120" s="1"/>
  <c r="BP120"/>
  <c r="AU43"/>
  <c r="AU120" s="1"/>
  <c r="BM43"/>
  <c r="BM120" s="1"/>
  <c r="BS43"/>
  <c r="BS120" s="1"/>
  <c r="AR43"/>
  <c r="AR120" s="1"/>
  <c r="AN43"/>
  <c r="AN120" s="1"/>
  <c r="AT43"/>
  <c r="AT120" s="1"/>
  <c r="AO43"/>
  <c r="AO120" s="1"/>
  <c r="BR43"/>
  <c r="BR120" s="1"/>
  <c r="BU43"/>
  <c r="BU120" s="1"/>
  <c r="BQ43"/>
  <c r="BQ120" s="1"/>
  <c r="AL43"/>
  <c r="AL120" s="1"/>
  <c r="AS43"/>
  <c r="AS120" s="1"/>
  <c r="AM43"/>
  <c r="AM120" s="1"/>
  <c r="BJ43"/>
  <c r="BJ120" s="1"/>
  <c r="BA141"/>
  <c r="BD141"/>
  <c r="AZ39"/>
  <c r="AZ43" s="1"/>
  <c r="BY68"/>
  <c r="BZ68" s="1"/>
  <c r="BC39"/>
  <c r="AY39"/>
  <c r="AY43" s="1"/>
  <c r="BC141"/>
  <c r="BN120"/>
  <c r="BA39"/>
  <c r="BA43" s="1"/>
  <c r="BF141"/>
  <c r="AX39"/>
  <c r="BD39"/>
  <c r="AV141"/>
  <c r="AV39"/>
  <c r="AV43" s="1"/>
  <c r="AW39"/>
  <c r="AW141"/>
  <c r="BF39"/>
  <c r="BF43" s="1"/>
  <c r="BG39"/>
  <c r="BB141"/>
  <c r="BB39"/>
  <c r="BE141"/>
  <c r="BH39"/>
  <c r="BI141"/>
  <c r="CB57" i="18"/>
  <c r="CE57" s="1"/>
  <c r="CD57" s="1"/>
  <c r="CB78"/>
  <c r="CB55"/>
  <c r="CE55" s="1"/>
  <c r="CD55" s="1"/>
  <c r="CB49"/>
  <c r="CE49" s="1"/>
  <c r="CD49" s="1"/>
  <c r="CB85"/>
  <c r="CE85" s="1"/>
  <c r="CD85" s="1"/>
  <c r="CB44"/>
  <c r="CB45"/>
  <c r="CE45" s="1"/>
  <c r="CD45" s="1"/>
  <c r="CB42"/>
  <c r="CE42" s="1"/>
  <c r="CD42" s="1"/>
  <c r="CB50"/>
  <c r="CB46"/>
  <c r="CE46" s="1"/>
  <c r="CD46" s="1"/>
  <c r="CB48"/>
  <c r="CE48" s="1"/>
  <c r="CD48" s="1"/>
  <c r="CB80"/>
  <c r="CB79"/>
  <c r="CB47"/>
  <c r="CE47" s="1"/>
  <c r="CD47" s="1"/>
  <c r="CB25"/>
  <c r="CE25" s="1"/>
  <c r="CD25" s="1"/>
  <c r="CB86"/>
  <c r="CE86" s="1"/>
  <c r="CD86" s="1"/>
  <c r="CB28"/>
  <c r="CE28" s="1"/>
  <c r="CD28" s="1"/>
  <c r="CB83"/>
  <c r="CE83" s="1"/>
  <c r="CD83" s="1"/>
  <c r="BH141" i="35"/>
  <c r="BI39"/>
  <c r="BI43" s="1"/>
  <c r="BO120"/>
  <c r="BE39"/>
  <c r="AP39"/>
  <c r="AP43" s="1"/>
  <c r="BK39"/>
  <c r="BK43" s="1"/>
  <c r="BU122"/>
  <c r="BW122"/>
  <c r="AM143"/>
  <c r="AM142"/>
  <c r="BV122"/>
  <c r="BX122"/>
  <c r="N71" i="18"/>
  <c r="N59"/>
  <c r="N52"/>
  <c r="N32"/>
  <c r="BY39" i="35" l="1"/>
  <c r="BZ39" s="1"/>
  <c r="BP123"/>
  <c r="BP122" s="1"/>
  <c r="AP120"/>
  <c r="BK120"/>
  <c r="BE43"/>
  <c r="BE120" s="1"/>
  <c r="AX43"/>
  <c r="AX120" s="1"/>
  <c r="BD43"/>
  <c r="BD120" s="1"/>
  <c r="BH43"/>
  <c r="BH120" s="1"/>
  <c r="BI120"/>
  <c r="AY120"/>
  <c r="BB43"/>
  <c r="BB120" s="1"/>
  <c r="BC43"/>
  <c r="BC120" s="1"/>
  <c r="AW43"/>
  <c r="BA120"/>
  <c r="AZ120"/>
  <c r="BF120"/>
  <c r="AV120"/>
  <c r="BG43"/>
  <c r="BG120" s="1"/>
  <c r="BY73"/>
  <c r="BN123"/>
  <c r="BN122" s="1"/>
  <c r="BY141"/>
  <c r="AW77" i="18" s="1"/>
  <c r="AN143" i="35"/>
  <c r="AN89" s="1"/>
  <c r="AN142"/>
  <c r="AM89"/>
  <c r="AM144"/>
  <c r="N23" i="18"/>
  <c r="BY43" i="35" l="1"/>
  <c r="AW120"/>
  <c r="Z77" i="18"/>
  <c r="AN144" i="35"/>
  <c r="AO142"/>
  <c r="AO143"/>
  <c r="AO89" s="1"/>
  <c r="D61"/>
  <c r="D56"/>
  <c r="D53"/>
  <c r="AF77" i="18" l="1"/>
  <c r="AL77" s="1"/>
  <c r="BT77" s="1"/>
  <c r="BV77"/>
  <c r="AO144" i="35"/>
  <c r="AP142"/>
  <c r="AP143"/>
  <c r="AP89" s="1"/>
  <c r="D45"/>
  <c r="N90" l="1"/>
  <c r="AL90" s="1"/>
  <c r="BY90" s="1"/>
  <c r="AU77" i="18"/>
  <c r="AQ143" i="35"/>
  <c r="AQ89" s="1"/>
  <c r="AQ142"/>
  <c r="AP144"/>
  <c r="C8" i="39"/>
  <c r="D8" s="1"/>
  <c r="C9"/>
  <c r="D9" s="1"/>
  <c r="AQ144" i="35" l="1"/>
  <c r="AR143"/>
  <c r="AR89" s="1"/>
  <c r="AR142"/>
  <c r="T23" i="18"/>
  <c r="AS142" i="35" l="1"/>
  <c r="AS143"/>
  <c r="AS89" s="1"/>
  <c r="AR144"/>
  <c r="C4" i="39"/>
  <c r="AS144" i="35" l="1"/>
  <c r="AT143"/>
  <c r="AT89" s="1"/>
  <c r="AT142"/>
  <c r="C7" i="39"/>
  <c r="D7" s="1"/>
  <c r="C13"/>
  <c r="C18"/>
  <c r="C17"/>
  <c r="C16"/>
  <c r="C14"/>
  <c r="C15"/>
  <c r="C12"/>
  <c r="AU142" i="35" l="1"/>
  <c r="AU143"/>
  <c r="AU89" s="1"/>
  <c r="AT144"/>
  <c r="D44"/>
  <c r="D88"/>
  <c r="D60"/>
  <c r="D59"/>
  <c r="AU144" l="1"/>
  <c r="AV143"/>
  <c r="AV89" s="1"/>
  <c r="AV142"/>
  <c r="N83"/>
  <c r="BI83" l="1"/>
  <c r="BI87" s="1"/>
  <c r="AK83"/>
  <c r="AK87" s="1"/>
  <c r="AW83"/>
  <c r="AW87" s="1"/>
  <c r="AW142"/>
  <c r="AW143"/>
  <c r="AW89" s="1"/>
  <c r="AV144"/>
  <c r="BQ87"/>
  <c r="BE87"/>
  <c r="BY83" l="1"/>
  <c r="BZ83" s="1"/>
  <c r="AW144"/>
  <c r="AX143"/>
  <c r="AX89" s="1"/>
  <c r="AX142"/>
  <c r="C5" i="39"/>
  <c r="CC23" i="18"/>
  <c r="AY142" i="35" l="1"/>
  <c r="AY143"/>
  <c r="AY89" s="1"/>
  <c r="AX144"/>
  <c r="E16" i="39"/>
  <c r="E18"/>
  <c r="E12"/>
  <c r="E14"/>
  <c r="E17"/>
  <c r="E13"/>
  <c r="E15"/>
  <c r="CE23" i="18"/>
  <c r="CD23" s="1"/>
  <c r="AY144" i="35" l="1"/>
  <c r="AZ142"/>
  <c r="AZ143"/>
  <c r="AZ89" s="1"/>
  <c r="B93" i="18"/>
  <c r="BT61"/>
  <c r="BT36"/>
  <c r="BA142" i="35" l="1"/>
  <c r="BA143"/>
  <c r="BA89" s="1"/>
  <c r="AZ144"/>
  <c r="AW33" i="18"/>
  <c r="Z33" s="1"/>
  <c r="B2" i="35"/>
  <c r="BA144" l="1"/>
  <c r="BB142"/>
  <c r="BB143"/>
  <c r="BB89" s="1"/>
  <c r="AW35" i="18"/>
  <c r="Z35" s="1"/>
  <c r="AW40"/>
  <c r="AW39"/>
  <c r="AF39" s="1"/>
  <c r="AF93" l="1"/>
  <c r="AL56"/>
  <c r="Z40"/>
  <c r="BC142" i="35"/>
  <c r="BC143"/>
  <c r="BC89" s="1"/>
  <c r="BB144"/>
  <c r="N75"/>
  <c r="P75" s="1"/>
  <c r="T35" i="18"/>
  <c r="AS80" i="35"/>
  <c r="AY80"/>
  <c r="AU80"/>
  <c r="AI80"/>
  <c r="AJ80"/>
  <c r="AF35" i="18"/>
  <c r="BT54"/>
  <c r="T33"/>
  <c r="AF40" l="1"/>
  <c r="CC40" s="1"/>
  <c r="CE40" s="1"/>
  <c r="CD40" s="1"/>
  <c r="AW60"/>
  <c r="Z60" s="1"/>
  <c r="T40"/>
  <c r="T60" s="1"/>
  <c r="T66" s="1"/>
  <c r="BY75" i="35"/>
  <c r="BZ75" s="1"/>
  <c r="N77"/>
  <c r="AT56" i="18"/>
  <c r="BC144" i="35"/>
  <c r="BD142"/>
  <c r="BD143"/>
  <c r="BD89" s="1"/>
  <c r="T38" i="18"/>
  <c r="CC35"/>
  <c r="CE35" s="1"/>
  <c r="CD35" s="1"/>
  <c r="T41"/>
  <c r="AL35"/>
  <c r="CE50"/>
  <c r="CD50" s="1"/>
  <c r="N43"/>
  <c r="CC78"/>
  <c r="AL40" l="1"/>
  <c r="BT40" s="1"/>
  <c r="T43"/>
  <c r="BG77" i="35"/>
  <c r="BK77"/>
  <c r="BI77"/>
  <c r="BE142"/>
  <c r="BE143"/>
  <c r="BE89" s="1"/>
  <c r="BD144"/>
  <c r="N55"/>
  <c r="CC41" i="18"/>
  <c r="CE41" s="1"/>
  <c r="CD41" s="1"/>
  <c r="CE78"/>
  <c r="CD78" s="1"/>
  <c r="BT35"/>
  <c r="AT35"/>
  <c r="AL53"/>
  <c r="CC32"/>
  <c r="CE32" s="1"/>
  <c r="AS53" l="1"/>
  <c r="P74" i="35" s="1"/>
  <c r="N60"/>
  <c r="AZ56"/>
  <c r="AV56"/>
  <c r="BY77"/>
  <c r="BZ77" s="1"/>
  <c r="N74"/>
  <c r="BF80"/>
  <c r="BJ55"/>
  <c r="AS40" i="18"/>
  <c r="BE144" i="35"/>
  <c r="BF142"/>
  <c r="BF143"/>
  <c r="BF89" s="1"/>
  <c r="BT80"/>
  <c r="N61"/>
  <c r="BT41" i="18"/>
  <c r="BT53"/>
  <c r="N38"/>
  <c r="BO80" i="35" l="1"/>
  <c r="BN74"/>
  <c r="BD60"/>
  <c r="BM60"/>
  <c r="AO60"/>
  <c r="AO64" s="1"/>
  <c r="AX60"/>
  <c r="AX64" s="1"/>
  <c r="BG60"/>
  <c r="BG64" s="1"/>
  <c r="AL60"/>
  <c r="AR60"/>
  <c r="AR64" s="1"/>
  <c r="BA60"/>
  <c r="BA64" s="1"/>
  <c r="Z60"/>
  <c r="Z64" s="1"/>
  <c r="AI60"/>
  <c r="AI64" s="1"/>
  <c r="AU60"/>
  <c r="AU64" s="1"/>
  <c r="BJ60"/>
  <c r="AS64"/>
  <c r="AY64"/>
  <c r="BE64"/>
  <c r="AJ64"/>
  <c r="AM64"/>
  <c r="AP64"/>
  <c r="BA74"/>
  <c r="AA74"/>
  <c r="AA80" s="1"/>
  <c r="BL74"/>
  <c r="BL80" s="1"/>
  <c r="AL74"/>
  <c r="BI74"/>
  <c r="BE74"/>
  <c r="AV74"/>
  <c r="AT53" i="18"/>
  <c r="AS59"/>
  <c r="AZ80" i="35"/>
  <c r="BC80"/>
  <c r="AQ74"/>
  <c r="AT80"/>
  <c r="BM80"/>
  <c r="BY55"/>
  <c r="BZ55" s="1"/>
  <c r="P80"/>
  <c r="BY56"/>
  <c r="BZ56" s="1"/>
  <c r="BI64"/>
  <c r="BG143"/>
  <c r="BG89" s="1"/>
  <c r="BG142"/>
  <c r="BF144"/>
  <c r="BQ64"/>
  <c r="BZ66"/>
  <c r="CA73"/>
  <c r="BB64"/>
  <c r="AT41" i="18"/>
  <c r="AO80" i="35"/>
  <c r="AX80"/>
  <c r="BL64"/>
  <c r="BY60" l="1"/>
  <c r="BZ60" s="1"/>
  <c r="BY61"/>
  <c r="BY74"/>
  <c r="BH64"/>
  <c r="BG144"/>
  <c r="BH142"/>
  <c r="BH143"/>
  <c r="BH89" s="1"/>
  <c r="AS38" i="18"/>
  <c r="AT36"/>
  <c r="BD64" i="35"/>
  <c r="BH144" l="1"/>
  <c r="BI143"/>
  <c r="BI89" s="1"/>
  <c r="BI142"/>
  <c r="BZ74"/>
  <c r="BZ61"/>
  <c r="BJ142" l="1"/>
  <c r="BK142" s="1"/>
  <c r="BJ143"/>
  <c r="BI144"/>
  <c r="N8"/>
  <c r="BM89" l="1"/>
  <c r="BJ144"/>
  <c r="BJ89"/>
  <c r="BL89"/>
  <c r="BK143"/>
  <c r="BK89" s="1"/>
  <c r="N66" i="18"/>
  <c r="BK144" i="35" l="1"/>
  <c r="AL65" i="18"/>
  <c r="AT65" s="1"/>
  <c r="AL25"/>
  <c r="AS25" l="1"/>
  <c r="BN89" i="35"/>
  <c r="N30"/>
  <c r="BR89"/>
  <c r="N45"/>
  <c r="P45" s="1"/>
  <c r="BT25" i="18"/>
  <c r="BT65"/>
  <c r="N86" i="35"/>
  <c r="AJ86" s="1"/>
  <c r="T25" i="18"/>
  <c r="T65"/>
  <c r="BH30" i="35" l="1"/>
  <c r="BP30"/>
  <c r="BY45"/>
  <c r="AT25" i="18"/>
  <c r="BQ143" i="35"/>
  <c r="BQ89" s="1"/>
  <c r="BO89"/>
  <c r="BM30"/>
  <c r="BN30"/>
  <c r="BK30"/>
  <c r="BO30"/>
  <c r="BZ30"/>
  <c r="BI30"/>
  <c r="BJ30"/>
  <c r="BL30"/>
  <c r="BA87"/>
  <c r="BS89"/>
  <c r="AY87"/>
  <c r="AM87"/>
  <c r="BC87"/>
  <c r="AQ87"/>
  <c r="BY89" l="1"/>
  <c r="BY143"/>
  <c r="Z76" i="18" s="1"/>
  <c r="BY86" i="35"/>
  <c r="BZ86" s="1"/>
  <c r="BT89"/>
  <c r="BZ45"/>
  <c r="AO87"/>
  <c r="AL76" i="18" l="1"/>
  <c r="AU76" s="1"/>
  <c r="AU87" s="1"/>
  <c r="BV76"/>
  <c r="BY144" i="35"/>
  <c r="BZ144" s="1"/>
  <c r="BT76" i="18" l="1"/>
  <c r="BZ73" i="35"/>
  <c r="CE44" i="18" l="1"/>
  <c r="CD44" s="1"/>
  <c r="BT52"/>
  <c r="T52"/>
  <c r="BT34" l="1"/>
  <c r="N54" i="35"/>
  <c r="Z71" i="18"/>
  <c r="AT71"/>
  <c r="AL71" l="1"/>
  <c r="BT71" s="1"/>
  <c r="BZ54" i="35" l="1"/>
  <c r="L7" i="37" l="1"/>
  <c r="H16" l="1"/>
  <c r="T28" i="18" l="1"/>
  <c r="T32" s="1"/>
  <c r="AL28"/>
  <c r="AS32" s="1"/>
  <c r="P48" i="35" l="1"/>
  <c r="N31"/>
  <c r="BN31" s="1"/>
  <c r="N48"/>
  <c r="BT28" i="18"/>
  <c r="O48" i="35" l="1"/>
  <c r="BZ31"/>
  <c r="BK31"/>
  <c r="BL31"/>
  <c r="BM31"/>
  <c r="BY48" l="1"/>
  <c r="AF66" i="18"/>
  <c r="AV87" i="35" l="1"/>
  <c r="AP87"/>
  <c r="BB87"/>
  <c r="AJ87"/>
  <c r="T59" i="18" l="1"/>
  <c r="CC59" l="1"/>
  <c r="N96" i="35" l="1"/>
  <c r="Y96" l="1"/>
  <c r="BY96" s="1"/>
  <c r="BZ96" s="1"/>
  <c r="H9" i="37" l="1"/>
  <c r="H17" s="1"/>
  <c r="BY131" i="35" l="1"/>
  <c r="CA43" l="1"/>
  <c r="BZ43"/>
  <c r="N75" i="18" l="1"/>
  <c r="N87" s="1"/>
  <c r="N89" s="1"/>
  <c r="N90" s="1"/>
  <c r="T75"/>
  <c r="T87" s="1"/>
  <c r="T89" s="1"/>
  <c r="T90" s="1"/>
  <c r="BZ48" i="35" l="1"/>
  <c r="BV107" l="1"/>
  <c r="BW107" s="1"/>
  <c r="BX107" s="1"/>
  <c r="N97"/>
  <c r="Y97" s="1"/>
  <c r="BY97" s="1"/>
  <c r="BZ97" s="1"/>
  <c r="U52" i="36" l="1"/>
  <c r="U51"/>
  <c r="U56"/>
  <c r="V56" s="1"/>
  <c r="U53"/>
  <c r="V53" s="1"/>
  <c r="W53" s="1"/>
  <c r="U57"/>
  <c r="V57" s="1"/>
  <c r="V70"/>
  <c r="U54"/>
  <c r="V54" s="1"/>
  <c r="U72"/>
  <c r="U58"/>
  <c r="U55"/>
  <c r="V55" s="1"/>
  <c r="W55" s="1"/>
  <c r="U71"/>
  <c r="V71" s="1"/>
  <c r="U50"/>
  <c r="V50" s="1"/>
  <c r="W50" s="1"/>
  <c r="Z58" i="18" l="1"/>
  <c r="Z38"/>
  <c r="AF33"/>
  <c r="AF38" s="1"/>
  <c r="U73" i="36"/>
  <c r="W71"/>
  <c r="U59"/>
  <c r="W70"/>
  <c r="V58"/>
  <c r="W58" s="1"/>
  <c r="W57"/>
  <c r="V69"/>
  <c r="W56"/>
  <c r="V72"/>
  <c r="W72" s="1"/>
  <c r="V51"/>
  <c r="W54"/>
  <c r="V52"/>
  <c r="W52" s="1"/>
  <c r="Z59" i="18" l="1"/>
  <c r="BV59" s="1"/>
  <c r="BV58"/>
  <c r="AL58"/>
  <c r="AM80" i="35"/>
  <c r="BR80"/>
  <c r="V59" i="36"/>
  <c r="W51"/>
  <c r="W59" s="1"/>
  <c r="V73"/>
  <c r="W69"/>
  <c r="W73" s="1"/>
  <c r="CC33" i="18"/>
  <c r="CC38" s="1"/>
  <c r="AL33"/>
  <c r="N79" i="35" l="1"/>
  <c r="AT58" i="18"/>
  <c r="AT59" s="1"/>
  <c r="AU58"/>
  <c r="AU59" s="1"/>
  <c r="AU89" s="1"/>
  <c r="AL38"/>
  <c r="BT38" s="1"/>
  <c r="AT33"/>
  <c r="AT38" s="1"/>
  <c r="AL59"/>
  <c r="BT59" s="1"/>
  <c r="BT58"/>
  <c r="BG80" i="35"/>
  <c r="AN80"/>
  <c r="BD80"/>
  <c r="BT33" i="18"/>
  <c r="N53" i="35"/>
  <c r="BN53" s="1"/>
  <c r="BN58" s="1"/>
  <c r="CE33" i="18"/>
  <c r="V75" i="36"/>
  <c r="BI80" i="35" l="1"/>
  <c r="AQ80"/>
  <c r="BA80"/>
  <c r="AV80"/>
  <c r="AL80"/>
  <c r="BE80"/>
  <c r="BK80"/>
  <c r="AR80"/>
  <c r="AW80"/>
  <c r="AP80"/>
  <c r="BB80"/>
  <c r="BN80"/>
  <c r="N80"/>
  <c r="AV33" i="18"/>
  <c r="AV38" s="1"/>
  <c r="N137" i="35"/>
  <c r="AK80"/>
  <c r="N58"/>
  <c r="CD33" i="18"/>
  <c r="BP137" i="35" l="1"/>
  <c r="BO137"/>
  <c r="BN137"/>
  <c r="BM137"/>
  <c r="BG137"/>
  <c r="AV137"/>
  <c r="AZ137"/>
  <c r="BA137"/>
  <c r="AB137"/>
  <c r="AU137"/>
  <c r="BL137"/>
  <c r="AQ137"/>
  <c r="BI137"/>
  <c r="AG137"/>
  <c r="AI137"/>
  <c r="AJ137"/>
  <c r="AO137"/>
  <c r="AM137"/>
  <c r="AH137"/>
  <c r="AE137"/>
  <c r="BD137"/>
  <c r="AS137"/>
  <c r="BH137"/>
  <c r="AW137"/>
  <c r="BC137"/>
  <c r="AP137"/>
  <c r="BK137"/>
  <c r="AD137"/>
  <c r="AF137"/>
  <c r="AY137"/>
  <c r="BE137"/>
  <c r="AR137"/>
  <c r="AX137"/>
  <c r="BB137"/>
  <c r="AT137"/>
  <c r="AC137"/>
  <c r="AN137"/>
  <c r="BF137"/>
  <c r="BJ137"/>
  <c r="AL137"/>
  <c r="AK137"/>
  <c r="BY79"/>
  <c r="BZ79" s="1"/>
  <c r="AA137"/>
  <c r="BM53"/>
  <c r="BM58" s="1"/>
  <c r="N139"/>
  <c r="BR137"/>
  <c r="BT137"/>
  <c r="AX138" l="1"/>
  <c r="AX53" s="1"/>
  <c r="AX58" s="1"/>
  <c r="AP138"/>
  <c r="AP53" s="1"/>
  <c r="AP58" s="1"/>
  <c r="BM140"/>
  <c r="BM138" s="1"/>
  <c r="AP140"/>
  <c r="BO140"/>
  <c r="BO138" s="1"/>
  <c r="BF140"/>
  <c r="BF138" s="1"/>
  <c r="BF53" s="1"/>
  <c r="BF58" s="1"/>
  <c r="BP140"/>
  <c r="BP138" s="1"/>
  <c r="AX140"/>
  <c r="BN140"/>
  <c r="BN138" s="1"/>
  <c r="AE140"/>
  <c r="AE138" s="1"/>
  <c r="AE53" s="1"/>
  <c r="AE58" s="1"/>
  <c r="AE102" s="1"/>
  <c r="AC140"/>
  <c r="BC140"/>
  <c r="BC138" s="1"/>
  <c r="BD140"/>
  <c r="BD138" s="1"/>
  <c r="BD53" s="1"/>
  <c r="BD58" s="1"/>
  <c r="AY140"/>
  <c r="AY138" s="1"/>
  <c r="AY53" s="1"/>
  <c r="AY58" s="1"/>
  <c r="AK140"/>
  <c r="AK138" s="1"/>
  <c r="AK53" s="1"/>
  <c r="AK58" s="1"/>
  <c r="AQ140"/>
  <c r="AQ138" s="1"/>
  <c r="AQ53" s="1"/>
  <c r="AQ58" s="1"/>
  <c r="BB140"/>
  <c r="BB138" s="1"/>
  <c r="BB53" s="1"/>
  <c r="BB58" s="1"/>
  <c r="BL140"/>
  <c r="BL138" s="1"/>
  <c r="AG140"/>
  <c r="AG138" s="1"/>
  <c r="AG53" s="1"/>
  <c r="AG58" s="1"/>
  <c r="AG102" s="1"/>
  <c r="BH140"/>
  <c r="BH138" s="1"/>
  <c r="BH53" s="1"/>
  <c r="BH58" s="1"/>
  <c r="AU140"/>
  <c r="AU138" s="1"/>
  <c r="AU53" s="1"/>
  <c r="AU58" s="1"/>
  <c r="BK140"/>
  <c r="BK138" s="1"/>
  <c r="BK53" s="1"/>
  <c r="BK58" s="1"/>
  <c r="AR140"/>
  <c r="AR138" s="1"/>
  <c r="AR53" s="1"/>
  <c r="AR58" s="1"/>
  <c r="AH140"/>
  <c r="AH138" s="1"/>
  <c r="AH53" s="1"/>
  <c r="AH58" s="1"/>
  <c r="AS140"/>
  <c r="AS138" s="1"/>
  <c r="AS53" s="1"/>
  <c r="AS58" s="1"/>
  <c r="AD140"/>
  <c r="BJ140"/>
  <c r="BJ138" s="1"/>
  <c r="BJ53" s="1"/>
  <c r="BJ58" s="1"/>
  <c r="AO140"/>
  <c r="AO138" s="1"/>
  <c r="AV140"/>
  <c r="AV138" s="1"/>
  <c r="AV53" s="1"/>
  <c r="AV58" s="1"/>
  <c r="BA140"/>
  <c r="BA138" s="1"/>
  <c r="BA53" s="1"/>
  <c r="BA58" s="1"/>
  <c r="AL140"/>
  <c r="AL138" s="1"/>
  <c r="AL53" s="1"/>
  <c r="AL58" s="1"/>
  <c r="AW140"/>
  <c r="AW138" s="1"/>
  <c r="AW53" s="1"/>
  <c r="AW58" s="1"/>
  <c r="BI140"/>
  <c r="BI138" s="1"/>
  <c r="BI53" s="1"/>
  <c r="BI58" s="1"/>
  <c r="AT140"/>
  <c r="AT138" s="1"/>
  <c r="AT53" s="1"/>
  <c r="AT58" s="1"/>
  <c r="BE140"/>
  <c r="BE138" s="1"/>
  <c r="AJ140"/>
  <c r="AJ138" s="1"/>
  <c r="AJ53" s="1"/>
  <c r="AJ58" s="1"/>
  <c r="AF140"/>
  <c r="AF138" s="1"/>
  <c r="AF53" s="1"/>
  <c r="AF58" s="1"/>
  <c r="AF102" s="1"/>
  <c r="AB140"/>
  <c r="AB138" s="1"/>
  <c r="AB53" s="1"/>
  <c r="AB58" s="1"/>
  <c r="AB102" s="1"/>
  <c r="AI140"/>
  <c r="BG140"/>
  <c r="BG138" s="1"/>
  <c r="BG53" s="1"/>
  <c r="BG58" s="1"/>
  <c r="AM140"/>
  <c r="AM138" s="1"/>
  <c r="AN140"/>
  <c r="AN138" s="1"/>
  <c r="AN53" s="1"/>
  <c r="AN58" s="1"/>
  <c r="AZ140"/>
  <c r="AC138"/>
  <c r="AC53" s="1"/>
  <c r="AC58" s="1"/>
  <c r="AC102" s="1"/>
  <c r="AI138"/>
  <c r="AI53" s="1"/>
  <c r="AI58" s="1"/>
  <c r="AZ138"/>
  <c r="AZ53" s="1"/>
  <c r="AZ58" s="1"/>
  <c r="AD138"/>
  <c r="AD53" s="1"/>
  <c r="AD58" s="1"/>
  <c r="AD102" s="1"/>
  <c r="BY80"/>
  <c r="CA80" s="1"/>
  <c r="BE53"/>
  <c r="BE58" s="1"/>
  <c r="AA140"/>
  <c r="BN139" s="1"/>
  <c r="BC53"/>
  <c r="BC58" s="1"/>
  <c r="AO53"/>
  <c r="AO58" s="1"/>
  <c r="AM53"/>
  <c r="AM58" s="1"/>
  <c r="BL53"/>
  <c r="BL58" s="1"/>
  <c r="BR140"/>
  <c r="BR138" s="1"/>
  <c r="BR53" s="1"/>
  <c r="BR58" s="1"/>
  <c r="BT140"/>
  <c r="BT138" s="1"/>
  <c r="BT53" s="1"/>
  <c r="BT58" s="1"/>
  <c r="BY137"/>
  <c r="BZ137" s="1"/>
  <c r="L139"/>
  <c r="N138"/>
  <c r="L138" s="1"/>
  <c r="AE124" l="1"/>
  <c r="AE103"/>
  <c r="AB124"/>
  <c r="AB103"/>
  <c r="AG124"/>
  <c r="AG103"/>
  <c r="AD124"/>
  <c r="AD103"/>
  <c r="AF124"/>
  <c r="AF103"/>
  <c r="AC124"/>
  <c r="AC103"/>
  <c r="BY53"/>
  <c r="AA138"/>
  <c r="AA53" s="1"/>
  <c r="AA58" s="1"/>
  <c r="BZ80"/>
  <c r="BQ53"/>
  <c r="BQ58" s="1"/>
  <c r="BY138" l="1"/>
  <c r="BZ138" s="1"/>
  <c r="BX53"/>
  <c r="BX58" s="1"/>
  <c r="BY139"/>
  <c r="BZ139" s="1"/>
  <c r="BY105" l="1"/>
  <c r="P107"/>
  <c r="X107" s="1"/>
  <c r="Y107" s="1"/>
  <c r="AH107" s="1"/>
  <c r="AI107" s="1"/>
  <c r="AJ107" s="1"/>
  <c r="AK107" s="1"/>
  <c r="AL107" s="1"/>
  <c r="AM107" s="1"/>
  <c r="AN107" s="1"/>
  <c r="AO107" s="1"/>
  <c r="AP107" s="1"/>
  <c r="AQ107" s="1"/>
  <c r="AR107" s="1"/>
  <c r="AS107" s="1"/>
  <c r="AT107" s="1"/>
  <c r="AU107" s="1"/>
  <c r="AV107" s="1"/>
  <c r="AW107" s="1"/>
  <c r="AX107" s="1"/>
  <c r="AY107" s="1"/>
  <c r="AZ107" s="1"/>
  <c r="BA107" s="1"/>
  <c r="BB107" s="1"/>
  <c r="BC107" s="1"/>
  <c r="BD107" s="1"/>
  <c r="BE107" s="1"/>
  <c r="BF107" s="1"/>
  <c r="BG107" s="1"/>
  <c r="BH107" s="1"/>
  <c r="BI107" s="1"/>
  <c r="BJ107" s="1"/>
  <c r="BK107" s="1"/>
  <c r="BL107" s="1"/>
  <c r="BM107" s="1"/>
  <c r="Z43" i="18"/>
  <c r="CC39" l="1"/>
  <c r="AF43"/>
  <c r="AL39"/>
  <c r="AR39" s="1"/>
  <c r="O59" i="35" l="1"/>
  <c r="O64" s="1"/>
  <c r="AR43" i="18"/>
  <c r="AS43"/>
  <c r="N59" i="35"/>
  <c r="AL43" i="18"/>
  <c r="BT43" s="1"/>
  <c r="BT39"/>
  <c r="CC43"/>
  <c r="CE39"/>
  <c r="AA64" i="35" l="1"/>
  <c r="AQ64"/>
  <c r="AV64"/>
  <c r="BM64"/>
  <c r="BJ64"/>
  <c r="BF64"/>
  <c r="N64"/>
  <c r="BH87"/>
  <c r="CD39" i="18"/>
  <c r="BN64" i="35" l="1"/>
  <c r="P64"/>
  <c r="X64"/>
  <c r="BR64"/>
  <c r="Y64"/>
  <c r="AL64"/>
  <c r="BY59" l="1"/>
  <c r="BY64" s="1"/>
  <c r="CA64" s="1"/>
  <c r="AT39" i="18"/>
  <c r="AT43" s="1"/>
  <c r="BZ59" i="35" l="1"/>
  <c r="BZ64"/>
  <c r="N89" l="1"/>
  <c r="BZ89" s="1"/>
  <c r="AL78" i="18"/>
  <c r="AS78" s="1"/>
  <c r="N91" i="35" l="1"/>
  <c r="P91" s="1"/>
  <c r="BT78" i="18"/>
  <c r="BY91" i="35" l="1"/>
  <c r="BZ91" s="1"/>
  <c r="T79" i="18"/>
  <c r="AF79"/>
  <c r="AL79" s="1"/>
  <c r="AS79" s="1"/>
  <c r="CC80"/>
  <c r="N92" i="35" l="1"/>
  <c r="P92" s="1"/>
  <c r="BT79" i="18"/>
  <c r="CC79"/>
  <c r="AF87"/>
  <c r="CE80"/>
  <c r="CD80" s="1"/>
  <c r="BY92" i="35" l="1"/>
  <c r="CC87" i="18"/>
  <c r="CC88" s="1"/>
  <c r="CC89" s="1"/>
  <c r="CE79"/>
  <c r="CE88" s="1"/>
  <c r="AT79"/>
  <c r="CD79" l="1"/>
  <c r="CD88" s="1"/>
  <c r="CD89" s="1"/>
  <c r="Z88" s="1"/>
  <c r="BV88" s="1"/>
  <c r="AF88"/>
  <c r="AF89" s="1"/>
  <c r="AF90" s="1"/>
  <c r="BZ92" i="35"/>
  <c r="CE89" i="18" l="1"/>
  <c r="AL88" s="1"/>
  <c r="N101" i="35" s="1"/>
  <c r="BN101" s="1"/>
  <c r="AT88" i="18" l="1"/>
  <c r="BT88"/>
  <c r="AY101" i="35" l="1"/>
  <c r="AN101"/>
  <c r="BD101"/>
  <c r="AS101"/>
  <c r="BR95"/>
  <c r="BS94" l="1"/>
  <c r="BS95"/>
  <c r="BT94" l="1"/>
  <c r="BT95" l="1"/>
  <c r="BU94"/>
  <c r="BT122" l="1"/>
  <c r="BU95"/>
  <c r="BV94"/>
  <c r="BW94" l="1"/>
  <c r="BX94"/>
  <c r="BR122" l="1"/>
  <c r="BL122"/>
  <c r="BQ123" l="1"/>
  <c r="BQ122" s="1"/>
  <c r="BM123"/>
  <c r="BM122" s="1"/>
  <c r="BO123"/>
  <c r="BO122" s="1"/>
  <c r="BR87"/>
  <c r="AI101"/>
  <c r="BJ101"/>
  <c r="BY101" l="1"/>
  <c r="BZ101" s="1"/>
  <c r="N44"/>
  <c r="AL24" i="18"/>
  <c r="AT24" l="1"/>
  <c r="AL32"/>
  <c r="BT32" s="1"/>
  <c r="N52" i="35"/>
  <c r="P44"/>
  <c r="P52" s="1"/>
  <c r="BT24" i="18"/>
  <c r="N29" i="35"/>
  <c r="BN29" l="1"/>
  <c r="BP29"/>
  <c r="O44"/>
  <c r="AR89" i="18"/>
  <c r="BA7" s="1"/>
  <c r="AT32"/>
  <c r="BZ29" i="35"/>
  <c r="BE29"/>
  <c r="BK29"/>
  <c r="BJ29"/>
  <c r="BF29"/>
  <c r="BL29"/>
  <c r="BO29"/>
  <c r="BI29"/>
  <c r="BH29"/>
  <c r="BM29"/>
  <c r="BG29"/>
  <c r="X52"/>
  <c r="O52" l="1"/>
  <c r="O102" s="1"/>
  <c r="BY44"/>
  <c r="O105" l="1"/>
  <c r="O120" s="1"/>
  <c r="O103"/>
  <c r="O124"/>
  <c r="BY52"/>
  <c r="CA52" s="1"/>
  <c r="BZ44"/>
  <c r="O107" l="1"/>
  <c r="N105"/>
  <c r="BN106" s="1"/>
  <c r="BN107" s="1"/>
  <c r="BZ52"/>
  <c r="O125"/>
  <c r="O122"/>
  <c r="Z93" i="18" l="1"/>
  <c r="AS93" s="1"/>
  <c r="BY106" i="35"/>
  <c r="BY107" s="1"/>
  <c r="BK87"/>
  <c r="AL60" i="18" l="1"/>
  <c r="AL66" s="1"/>
  <c r="BT66" s="1"/>
  <c r="Z66"/>
  <c r="BV66" s="1"/>
  <c r="N81" i="35" l="1"/>
  <c r="BL81" s="1"/>
  <c r="BL87" s="1"/>
  <c r="BT60" i="18"/>
  <c r="AT60"/>
  <c r="AT66" s="1"/>
  <c r="N87" i="35" l="1"/>
  <c r="BY81" l="1"/>
  <c r="BM87"/>
  <c r="BY87" l="1"/>
  <c r="BZ81"/>
  <c r="BZ87" l="1"/>
  <c r="BZ53"/>
  <c r="BY58" l="1"/>
  <c r="BZ58" s="1"/>
  <c r="CA58" l="1"/>
  <c r="AL80" i="18" l="1"/>
  <c r="AS80" l="1"/>
  <c r="AT80" s="1"/>
  <c r="BT80"/>
  <c r="N93" i="35"/>
  <c r="T80" i="18"/>
  <c r="AS87" l="1"/>
  <c r="AS89" s="1"/>
  <c r="P93" i="35"/>
  <c r="BS81" i="18" l="1"/>
  <c r="AT92"/>
  <c r="BY93" i="35"/>
  <c r="BZ93" s="1"/>
  <c r="P100"/>
  <c r="P102" l="1"/>
  <c r="N109" s="1"/>
  <c r="P124" l="1"/>
  <c r="P103"/>
  <c r="AA122" l="1"/>
  <c r="AI122" l="1"/>
  <c r="AJ122" l="1"/>
  <c r="AK122" l="1"/>
  <c r="AL122" l="1"/>
  <c r="AM122" l="1"/>
  <c r="AN122" l="1"/>
  <c r="AO122" l="1"/>
  <c r="AP122" l="1"/>
  <c r="AQ122" l="1"/>
  <c r="BS122"/>
  <c r="AR122" l="1"/>
  <c r="AS122" l="1"/>
  <c r="AT122" l="1"/>
  <c r="AU122" l="1"/>
  <c r="BQ112"/>
  <c r="BQ94" s="1"/>
  <c r="AV122" l="1"/>
  <c r="BR112"/>
  <c r="BR94" s="1"/>
  <c r="AW122" l="1"/>
  <c r="AX122" l="1"/>
  <c r="AY122" l="1"/>
  <c r="AZ122" l="1"/>
  <c r="BA122" l="1"/>
  <c r="BB122" l="1"/>
  <c r="BC122" l="1"/>
  <c r="BD122" l="1"/>
  <c r="BE122" l="1"/>
  <c r="BF122" l="1"/>
  <c r="BG122" l="1"/>
  <c r="BH122" l="1"/>
  <c r="BI122" l="1"/>
  <c r="BJ122" l="1"/>
  <c r="BK122" l="1"/>
  <c r="BR133" l="1"/>
  <c r="BR100" l="1"/>
  <c r="BR102" l="1"/>
  <c r="BR124" l="1"/>
  <c r="BR103"/>
  <c r="BS133" l="1"/>
  <c r="BS100" l="1"/>
  <c r="BS102" l="1"/>
  <c r="BS124" l="1"/>
  <c r="BS103"/>
  <c r="BT133" l="1"/>
  <c r="BT100" l="1"/>
  <c r="BT102" l="1"/>
  <c r="BT124" l="1"/>
  <c r="BT103"/>
  <c r="BU133" l="1"/>
  <c r="BU100" l="1"/>
  <c r="BU102" l="1"/>
  <c r="BU124" l="1"/>
  <c r="BU103"/>
  <c r="BV133" l="1"/>
  <c r="BV88" l="1"/>
  <c r="BV100" s="1"/>
  <c r="BV102" s="1"/>
  <c r="BV124" l="1"/>
  <c r="BV103"/>
  <c r="BW133" l="1"/>
  <c r="BW88" l="1"/>
  <c r="BW100" s="1"/>
  <c r="BW102" s="1"/>
  <c r="BW103" s="1"/>
  <c r="BW124" l="1"/>
  <c r="BX88" l="1"/>
  <c r="BX100" s="1"/>
  <c r="BX102" l="1"/>
  <c r="BX103" l="1"/>
  <c r="BX124"/>
  <c r="BX133"/>
  <c r="AI95" l="1"/>
  <c r="AI118"/>
  <c r="BY120" l="1"/>
  <c r="AW81" i="18" l="1"/>
  <c r="D18" i="40" s="1"/>
  <c r="P109" i="35"/>
  <c r="P111" s="1"/>
  <c r="E39" i="40" l="1"/>
  <c r="E44"/>
  <c r="E43"/>
  <c r="D40"/>
  <c r="D42"/>
  <c r="D44"/>
  <c r="D41"/>
  <c r="E41"/>
  <c r="E40"/>
  <c r="D43"/>
  <c r="E42"/>
  <c r="E20"/>
  <c r="D21"/>
  <c r="E19"/>
  <c r="E23"/>
  <c r="E18"/>
  <c r="D29"/>
  <c r="D22"/>
  <c r="E22"/>
  <c r="E21"/>
  <c r="D19"/>
  <c r="D23"/>
  <c r="D20"/>
  <c r="E24"/>
  <c r="P120" i="35"/>
  <c r="P125" s="1"/>
  <c r="Q111"/>
  <c r="X111"/>
  <c r="P113"/>
  <c r="Q112"/>
  <c r="D32" i="40" l="1"/>
  <c r="E34"/>
  <c r="E32"/>
  <c r="E30"/>
  <c r="E29"/>
  <c r="D31"/>
  <c r="E35"/>
  <c r="E33"/>
  <c r="E31"/>
  <c r="D30"/>
  <c r="D33"/>
  <c r="D34"/>
  <c r="D35"/>
  <c r="P128" i="35"/>
  <c r="P127"/>
  <c r="P122"/>
  <c r="R111"/>
  <c r="Q113"/>
  <c r="R112"/>
  <c r="Y111"/>
  <c r="Y112"/>
  <c r="P129" l="1"/>
  <c r="Q132" s="1"/>
  <c r="Q88" s="1"/>
  <c r="Q100" s="1"/>
  <c r="Q102" s="1"/>
  <c r="P135"/>
  <c r="S111"/>
  <c r="S112"/>
  <c r="R113"/>
  <c r="Z111"/>
  <c r="Y113"/>
  <c r="Z112"/>
  <c r="Q124" l="1"/>
  <c r="Q103"/>
  <c r="AA111"/>
  <c r="AA112"/>
  <c r="Z113"/>
  <c r="T112"/>
  <c r="T111"/>
  <c r="S113"/>
  <c r="Q133"/>
  <c r="Q125" l="1"/>
  <c r="Q127" s="1"/>
  <c r="Q129" s="1"/>
  <c r="R132" s="1"/>
  <c r="R88" s="1"/>
  <c r="R100" s="1"/>
  <c r="R102" s="1"/>
  <c r="AH112"/>
  <c r="AA113"/>
  <c r="AH111"/>
  <c r="U111"/>
  <c r="U112"/>
  <c r="T113"/>
  <c r="Q135" l="1"/>
  <c r="R103"/>
  <c r="R124"/>
  <c r="R125" s="1"/>
  <c r="R133"/>
  <c r="AI112"/>
  <c r="AH113"/>
  <c r="AI111"/>
  <c r="V112"/>
  <c r="U113"/>
  <c r="V111"/>
  <c r="R127" l="1"/>
  <c r="R129" s="1"/>
  <c r="S132" s="1"/>
  <c r="S88" s="1"/>
  <c r="S100" s="1"/>
  <c r="S102" s="1"/>
  <c r="V113"/>
  <c r="W111"/>
  <c r="W112"/>
  <c r="AJ112"/>
  <c r="AI113"/>
  <c r="AJ111"/>
  <c r="R135" l="1"/>
  <c r="S124"/>
  <c r="S125" s="1"/>
  <c r="S103"/>
  <c r="S133"/>
  <c r="W113"/>
  <c r="X112"/>
  <c r="AJ113"/>
  <c r="AK111"/>
  <c r="AK112"/>
  <c r="S127" l="1"/>
  <c r="S129" s="1"/>
  <c r="T132" s="1"/>
  <c r="T88" s="1"/>
  <c r="T100" s="1"/>
  <c r="T102" s="1"/>
  <c r="X113"/>
  <c r="AK113"/>
  <c r="AL111"/>
  <c r="AL112"/>
  <c r="S135" l="1"/>
  <c r="T133"/>
  <c r="T103"/>
  <c r="T124"/>
  <c r="T125" s="1"/>
  <c r="AL113"/>
  <c r="AM111"/>
  <c r="AM112"/>
  <c r="T127" l="1"/>
  <c r="T129" s="1"/>
  <c r="U132" s="1"/>
  <c r="AN111"/>
  <c r="AN112"/>
  <c r="AM113"/>
  <c r="U88" l="1"/>
  <c r="U100" s="1"/>
  <c r="U102" s="1"/>
  <c r="U124" s="1"/>
  <c r="U125" s="1"/>
  <c r="U133"/>
  <c r="T135"/>
  <c r="AO111"/>
  <c r="AO112"/>
  <c r="AN113"/>
  <c r="U127" l="1"/>
  <c r="U129" s="1"/>
  <c r="V132" s="1"/>
  <c r="U103"/>
  <c r="AP111"/>
  <c r="AP112"/>
  <c r="AO113"/>
  <c r="U135" l="1"/>
  <c r="V88"/>
  <c r="V100" s="1"/>
  <c r="V102" s="1"/>
  <c r="V133"/>
  <c r="AQ112"/>
  <c r="AP113"/>
  <c r="AQ111"/>
  <c r="V124" l="1"/>
  <c r="V125" s="1"/>
  <c r="V103"/>
  <c r="AR112"/>
  <c r="AQ113"/>
  <c r="AR111"/>
  <c r="V127" l="1"/>
  <c r="V129" s="1"/>
  <c r="W132" s="1"/>
  <c r="AR113"/>
  <c r="AS112"/>
  <c r="AS111"/>
  <c r="V135" l="1"/>
  <c r="W88"/>
  <c r="W100" s="1"/>
  <c r="W102" s="1"/>
  <c r="W133"/>
  <c r="AS113"/>
  <c r="AT111"/>
  <c r="AT112"/>
  <c r="W124" l="1"/>
  <c r="W125" s="1"/>
  <c r="W103"/>
  <c r="AU111"/>
  <c r="AU112"/>
  <c r="AT113"/>
  <c r="W127" l="1"/>
  <c r="W129" s="1"/>
  <c r="X132" s="1"/>
  <c r="AU113"/>
  <c r="AV111"/>
  <c r="AV112"/>
  <c r="W135" l="1"/>
  <c r="X88"/>
  <c r="X100" s="1"/>
  <c r="X102" s="1"/>
  <c r="X133"/>
  <c r="AW111"/>
  <c r="AW112"/>
  <c r="AV113"/>
  <c r="X103" l="1"/>
  <c r="X124"/>
  <c r="X125" s="1"/>
  <c r="AX111"/>
  <c r="AX112"/>
  <c r="AW113"/>
  <c r="X115" l="1"/>
  <c r="X116" s="1"/>
  <c r="X127"/>
  <c r="X128"/>
  <c r="AY112"/>
  <c r="AY111"/>
  <c r="AX113"/>
  <c r="X135" l="1"/>
  <c r="Y117"/>
  <c r="X129"/>
  <c r="AZ112"/>
  <c r="AY113"/>
  <c r="AZ111"/>
  <c r="Y95" l="1"/>
  <c r="Y118"/>
  <c r="Y132"/>
  <c r="BA112"/>
  <c r="AZ113"/>
  <c r="BA111"/>
  <c r="Y88" l="1"/>
  <c r="Y100" s="1"/>
  <c r="Y102" s="1"/>
  <c r="Y133"/>
  <c r="BA113"/>
  <c r="BB112"/>
  <c r="BB111"/>
  <c r="Y103" l="1"/>
  <c r="Y124"/>
  <c r="Y125" s="1"/>
  <c r="BB113"/>
  <c r="BC111"/>
  <c r="BC112"/>
  <c r="Y127" l="1"/>
  <c r="Y115"/>
  <c r="Y116" s="1"/>
  <c r="Y128"/>
  <c r="BD111"/>
  <c r="BC113"/>
  <c r="BD112"/>
  <c r="Y129" l="1"/>
  <c r="Z132" s="1"/>
  <c r="Y135"/>
  <c r="Z117"/>
  <c r="Z95" s="1"/>
  <c r="BE111"/>
  <c r="BE112"/>
  <c r="BD113"/>
  <c r="Z88" l="1"/>
  <c r="Z100" s="1"/>
  <c r="Z102" s="1"/>
  <c r="Z133"/>
  <c r="BF112"/>
  <c r="BF111"/>
  <c r="BE113"/>
  <c r="Z103" l="1"/>
  <c r="Z124"/>
  <c r="Z125" s="1"/>
  <c r="BG112"/>
  <c r="BG111"/>
  <c r="BF113"/>
  <c r="Z127" l="1"/>
  <c r="Z115"/>
  <c r="Z116" s="1"/>
  <c r="Z128"/>
  <c r="BH112"/>
  <c r="BG113"/>
  <c r="BH111"/>
  <c r="Z129" l="1"/>
  <c r="Z135"/>
  <c r="AA117"/>
  <c r="AA95" s="1"/>
  <c r="BH113"/>
  <c r="BI112"/>
  <c r="BI111"/>
  <c r="AA132" l="1"/>
  <c r="AA133" s="1"/>
  <c r="BI113"/>
  <c r="BJ112"/>
  <c r="BJ111"/>
  <c r="AA88" l="1"/>
  <c r="AA100" s="1"/>
  <c r="AA102" s="1"/>
  <c r="AA124" s="1"/>
  <c r="AA125" s="1"/>
  <c r="AA127" s="1"/>
  <c r="BK111"/>
  <c r="BJ113"/>
  <c r="BK112"/>
  <c r="AA103" l="1"/>
  <c r="AA114"/>
  <c r="AA115"/>
  <c r="AA128"/>
  <c r="AA129" s="1"/>
  <c r="BL111"/>
  <c r="BL112"/>
  <c r="BK113"/>
  <c r="AB132" l="1"/>
  <c r="AB133" s="1"/>
  <c r="AA116"/>
  <c r="AH117" s="1"/>
  <c r="AA135"/>
  <c r="AB125" s="1"/>
  <c r="BM111"/>
  <c r="BM112"/>
  <c r="BL113"/>
  <c r="AB127" l="1"/>
  <c r="AB128"/>
  <c r="AH118"/>
  <c r="AH95"/>
  <c r="BN112"/>
  <c r="BN111"/>
  <c r="BO110" s="1"/>
  <c r="BM113"/>
  <c r="AB129" l="1"/>
  <c r="AC132" s="1"/>
  <c r="AC133" s="1"/>
  <c r="AB135"/>
  <c r="AC125" s="1"/>
  <c r="AC127" s="1"/>
  <c r="BO112"/>
  <c r="BN113"/>
  <c r="AC128" l="1"/>
  <c r="AC135" s="1"/>
  <c r="AD125" s="1"/>
  <c r="AD127" s="1"/>
  <c r="BY94"/>
  <c r="N94" s="1"/>
  <c r="Z81" i="18" s="1"/>
  <c r="BV81" s="1"/>
  <c r="BP112" i="35"/>
  <c r="AC129" l="1"/>
  <c r="AD128" s="1"/>
  <c r="AD135" s="1"/>
  <c r="AE125" s="1"/>
  <c r="T81" i="18"/>
  <c r="AL81"/>
  <c r="BZ94" i="35"/>
  <c r="AD129" l="1"/>
  <c r="AE132" s="1"/>
  <c r="AE133" s="1"/>
  <c r="AD132"/>
  <c r="AD133" s="1"/>
  <c r="AE127"/>
  <c r="BT81" i="18"/>
  <c r="AV81"/>
  <c r="AV87" s="1"/>
  <c r="AV89" s="1"/>
  <c r="AE128" i="35" l="1"/>
  <c r="AE129" s="1"/>
  <c r="AF132" s="1"/>
  <c r="AF133" s="1"/>
  <c r="AE135" l="1"/>
  <c r="AF125" s="1"/>
  <c r="AF128" s="1"/>
  <c r="AF127" l="1"/>
  <c r="AF135" l="1"/>
  <c r="AG125" s="1"/>
  <c r="AG127" s="1"/>
  <c r="AF129"/>
  <c r="AG132" l="1"/>
  <c r="AG133" s="1"/>
  <c r="AG128"/>
  <c r="AG129" s="1"/>
  <c r="AH132" s="1"/>
  <c r="AH88" l="1"/>
  <c r="AH100" s="1"/>
  <c r="AH102" s="1"/>
  <c r="AH133"/>
  <c r="AG135"/>
  <c r="AH124" l="1"/>
  <c r="AH125" s="1"/>
  <c r="AH103"/>
  <c r="AH115" l="1"/>
  <c r="AH116" s="1"/>
  <c r="AH127"/>
  <c r="AH128"/>
  <c r="AH129" l="1"/>
  <c r="AI132" s="1"/>
  <c r="AI133" s="1"/>
  <c r="AH135"/>
  <c r="AI88" l="1"/>
  <c r="AI100" s="1"/>
  <c r="AI102" s="1"/>
  <c r="AI124" s="1"/>
  <c r="AI125" s="1"/>
  <c r="AI103" l="1"/>
  <c r="AI127"/>
  <c r="AI128"/>
  <c r="AI115"/>
  <c r="AI116" s="1"/>
  <c r="AJ117" s="1"/>
  <c r="AI129" l="1"/>
  <c r="AJ132" s="1"/>
  <c r="AJ88" s="1"/>
  <c r="AJ100" s="1"/>
  <c r="AJ102" s="1"/>
  <c r="AI135"/>
  <c r="AJ118"/>
  <c r="AJ95"/>
  <c r="AJ133" l="1"/>
  <c r="AJ103"/>
  <c r="AJ124"/>
  <c r="AJ125" s="1"/>
  <c r="AJ115" l="1"/>
  <c r="AJ116" s="1"/>
  <c r="AK117" s="1"/>
  <c r="AK118" s="1"/>
  <c r="AJ128"/>
  <c r="AJ135" s="1"/>
  <c r="AJ127"/>
  <c r="AK95" l="1"/>
  <c r="AJ129"/>
  <c r="AK132" s="1"/>
  <c r="AK88" l="1"/>
  <c r="AK100" s="1"/>
  <c r="AK102" s="1"/>
  <c r="AK124" s="1"/>
  <c r="AK125" s="1"/>
  <c r="AK133"/>
  <c r="AK103" l="1"/>
  <c r="AK127"/>
  <c r="AK129" s="1"/>
  <c r="AK115"/>
  <c r="AK116" s="1"/>
  <c r="AK128"/>
  <c r="AK135" l="1"/>
  <c r="AL117"/>
  <c r="AL132"/>
  <c r="AL133" l="1"/>
  <c r="AL88"/>
  <c r="AL100" s="1"/>
  <c r="AL102" s="1"/>
  <c r="AL118"/>
  <c r="AL95"/>
  <c r="AL124" l="1"/>
  <c r="AL125" s="1"/>
  <c r="AL103"/>
  <c r="AL127" l="1"/>
  <c r="AL114"/>
  <c r="AL128"/>
  <c r="AL115"/>
  <c r="AL135" l="1"/>
  <c r="AL116"/>
  <c r="AM117" s="1"/>
  <c r="AL129"/>
  <c r="AM132" s="1"/>
  <c r="AM133" l="1"/>
  <c r="AM88"/>
  <c r="AM100" s="1"/>
  <c r="AM102" s="1"/>
  <c r="AM118"/>
  <c r="AM95"/>
  <c r="AM124" l="1"/>
  <c r="AM125" s="1"/>
  <c r="AM103"/>
  <c r="AM114" l="1"/>
  <c r="AM127"/>
  <c r="AM128"/>
  <c r="AM115"/>
  <c r="AM135" l="1"/>
  <c r="AM116"/>
  <c r="AN117" s="1"/>
  <c r="AN95" s="1"/>
  <c r="AM129"/>
  <c r="AN132" s="1"/>
  <c r="AN118" l="1"/>
  <c r="AN133"/>
  <c r="AN88"/>
  <c r="AN100" s="1"/>
  <c r="AN102" s="1"/>
  <c r="AN103" l="1"/>
  <c r="AN124"/>
  <c r="AN125" s="1"/>
  <c r="AN115" l="1"/>
  <c r="AN116" s="1"/>
  <c r="AN127"/>
  <c r="AN129" s="1"/>
  <c r="AN128"/>
  <c r="AO132" l="1"/>
  <c r="AN135"/>
  <c r="AO117"/>
  <c r="AO133" l="1"/>
  <c r="AO88"/>
  <c r="AO100" s="1"/>
  <c r="AO102" s="1"/>
  <c r="AO95"/>
  <c r="AO118"/>
  <c r="AO124" l="1"/>
  <c r="AO125" s="1"/>
  <c r="AO103"/>
  <c r="AO127" l="1"/>
  <c r="AO129" s="1"/>
  <c r="AO115"/>
  <c r="AO116" s="1"/>
  <c r="AO128"/>
  <c r="AO135" l="1"/>
  <c r="AP132"/>
  <c r="AP117"/>
  <c r="AP133" l="1"/>
  <c r="AP88"/>
  <c r="AP100" s="1"/>
  <c r="AP102" s="1"/>
  <c r="AP118"/>
  <c r="AP95"/>
  <c r="AP124" l="1"/>
  <c r="AP125" s="1"/>
  <c r="AP103"/>
  <c r="AP127" l="1"/>
  <c r="AP129" s="1"/>
  <c r="AP115"/>
  <c r="AP116" s="1"/>
  <c r="AP128"/>
  <c r="AQ117" l="1"/>
  <c r="AQ132"/>
  <c r="AP135"/>
  <c r="AQ95" l="1"/>
  <c r="AQ118"/>
  <c r="AQ133"/>
  <c r="AQ88"/>
  <c r="AQ100" l="1"/>
  <c r="AQ102" s="1"/>
  <c r="AQ103" l="1"/>
  <c r="AQ124"/>
  <c r="AQ125" s="1"/>
  <c r="AQ114" l="1"/>
  <c r="AQ116" s="1"/>
  <c r="AR117" s="1"/>
  <c r="AQ127"/>
  <c r="AQ128"/>
  <c r="AQ115"/>
  <c r="AQ129" l="1"/>
  <c r="AR132" s="1"/>
  <c r="AR118"/>
  <c r="AR95"/>
  <c r="AQ135"/>
  <c r="AR133" l="1"/>
  <c r="AR88"/>
  <c r="AR100" s="1"/>
  <c r="AR102" s="1"/>
  <c r="AR124" l="1"/>
  <c r="AR125" s="1"/>
  <c r="AR103"/>
  <c r="AR115" l="1"/>
  <c r="AR114"/>
  <c r="AR127"/>
  <c r="AR128"/>
  <c r="AR135" l="1"/>
  <c r="AR129"/>
  <c r="AR116"/>
  <c r="AS132" l="1"/>
  <c r="AS117"/>
  <c r="AS133" l="1"/>
  <c r="AS88"/>
  <c r="AS100" s="1"/>
  <c r="AS102" s="1"/>
  <c r="AS118"/>
  <c r="AS95"/>
  <c r="AS103" l="1"/>
  <c r="AS124"/>
  <c r="AS125" s="1"/>
  <c r="AS127" l="1"/>
  <c r="AS129" s="1"/>
  <c r="AS114"/>
  <c r="AS115"/>
  <c r="AS128"/>
  <c r="AS116" l="1"/>
  <c r="AT117" s="1"/>
  <c r="AT132"/>
  <c r="AS135"/>
  <c r="AT133" l="1"/>
  <c r="AT88"/>
  <c r="AT100" s="1"/>
  <c r="AT102" s="1"/>
  <c r="AT118"/>
  <c r="AT95"/>
  <c r="AT103" l="1"/>
  <c r="AT124"/>
  <c r="AT125" s="1"/>
  <c r="AT127" l="1"/>
  <c r="AT115"/>
  <c r="AT116" s="1"/>
  <c r="AT128"/>
  <c r="AT129" l="1"/>
  <c r="AU132" s="1"/>
  <c r="AU117"/>
  <c r="AT135"/>
  <c r="AU133" l="1"/>
  <c r="AU88"/>
  <c r="AU100" s="1"/>
  <c r="AU102" s="1"/>
  <c r="AU95"/>
  <c r="AU118"/>
  <c r="AU124" l="1"/>
  <c r="AU125" s="1"/>
  <c r="AU103"/>
  <c r="AU127" l="1"/>
  <c r="AU129" s="1"/>
  <c r="AU115"/>
  <c r="AU116" s="1"/>
  <c r="AU128"/>
  <c r="AV117" l="1"/>
  <c r="AV132"/>
  <c r="AU135"/>
  <c r="AV95" l="1"/>
  <c r="AV118"/>
  <c r="AV133"/>
  <c r="AV88"/>
  <c r="AV100" l="1"/>
  <c r="AV102" s="1"/>
  <c r="AV124" l="1"/>
  <c r="AV125" s="1"/>
  <c r="AV103"/>
  <c r="AV127" l="1"/>
  <c r="AV114"/>
  <c r="AV128"/>
  <c r="AV115"/>
  <c r="AV129" l="1"/>
  <c r="AW132" s="1"/>
  <c r="AV116"/>
  <c r="AW117" s="1"/>
  <c r="AV135"/>
  <c r="AW118" l="1"/>
  <c r="AW95"/>
  <c r="AW133"/>
  <c r="AW88"/>
  <c r="AW100" l="1"/>
  <c r="AW102" s="1"/>
  <c r="AW103" l="1"/>
  <c r="AW124"/>
  <c r="AW125" s="1"/>
  <c r="AW114" l="1"/>
  <c r="AW116" s="1"/>
  <c r="AW127"/>
  <c r="AW128"/>
  <c r="AW115"/>
  <c r="AW129" l="1"/>
  <c r="AX132" s="1"/>
  <c r="AX117"/>
  <c r="AW135"/>
  <c r="AX118" l="1"/>
  <c r="AX95"/>
  <c r="AX133"/>
  <c r="AX88"/>
  <c r="AX100" l="1"/>
  <c r="AX102" s="1"/>
  <c r="AX124" l="1"/>
  <c r="AX125" s="1"/>
  <c r="AX103"/>
  <c r="AX127" l="1"/>
  <c r="AX128"/>
  <c r="AX115"/>
  <c r="AX116" s="1"/>
  <c r="AX129" l="1"/>
  <c r="AY132" s="1"/>
  <c r="AY117"/>
  <c r="AX135"/>
  <c r="AY133" l="1"/>
  <c r="AY88"/>
  <c r="AY100" s="1"/>
  <c r="AY102" s="1"/>
  <c r="AY118"/>
  <c r="AY95"/>
  <c r="AY124" l="1"/>
  <c r="AY125" s="1"/>
  <c r="AY103"/>
  <c r="AY127" l="1"/>
  <c r="AY128"/>
  <c r="AY115"/>
  <c r="AY116" s="1"/>
  <c r="AY129" l="1"/>
  <c r="AZ132" s="1"/>
  <c r="AZ117"/>
  <c r="AY135"/>
  <c r="AZ133" l="1"/>
  <c r="AZ88"/>
  <c r="AZ100" s="1"/>
  <c r="AZ102" s="1"/>
  <c r="AZ118"/>
  <c r="AZ95"/>
  <c r="AZ103" l="1"/>
  <c r="AZ124"/>
  <c r="AZ125" s="1"/>
  <c r="AZ127" l="1"/>
  <c r="AZ129" s="1"/>
  <c r="AZ115"/>
  <c r="AZ116" s="1"/>
  <c r="AZ128"/>
  <c r="BA117" l="1"/>
  <c r="BA132"/>
  <c r="AZ135"/>
  <c r="BA95" l="1"/>
  <c r="BA118"/>
  <c r="BA133"/>
  <c r="BA88"/>
  <c r="BA100" l="1"/>
  <c r="BA102" s="1"/>
  <c r="BA103" l="1"/>
  <c r="BA124"/>
  <c r="BA125" s="1"/>
  <c r="BA114" l="1"/>
  <c r="BA116" s="1"/>
  <c r="BA127"/>
  <c r="BA128"/>
  <c r="BA115"/>
  <c r="BA129" l="1"/>
  <c r="BB132" s="1"/>
  <c r="BB117"/>
  <c r="BA135"/>
  <c r="BB95" l="1"/>
  <c r="BB118"/>
  <c r="BB133"/>
  <c r="BB88"/>
  <c r="BB100" l="1"/>
  <c r="BB102" s="1"/>
  <c r="BB103" l="1"/>
  <c r="BB124"/>
  <c r="BB125" s="1"/>
  <c r="BB127" l="1"/>
  <c r="BB128"/>
  <c r="BB115"/>
  <c r="BB116" s="1"/>
  <c r="BB129" l="1"/>
  <c r="BC132" s="1"/>
  <c r="BC117"/>
  <c r="BB135"/>
  <c r="BC88" l="1"/>
  <c r="BC100" s="1"/>
  <c r="BC102" s="1"/>
  <c r="BC133"/>
  <c r="BC95"/>
  <c r="BC118"/>
  <c r="BC124" l="1"/>
  <c r="BC125" s="1"/>
  <c r="BC103"/>
  <c r="BC127" l="1"/>
  <c r="BC115"/>
  <c r="BC116" s="1"/>
  <c r="BC128"/>
  <c r="BC129" l="1"/>
  <c r="BD132" s="1"/>
  <c r="BD117"/>
  <c r="BC135"/>
  <c r="BD133" l="1"/>
  <c r="BD88"/>
  <c r="BD100" s="1"/>
  <c r="BD102" s="1"/>
  <c r="BD118"/>
  <c r="BD95"/>
  <c r="BD103" l="1"/>
  <c r="BD124"/>
  <c r="BD125" s="1"/>
  <c r="BD127" l="1"/>
  <c r="BD128"/>
  <c r="BD115"/>
  <c r="BD116" s="1"/>
  <c r="BD129" l="1"/>
  <c r="BE132" s="1"/>
  <c r="BE117"/>
  <c r="BD135"/>
  <c r="BE133" l="1"/>
  <c r="BE88"/>
  <c r="BE100" s="1"/>
  <c r="BE102" s="1"/>
  <c r="BE95"/>
  <c r="BE118"/>
  <c r="BE103" l="1"/>
  <c r="BE124"/>
  <c r="BE125" s="1"/>
  <c r="BE127" l="1"/>
  <c r="BE129" s="1"/>
  <c r="BE114"/>
  <c r="BE115"/>
  <c r="BE128"/>
  <c r="BE116" l="1"/>
  <c r="BF117" s="1"/>
  <c r="BF132"/>
  <c r="BE135"/>
  <c r="BF133" l="1"/>
  <c r="BF88"/>
  <c r="BF100" s="1"/>
  <c r="BF102" s="1"/>
  <c r="BF95"/>
  <c r="BF118"/>
  <c r="BF103" l="1"/>
  <c r="BF124"/>
  <c r="BF125" s="1"/>
  <c r="BF127" l="1"/>
  <c r="BF129" s="1"/>
  <c r="BF114"/>
  <c r="BF115"/>
  <c r="BF128"/>
  <c r="BG132" l="1"/>
  <c r="BF116"/>
  <c r="BF135"/>
  <c r="BG133" l="1"/>
  <c r="BG88"/>
  <c r="BG117"/>
  <c r="BG100" l="1"/>
  <c r="BG102" s="1"/>
  <c r="BG118"/>
  <c r="BG95"/>
  <c r="BG124" l="1"/>
  <c r="BG125" s="1"/>
  <c r="BG103"/>
  <c r="BG114" l="1"/>
  <c r="BG127"/>
  <c r="BG128"/>
  <c r="BG115"/>
  <c r="BG116" l="1"/>
  <c r="BH117" s="1"/>
  <c r="BG129"/>
  <c r="BG135"/>
  <c r="BH118" l="1"/>
  <c r="BH95"/>
  <c r="BH132"/>
  <c r="BH133" l="1"/>
  <c r="BH88"/>
  <c r="BH100" s="1"/>
  <c r="BH102" s="1"/>
  <c r="BH124" l="1"/>
  <c r="BH125" s="1"/>
  <c r="BH103"/>
  <c r="BH127" l="1"/>
  <c r="BH129" s="1"/>
  <c r="BH115"/>
  <c r="BH116" s="1"/>
  <c r="BH128"/>
  <c r="BI132" l="1"/>
  <c r="BH135"/>
  <c r="BI117"/>
  <c r="BI133" l="1"/>
  <c r="BI88"/>
  <c r="BI100" s="1"/>
  <c r="BI102" s="1"/>
  <c r="BI95"/>
  <c r="BI118"/>
  <c r="BI124" l="1"/>
  <c r="BI125" s="1"/>
  <c r="BI103"/>
  <c r="BI114" l="1"/>
  <c r="BI127"/>
  <c r="BI115"/>
  <c r="BI128"/>
  <c r="BI129" l="1"/>
  <c r="BJ132" s="1"/>
  <c r="BI116"/>
  <c r="BJ117" s="1"/>
  <c r="BI135"/>
  <c r="BJ118" l="1"/>
  <c r="BJ95"/>
  <c r="BJ133"/>
  <c r="BJ88"/>
  <c r="BJ100" l="1"/>
  <c r="BJ102" s="1"/>
  <c r="BJ124" l="1"/>
  <c r="BJ125" s="1"/>
  <c r="BJ103"/>
  <c r="BJ114" l="1"/>
  <c r="BJ116" s="1"/>
  <c r="BJ127"/>
  <c r="BJ128"/>
  <c r="BJ115"/>
  <c r="BK117" l="1"/>
  <c r="BJ129"/>
  <c r="BJ135"/>
  <c r="BK95" l="1"/>
  <c r="BK118"/>
  <c r="BK132"/>
  <c r="BK133" l="1"/>
  <c r="BK88"/>
  <c r="BK100" s="1"/>
  <c r="BK102" s="1"/>
  <c r="BK103" l="1"/>
  <c r="BK124"/>
  <c r="BK125" s="1"/>
  <c r="BK114" l="1"/>
  <c r="BK127"/>
  <c r="BK115"/>
  <c r="BK128"/>
  <c r="BK129" l="1"/>
  <c r="BL132" s="1"/>
  <c r="BK116"/>
  <c r="BL117" s="1"/>
  <c r="BK135"/>
  <c r="BL95" l="1"/>
  <c r="BL118"/>
  <c r="BL133"/>
  <c r="BY133" s="1"/>
  <c r="BL88"/>
  <c r="BY132"/>
  <c r="BL100" l="1"/>
  <c r="BL102" s="1"/>
  <c r="BL103" l="1"/>
  <c r="BL124"/>
  <c r="BL125" s="1"/>
  <c r="BL127" l="1"/>
  <c r="BL114"/>
  <c r="BL128"/>
  <c r="BY128" s="1"/>
  <c r="BL115"/>
  <c r="BL116" l="1"/>
  <c r="BM117" s="1"/>
  <c r="BL129"/>
  <c r="BM132" s="1"/>
  <c r="BL135"/>
  <c r="BM133" l="1"/>
  <c r="BN133" s="1"/>
  <c r="BM88"/>
  <c r="BM95"/>
  <c r="BM118"/>
  <c r="BM100" l="1"/>
  <c r="BM102" s="1"/>
  <c r="BM124" s="1"/>
  <c r="BM125" s="1"/>
  <c r="BM103" l="1"/>
  <c r="BM127"/>
  <c r="BM135" s="1"/>
  <c r="BM114"/>
  <c r="BM115"/>
  <c r="BM128"/>
  <c r="BM116" l="1"/>
  <c r="BN117" s="1"/>
  <c r="BN95" l="1"/>
  <c r="BN100" s="1"/>
  <c r="BN102" s="1"/>
  <c r="BN118"/>
  <c r="BN124" l="1"/>
  <c r="BN125" s="1"/>
  <c r="BN103"/>
  <c r="BN127" l="1"/>
  <c r="BN128"/>
  <c r="BN114"/>
  <c r="BN115"/>
  <c r="BN135" l="1"/>
  <c r="BN129"/>
  <c r="BO132" s="1"/>
  <c r="BN116"/>
  <c r="BO117" s="1"/>
  <c r="BO133" l="1"/>
  <c r="BO88"/>
  <c r="BO100" s="1"/>
  <c r="BO102" s="1"/>
  <c r="BO103" s="1"/>
  <c r="BO118"/>
  <c r="BO95"/>
  <c r="BO111" l="1"/>
  <c r="BP110" s="1"/>
  <c r="BP113" s="1"/>
  <c r="BO124"/>
  <c r="BO125" s="1"/>
  <c r="BO128" s="1"/>
  <c r="BO113" l="1"/>
  <c r="BO114"/>
  <c r="BO127"/>
  <c r="BO115"/>
  <c r="BO116" l="1"/>
  <c r="BO129"/>
  <c r="BP132" s="1"/>
  <c r="BP133" s="1"/>
  <c r="BO135"/>
  <c r="BP117" l="1"/>
  <c r="BP88" l="1"/>
  <c r="BP95"/>
  <c r="BP118"/>
  <c r="BP100" l="1"/>
  <c r="BP102" s="1"/>
  <c r="BY88"/>
  <c r="BP124" l="1"/>
  <c r="BP125" s="1"/>
  <c r="BP103"/>
  <c r="N88"/>
  <c r="Z75" i="18" s="1"/>
  <c r="AL75" l="1"/>
  <c r="AT75" s="1"/>
  <c r="BV75"/>
  <c r="BP114" i="35"/>
  <c r="BP127"/>
  <c r="BY127" s="1"/>
  <c r="BP128"/>
  <c r="BP115"/>
  <c r="BZ88"/>
  <c r="BY125"/>
  <c r="BT75" i="18" l="1"/>
  <c r="BP116" i="35"/>
  <c r="BQ117" s="1"/>
  <c r="BP129"/>
  <c r="BY129" s="1"/>
  <c r="BA10" i="18" s="1"/>
  <c r="BP135" i="35"/>
  <c r="BQ95" l="1"/>
  <c r="BQ118"/>
  <c r="BQ100" l="1"/>
  <c r="BY95"/>
  <c r="BQ102" l="1"/>
  <c r="CA100"/>
  <c r="N95"/>
  <c r="BZ95" s="1"/>
  <c r="BY100"/>
  <c r="BQ124" l="1"/>
  <c r="BQ125" s="1"/>
  <c r="BQ103"/>
  <c r="BY103" s="1"/>
  <c r="Z82" i="18"/>
  <c r="BV82" s="1"/>
  <c r="N100" i="35"/>
  <c r="N102" s="1"/>
  <c r="N103" s="1"/>
  <c r="BY102"/>
  <c r="BZ103" l="1"/>
  <c r="AL82" i="18"/>
  <c r="Z87"/>
  <c r="BQ127" i="35"/>
  <c r="BQ135" s="1"/>
  <c r="BR125" s="1"/>
  <c r="BQ115"/>
  <c r="BQ116" s="1"/>
  <c r="BY124"/>
  <c r="BZ102"/>
  <c r="BZ100"/>
  <c r="Z89" i="18" l="1"/>
  <c r="BV87"/>
  <c r="BT82"/>
  <c r="AT82"/>
  <c r="AT87" s="1"/>
  <c r="AT89" s="1"/>
  <c r="C6" i="39" s="1"/>
  <c r="AL87" i="18"/>
  <c r="BR127" i="35"/>
  <c r="BR135" s="1"/>
  <c r="BS125" s="1"/>
  <c r="BR115"/>
  <c r="Z90" i="18" l="1"/>
  <c r="BV89"/>
  <c r="BS127" i="35"/>
  <c r="BS135" s="1"/>
  <c r="BT125" s="1"/>
  <c r="BS115"/>
  <c r="D13" i="39"/>
  <c r="F13" s="1"/>
  <c r="D16"/>
  <c r="F16" s="1"/>
  <c r="D14"/>
  <c r="F14" s="1"/>
  <c r="D17"/>
  <c r="F17" s="1"/>
  <c r="D12"/>
  <c r="F12" s="1"/>
  <c r="D15"/>
  <c r="F15" s="1"/>
  <c r="D18"/>
  <c r="F18" s="1"/>
  <c r="AL89" i="18"/>
  <c r="AL90" s="1"/>
  <c r="BT87"/>
  <c r="BV90" l="1"/>
  <c r="AS90"/>
  <c r="AT93" s="1"/>
  <c r="H93"/>
  <c r="AR93" s="1"/>
  <c r="BT127" i="35"/>
  <c r="BT135" s="1"/>
  <c r="BU125" s="1"/>
  <c r="BT115"/>
  <c r="AS91" i="18"/>
  <c r="I13" i="39"/>
  <c r="H13"/>
  <c r="G13"/>
  <c r="I17"/>
  <c r="H17"/>
  <c r="G17"/>
  <c r="I15"/>
  <c r="H15"/>
  <c r="G15"/>
  <c r="I18"/>
  <c r="H18"/>
  <c r="G18"/>
  <c r="G16"/>
  <c r="I16"/>
  <c r="H16"/>
  <c r="H14"/>
  <c r="G14"/>
  <c r="I14"/>
  <c r="I12"/>
  <c r="H12"/>
  <c r="G12"/>
  <c r="BU115" i="35" l="1"/>
  <c r="BU127"/>
  <c r="BU135" s="1"/>
  <c r="BV125" s="1"/>
  <c r="BV135" l="1"/>
  <c r="BW125" s="1"/>
  <c r="BV115"/>
  <c r="BV127"/>
  <c r="BW115" l="1"/>
  <c r="BW127"/>
  <c r="BW135" s="1"/>
  <c r="BX125" s="1"/>
  <c r="BX127" l="1"/>
  <c r="BX135" s="1"/>
  <c r="BY135" s="1"/>
</calcChain>
</file>

<file path=xl/sharedStrings.xml><?xml version="1.0" encoding="utf-8"?>
<sst xmlns="http://schemas.openxmlformats.org/spreadsheetml/2006/main" count="797" uniqueCount="483">
  <si>
    <t>×</t>
    <phoneticPr fontId="20" type="noConversion"/>
  </si>
  <si>
    <t>%</t>
    <phoneticPr fontId="20" type="noConversion"/>
  </si>
  <si>
    <t>㎡</t>
  </si>
  <si>
    <t>매입면적(토지)</t>
    <phoneticPr fontId="20" type="noConversion"/>
  </si>
  <si>
    <t>전체연면적(건물)</t>
    <phoneticPr fontId="20" type="noConversion"/>
  </si>
  <si>
    <t>PF수수료</t>
    <phoneticPr fontId="20" type="noConversion"/>
  </si>
  <si>
    <t>합계</t>
    <phoneticPr fontId="20" type="noConversion"/>
  </si>
  <si>
    <t>누계</t>
    <phoneticPr fontId="20" type="noConversion"/>
  </si>
  <si>
    <t>소계</t>
    <phoneticPr fontId="20" type="noConversion"/>
  </si>
  <si>
    <t>매 출 합 계</t>
    <phoneticPr fontId="20" type="noConversion"/>
  </si>
  <si>
    <t>판매비</t>
    <phoneticPr fontId="20" type="noConversion"/>
  </si>
  <si>
    <t>보존등기비</t>
    <phoneticPr fontId="20" type="noConversion"/>
  </si>
  <si>
    <t>지 출 합 계</t>
    <phoneticPr fontId="20" type="noConversion"/>
  </si>
  <si>
    <t>통장잔금(입금-출금)</t>
    <phoneticPr fontId="20" type="noConversion"/>
  </si>
  <si>
    <t>건폐율</t>
    <phoneticPr fontId="20" type="noConversion"/>
  </si>
  <si>
    <t>기부면적(도로등)</t>
    <phoneticPr fontId="20" type="noConversion"/>
  </si>
  <si>
    <t>건축비</t>
    <phoneticPr fontId="20" type="noConversion"/>
  </si>
  <si>
    <t>지상연면적(건물)</t>
    <phoneticPr fontId="20" type="noConversion"/>
  </si>
  <si>
    <t>구    분</t>
    <phoneticPr fontId="20" type="noConversion"/>
  </si>
  <si>
    <t>산출 내역</t>
    <phoneticPr fontId="20" type="noConversion"/>
  </si>
  <si>
    <t>비율</t>
    <phoneticPr fontId="20" type="noConversion"/>
  </si>
  <si>
    <t>천원</t>
    <phoneticPr fontId="20" type="noConversion"/>
  </si>
  <si>
    <t>유휴면적(토지)</t>
    <phoneticPr fontId="20" type="noConversion"/>
  </si>
  <si>
    <t>사 업 명</t>
    <phoneticPr fontId="20" type="noConversion"/>
  </si>
  <si>
    <t>부지대표지번</t>
    <phoneticPr fontId="20" type="noConversion"/>
  </si>
  <si>
    <t>건축규모</t>
    <phoneticPr fontId="20" type="noConversion"/>
  </si>
  <si>
    <t>사업면적(토지)</t>
    <phoneticPr fontId="20" type="noConversion"/>
  </si>
  <si>
    <t>토지비</t>
    <phoneticPr fontId="20" type="noConversion"/>
  </si>
  <si>
    <t>설계비</t>
    <phoneticPr fontId="20" type="noConversion"/>
  </si>
  <si>
    <t>개월</t>
    <phoneticPr fontId="20" type="noConversion"/>
  </si>
  <si>
    <t>지 출 합 계</t>
    <phoneticPr fontId="20" type="noConversion"/>
  </si>
  <si>
    <t>신탁계정대 월별 상환</t>
    <phoneticPr fontId="20" type="noConversion"/>
  </si>
  <si>
    <t>세대</t>
    <phoneticPr fontId="20" type="noConversion"/>
  </si>
  <si>
    <t>PF이자</t>
    <phoneticPr fontId="20" type="noConversion"/>
  </si>
  <si>
    <t>개월</t>
    <phoneticPr fontId="20" type="noConversion"/>
  </si>
  <si>
    <t>토지비</t>
    <phoneticPr fontId="20" type="noConversion"/>
  </si>
  <si>
    <t>건축비</t>
    <phoneticPr fontId="20" type="noConversion"/>
  </si>
  <si>
    <t>부대비</t>
    <phoneticPr fontId="20" type="noConversion"/>
  </si>
  <si>
    <t>신탁
차입금</t>
    <phoneticPr fontId="20" type="noConversion"/>
  </si>
  <si>
    <t>신탁차입이자율</t>
    <phoneticPr fontId="20" type="noConversion"/>
  </si>
  <si>
    <r>
      <rPr>
        <sz val="11"/>
        <rFont val="맑은 고딕"/>
        <family val="3"/>
        <charset val="129"/>
      </rPr>
      <t>●</t>
    </r>
    <r>
      <rPr>
        <sz val="11"/>
        <rFont val="굴림"/>
        <family val="3"/>
        <charset val="129"/>
      </rPr>
      <t xml:space="preserve"> 사업명 :</t>
    </r>
    <phoneticPr fontId="20" type="noConversion"/>
  </si>
  <si>
    <r>
      <rPr>
        <sz val="11"/>
        <rFont val="맑은 고딕"/>
        <family val="3"/>
        <charset val="129"/>
      </rPr>
      <t>●</t>
    </r>
    <r>
      <rPr>
        <sz val="11"/>
        <rFont val="굴림"/>
        <family val="3"/>
        <charset val="129"/>
      </rPr>
      <t xml:space="preserve"> 공   기 :</t>
    </r>
    <phoneticPr fontId="20" type="noConversion"/>
  </si>
  <si>
    <t>비용</t>
    <phoneticPr fontId="20" type="noConversion"/>
  </si>
  <si>
    <t>용역비</t>
    <phoneticPr fontId="20" type="noConversion"/>
  </si>
  <si>
    <t>(수입 - 비용)</t>
    <phoneticPr fontId="20" type="noConversion"/>
  </si>
  <si>
    <t>소계</t>
    <phoneticPr fontId="20" type="noConversion"/>
  </si>
  <si>
    <t>예비비</t>
    <phoneticPr fontId="20" type="noConversion"/>
  </si>
  <si>
    <t>비 용</t>
    <phoneticPr fontId="20" type="noConversion"/>
  </si>
  <si>
    <t>각종인입비</t>
    <phoneticPr fontId="20" type="noConversion"/>
  </si>
  <si>
    <t>신탁보수</t>
    <phoneticPr fontId="20" type="noConversion"/>
  </si>
  <si>
    <t>소계</t>
    <phoneticPr fontId="20" type="noConversion"/>
  </si>
  <si>
    <t>공사기간</t>
    <phoneticPr fontId="20" type="noConversion"/>
  </si>
  <si>
    <t>투입금액</t>
    <phoneticPr fontId="20" type="noConversion"/>
  </si>
  <si>
    <t>소계</t>
    <phoneticPr fontId="20" type="noConversion"/>
  </si>
  <si>
    <t>제세
공과금</t>
    <phoneticPr fontId="20" type="noConversion"/>
  </si>
  <si>
    <t>부대비</t>
    <phoneticPr fontId="20" type="noConversion"/>
  </si>
  <si>
    <t>용역비</t>
    <phoneticPr fontId="20" type="noConversion"/>
  </si>
  <si>
    <t>제세공과</t>
    <phoneticPr fontId="20" type="noConversion"/>
  </si>
  <si>
    <t>Equity</t>
    <phoneticPr fontId="20" type="noConversion"/>
  </si>
  <si>
    <t>월 총수입</t>
    <phoneticPr fontId="20" type="noConversion"/>
  </si>
  <si>
    <t>월 총비용</t>
    <phoneticPr fontId="20" type="noConversion"/>
  </si>
  <si>
    <t>신탁계정대 월별 투입</t>
    <phoneticPr fontId="20" type="noConversion"/>
  </si>
  <si>
    <t>신탁계정대 잔액 누계</t>
    <phoneticPr fontId="20" type="noConversion"/>
  </si>
  <si>
    <t>최대차입금</t>
    <phoneticPr fontId="20" type="noConversion"/>
  </si>
  <si>
    <t>신탁차입금 월이자</t>
    <phoneticPr fontId="20" type="noConversion"/>
  </si>
  <si>
    <t>신탁차입금 이자 누계</t>
    <phoneticPr fontId="20" type="noConversion"/>
  </si>
  <si>
    <t>세대수</t>
    <phoneticPr fontId="20" type="noConversion"/>
  </si>
  <si>
    <t>주차대수</t>
    <phoneticPr fontId="20" type="noConversion"/>
  </si>
  <si>
    <t>지하연면적(건물)</t>
    <phoneticPr fontId="20" type="noConversion"/>
  </si>
  <si>
    <t>㎡</t>
    <phoneticPr fontId="20" type="noConversion"/>
  </si>
  <si>
    <t>용적률</t>
    <phoneticPr fontId="20" type="noConversion"/>
  </si>
  <si>
    <t>매출이익(수입-비용)</t>
    <phoneticPr fontId="20" type="noConversion"/>
  </si>
  <si>
    <t>합계</t>
    <phoneticPr fontId="20" type="noConversion"/>
  </si>
  <si>
    <t>무이자 이자율</t>
    <phoneticPr fontId="20" type="noConversion"/>
  </si>
  <si>
    <t>무이자 비중</t>
    <phoneticPr fontId="20" type="noConversion"/>
  </si>
  <si>
    <t>평</t>
    <phoneticPr fontId="20" type="noConversion"/>
  </si>
  <si>
    <t>평</t>
    <phoneticPr fontId="20" type="noConversion"/>
  </si>
  <si>
    <t xml:space="preserve"> 수익률</t>
    <phoneticPr fontId="20" type="noConversion"/>
  </si>
  <si>
    <t>내용(일정)</t>
    <phoneticPr fontId="20" type="noConversion"/>
  </si>
  <si>
    <t>구        분</t>
    <phoneticPr fontId="20" type="noConversion"/>
  </si>
  <si>
    <t>시        기</t>
    <phoneticPr fontId="20" type="noConversion"/>
  </si>
  <si>
    <t>과부족</t>
    <phoneticPr fontId="20" type="noConversion"/>
  </si>
  <si>
    <t>전월잔액 반영 월 수지차</t>
    <phoneticPr fontId="20" type="noConversion"/>
  </si>
  <si>
    <t>통장</t>
    <phoneticPr fontId="20" type="noConversion"/>
  </si>
  <si>
    <t>시행사운영비</t>
    <phoneticPr fontId="20" type="noConversion"/>
  </si>
  <si>
    <t>equity</t>
    <phoneticPr fontId="20" type="noConversion"/>
  </si>
  <si>
    <t>대여금</t>
    <phoneticPr fontId="20" type="noConversion"/>
  </si>
  <si>
    <t>VAT별도</t>
    <phoneticPr fontId="20" type="noConversion"/>
  </si>
  <si>
    <t>월계</t>
    <phoneticPr fontId="20" type="noConversion"/>
  </si>
  <si>
    <t>공정율</t>
    <phoneticPr fontId="20" type="noConversion"/>
  </si>
  <si>
    <t>공정율</t>
    <phoneticPr fontId="20" type="noConversion"/>
  </si>
  <si>
    <t>시행사 금액</t>
    <phoneticPr fontId="20" type="noConversion"/>
  </si>
  <si>
    <t>시공사 금액</t>
    <phoneticPr fontId="20" type="noConversion"/>
  </si>
  <si>
    <t>건축공사비(본공사)</t>
    <phoneticPr fontId="20" type="noConversion"/>
  </si>
  <si>
    <t>신탁대지급금이자</t>
    <phoneticPr fontId="20" type="noConversion"/>
  </si>
  <si>
    <t>금액</t>
    <phoneticPr fontId="20" type="noConversion"/>
  </si>
  <si>
    <t>(단위:천원)</t>
    <phoneticPr fontId="20" type="noConversion"/>
  </si>
  <si>
    <t>잔액</t>
    <phoneticPr fontId="20" type="noConversion"/>
  </si>
  <si>
    <t>PF대출</t>
    <phoneticPr fontId="20" type="noConversion"/>
  </si>
  <si>
    <t>직접공사비(본공사)</t>
    <phoneticPr fontId="20" type="noConversion"/>
  </si>
  <si>
    <t>건축공사비(본공사)</t>
    <phoneticPr fontId="20" type="noConversion"/>
  </si>
  <si>
    <t>공사비</t>
    <phoneticPr fontId="20" type="noConversion"/>
  </si>
  <si>
    <t>합계</t>
    <phoneticPr fontId="20" type="noConversion"/>
  </si>
  <si>
    <t>부가세</t>
    <phoneticPr fontId="20" type="noConversion"/>
  </si>
  <si>
    <t>공사비</t>
    <phoneticPr fontId="20" type="noConversion"/>
  </si>
  <si>
    <t>비과세면적</t>
    <phoneticPr fontId="20" type="noConversion"/>
  </si>
  <si>
    <t>과세면적</t>
    <phoneticPr fontId="20" type="noConversion"/>
  </si>
  <si>
    <t>분양면적계</t>
    <phoneticPr fontId="20" type="noConversion"/>
  </si>
  <si>
    <t>비고</t>
    <phoneticPr fontId="20" type="noConversion"/>
  </si>
  <si>
    <t>계약면적</t>
    <phoneticPr fontId="20" type="noConversion"/>
  </si>
  <si>
    <t>주차장면적</t>
    <phoneticPr fontId="20" type="noConversion"/>
  </si>
  <si>
    <t>전체공용</t>
    <phoneticPr fontId="20" type="noConversion"/>
  </si>
  <si>
    <t>근린생활시설공용면적</t>
    <phoneticPr fontId="20" type="noConversion"/>
  </si>
  <si>
    <t>전용면적</t>
    <phoneticPr fontId="20" type="noConversion"/>
  </si>
  <si>
    <t>층별구분</t>
    <phoneticPr fontId="20" type="noConversion"/>
  </si>
  <si>
    <t>평</t>
    <phoneticPr fontId="20" type="noConversion"/>
  </si>
  <si>
    <t>■  근린생활시설 분양면적표</t>
    <phoneticPr fontId="20" type="noConversion"/>
  </si>
  <si>
    <t>기타공유</t>
    <phoneticPr fontId="20" type="noConversion"/>
  </si>
  <si>
    <t>분양면적</t>
    <phoneticPr fontId="20" type="noConversion"/>
  </si>
  <si>
    <t>주거공유</t>
    <phoneticPr fontId="20" type="noConversion"/>
  </si>
  <si>
    <t>전용면적</t>
    <phoneticPr fontId="20" type="noConversion"/>
  </si>
  <si>
    <t>세대수</t>
    <phoneticPr fontId="20" type="noConversion"/>
  </si>
  <si>
    <t>평형</t>
    <phoneticPr fontId="20" type="noConversion"/>
  </si>
  <si>
    <t>■  오피스텔 분양면적표</t>
    <phoneticPr fontId="20" type="noConversion"/>
  </si>
  <si>
    <t>비과세</t>
    <phoneticPr fontId="20" type="noConversion"/>
  </si>
  <si>
    <t>기타공유/지하주차장</t>
    <phoneticPr fontId="20" type="noConversion"/>
  </si>
  <si>
    <t>공급면적</t>
    <phoneticPr fontId="20" type="noConversion"/>
  </si>
  <si>
    <t>주거공용면적</t>
    <phoneticPr fontId="20" type="noConversion"/>
  </si>
  <si>
    <t>■  아파트 분양면적표</t>
    <phoneticPr fontId="20" type="noConversion"/>
  </si>
  <si>
    <t>상가</t>
    <phoneticPr fontId="20" type="noConversion"/>
  </si>
  <si>
    <t>면적합계</t>
    <phoneticPr fontId="20" type="noConversion"/>
  </si>
  <si>
    <t>비 율</t>
    <phoneticPr fontId="20" type="noConversion"/>
  </si>
  <si>
    <t>면 적</t>
    <phoneticPr fontId="20" type="noConversion"/>
  </si>
  <si>
    <t>구 분</t>
    <phoneticPr fontId="20" type="noConversion"/>
  </si>
  <si>
    <t>건물가</t>
    <phoneticPr fontId="20" type="noConversion"/>
  </si>
  <si>
    <t>대지비 안분</t>
    <phoneticPr fontId="20" type="noConversion"/>
  </si>
  <si>
    <t>비  율</t>
    <phoneticPr fontId="20" type="noConversion"/>
  </si>
  <si>
    <t>지상면적</t>
    <phoneticPr fontId="20" type="noConversion"/>
  </si>
  <si>
    <t>합 계</t>
    <phoneticPr fontId="20" type="noConversion"/>
  </si>
  <si>
    <t>매출부가세</t>
    <phoneticPr fontId="20" type="noConversion"/>
  </si>
  <si>
    <t>소 계</t>
    <phoneticPr fontId="20" type="noConversion"/>
  </si>
  <si>
    <t>소계</t>
    <phoneticPr fontId="20" type="noConversion"/>
  </si>
  <si>
    <t>평</t>
    <phoneticPr fontId="20" type="noConversion"/>
  </si>
  <si>
    <t>근생시설</t>
    <phoneticPr fontId="20" type="noConversion"/>
  </si>
  <si>
    <t>평형</t>
    <phoneticPr fontId="20" type="noConversion"/>
  </si>
  <si>
    <t>오피스텔</t>
    <phoneticPr fontId="20" type="noConversion"/>
  </si>
  <si>
    <t>평형</t>
    <phoneticPr fontId="20" type="noConversion"/>
  </si>
  <si>
    <t>아파트G</t>
    <phoneticPr fontId="20" type="noConversion"/>
  </si>
  <si>
    <t>아파트G</t>
    <phoneticPr fontId="20" type="noConversion"/>
  </si>
  <si>
    <t>평형</t>
    <phoneticPr fontId="20" type="noConversion"/>
  </si>
  <si>
    <t>아파트H</t>
    <phoneticPr fontId="20" type="noConversion"/>
  </si>
  <si>
    <t>평형</t>
    <phoneticPr fontId="20" type="noConversion"/>
  </si>
  <si>
    <t>아파트F</t>
    <phoneticPr fontId="20" type="noConversion"/>
  </si>
  <si>
    <t>아파트E</t>
    <phoneticPr fontId="20" type="noConversion"/>
  </si>
  <si>
    <t>평형</t>
    <phoneticPr fontId="20" type="noConversion"/>
  </si>
  <si>
    <t>아파트D</t>
    <phoneticPr fontId="20" type="noConversion"/>
  </si>
  <si>
    <t>아파트A</t>
    <phoneticPr fontId="20" type="noConversion"/>
  </si>
  <si>
    <t>총분양금</t>
    <phoneticPr fontId="20" type="noConversion"/>
  </si>
  <si>
    <t>세대수/평</t>
    <phoneticPr fontId="20" type="noConversion"/>
  </si>
  <si>
    <t>분양금</t>
    <phoneticPr fontId="20" type="noConversion"/>
  </si>
  <si>
    <t>분양단가</t>
    <phoneticPr fontId="20" type="noConversion"/>
  </si>
  <si>
    <t>평형/층별</t>
    <phoneticPr fontId="20" type="noConversion"/>
  </si>
  <si>
    <t>아파트C</t>
    <phoneticPr fontId="20" type="noConversion"/>
  </si>
  <si>
    <t>합계</t>
    <phoneticPr fontId="20" type="noConversion"/>
  </si>
  <si>
    <t>2. 분양개요</t>
    <phoneticPr fontId="20" type="noConversion"/>
  </si>
  <si>
    <t>2. 매출부가세 내역</t>
    <phoneticPr fontId="20" type="noConversion"/>
  </si>
  <si>
    <t>3. 평형개요</t>
    <phoneticPr fontId="20" type="noConversion"/>
  </si>
  <si>
    <t xml:space="preserve"> 1. 분양수입금 </t>
    <phoneticPr fontId="20" type="noConversion"/>
  </si>
  <si>
    <t>3. 공사비 과세비율(연면적기준)</t>
    <phoneticPr fontId="20" type="noConversion"/>
  </si>
  <si>
    <t>VAT포함</t>
    <phoneticPr fontId="20" type="noConversion"/>
  </si>
  <si>
    <t>비   고</t>
    <phoneticPr fontId="20" type="noConversion"/>
  </si>
  <si>
    <t>분양가</t>
    <phoneticPr fontId="20" type="noConversion"/>
  </si>
  <si>
    <t>공사비선급금</t>
    <phoneticPr fontId="20" type="noConversion"/>
  </si>
  <si>
    <t xml:space="preserve"> </t>
    <phoneticPr fontId="20" type="noConversion"/>
  </si>
  <si>
    <t>자체자금</t>
    <phoneticPr fontId="20" type="noConversion"/>
  </si>
  <si>
    <t>자체자금 회수</t>
    <phoneticPr fontId="20" type="noConversion"/>
  </si>
  <si>
    <t>PF취급수수료</t>
    <phoneticPr fontId="20" type="noConversion"/>
  </si>
  <si>
    <t>상환금액</t>
    <phoneticPr fontId="20" type="noConversion"/>
  </si>
  <si>
    <t>PF 자금판</t>
    <phoneticPr fontId="272" type="noConversion"/>
  </si>
  <si>
    <t>대출기간</t>
    <phoneticPr fontId="272" type="noConversion"/>
  </si>
  <si>
    <t>IN</t>
    <phoneticPr fontId="272" type="noConversion"/>
  </si>
  <si>
    <t>OUT</t>
    <phoneticPr fontId="272" type="noConversion"/>
  </si>
  <si>
    <t>PF</t>
    <phoneticPr fontId="272" type="noConversion"/>
  </si>
  <si>
    <t>중랑신협</t>
    <phoneticPr fontId="272" type="noConversion"/>
  </si>
  <si>
    <t>바로저축</t>
    <phoneticPr fontId="272" type="noConversion"/>
  </si>
  <si>
    <t>상환</t>
    <phoneticPr fontId="272" type="noConversion"/>
  </si>
  <si>
    <t>대출잔액</t>
    <phoneticPr fontId="272" type="noConversion"/>
  </si>
  <si>
    <t>비고</t>
    <phoneticPr fontId="272" type="noConversion"/>
  </si>
  <si>
    <t>웨이브</t>
    <phoneticPr fontId="272" type="noConversion"/>
  </si>
  <si>
    <t>기표</t>
    <phoneticPr fontId="272" type="noConversion"/>
  </si>
  <si>
    <t>이자합계</t>
    <phoneticPr fontId="272" type="noConversion"/>
  </si>
  <si>
    <t>계</t>
    <phoneticPr fontId="272" type="noConversion"/>
  </si>
  <si>
    <t>PF비용예치</t>
    <phoneticPr fontId="272" type="noConversion"/>
  </si>
  <si>
    <t>천원</t>
    <phoneticPr fontId="20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</si>
  <si>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K</t>
    </r>
    <phoneticPr fontId="272" type="noConversion"/>
  </si>
  <si>
    <t>아파트b</t>
    <phoneticPr fontId="20" type="noConversion"/>
  </si>
  <si>
    <t>공급가액</t>
    <phoneticPr fontId="20" type="noConversion"/>
  </si>
  <si>
    <t>부가세</t>
    <phoneticPr fontId="20" type="noConversion"/>
  </si>
  <si>
    <t>총액</t>
    <phoneticPr fontId="20" type="noConversion"/>
  </si>
  <si>
    <t>신탁 전 투입(vat포함)</t>
    <phoneticPr fontId="20" type="noConversion"/>
  </si>
  <si>
    <t>신탁후</t>
    <phoneticPr fontId="20" type="noConversion"/>
  </si>
  <si>
    <t>Equity</t>
    <phoneticPr fontId="20" type="noConversion"/>
  </si>
  <si>
    <t>PF</t>
    <phoneticPr fontId="20" type="noConversion"/>
  </si>
  <si>
    <t>분양대금</t>
    <phoneticPr fontId="20" type="noConversion"/>
  </si>
  <si>
    <t>사업이익</t>
    <phoneticPr fontId="20" type="noConversion"/>
  </si>
  <si>
    <r>
      <t>브릿지상환
(1</t>
    </r>
    <r>
      <rPr>
        <sz val="11"/>
        <color theme="1"/>
        <rFont val="맑은 고딕"/>
        <family val="2"/>
        <charset val="129"/>
        <scheme val="minor"/>
      </rPr>
      <t>70</t>
    </r>
    <r>
      <rPr>
        <sz val="11"/>
        <color theme="1"/>
        <rFont val="맑은 고딕"/>
        <family val="2"/>
        <charset val="129"/>
        <scheme val="minor"/>
      </rPr>
      <t>억원)</t>
    </r>
    <phoneticPr fontId="272" type="noConversion"/>
  </si>
  <si>
    <t>추가에쿼티</t>
    <phoneticPr fontId="20" type="noConversion"/>
  </si>
  <si>
    <t>사업성</t>
    <phoneticPr fontId="20" type="noConversion"/>
  </si>
  <si>
    <t>사업성</t>
    <phoneticPr fontId="20" type="noConversion"/>
  </si>
  <si>
    <t>공사성</t>
    <phoneticPr fontId="20" type="noConversion"/>
  </si>
  <si>
    <t>공사성</t>
    <phoneticPr fontId="20" type="noConversion"/>
  </si>
  <si>
    <t>사업성</t>
    <phoneticPr fontId="20" type="noConversion"/>
  </si>
  <si>
    <t>1. 매출부가세</t>
    <phoneticPr fontId="20" type="noConversion"/>
  </si>
  <si>
    <t>2. 매입부가세</t>
    <phoneticPr fontId="20" type="noConversion"/>
  </si>
  <si>
    <t>납부부가세</t>
    <phoneticPr fontId="20" type="noConversion"/>
  </si>
  <si>
    <t>금융비</t>
    <phoneticPr fontId="20" type="noConversion"/>
  </si>
  <si>
    <t>납부부가세</t>
    <phoneticPr fontId="20" type="noConversion"/>
  </si>
  <si>
    <t>부가세</t>
    <phoneticPr fontId="20" type="noConversion"/>
  </si>
  <si>
    <t>납부부가세</t>
    <phoneticPr fontId="20" type="noConversion"/>
  </si>
  <si>
    <t>대</t>
    <phoneticPr fontId="20" type="noConversion"/>
  </si>
  <si>
    <t>동</t>
    <phoneticPr fontId="20" type="noConversion"/>
  </si>
  <si>
    <t>지상</t>
    <phoneticPr fontId="20" type="noConversion"/>
  </si>
  <si>
    <t>지하</t>
    <phoneticPr fontId="20" type="noConversion"/>
  </si>
  <si>
    <t>BEP</t>
  </si>
  <si>
    <t>■ 할인분양 적용</t>
    <phoneticPr fontId="20" type="noConversion"/>
  </si>
  <si>
    <t>공동주택 수입</t>
    <phoneticPr fontId="20" type="noConversion"/>
  </si>
  <si>
    <t>필요사업비</t>
    <phoneticPr fontId="20" type="noConversion"/>
  </si>
  <si>
    <t>부족사업비</t>
    <phoneticPr fontId="20" type="noConversion"/>
  </si>
  <si>
    <t>미분양액</t>
    <phoneticPr fontId="20" type="noConversion"/>
  </si>
  <si>
    <t>미분양할인율</t>
    <phoneticPr fontId="20" type="noConversion"/>
  </si>
  <si>
    <t>상가 수입</t>
    <phoneticPr fontId="20" type="noConversion"/>
  </si>
  <si>
    <t>84A</t>
    <phoneticPr fontId="20" type="noConversion"/>
  </si>
  <si>
    <t>84B</t>
    <phoneticPr fontId="20" type="noConversion"/>
  </si>
  <si>
    <t>84B</t>
    <phoneticPr fontId="20" type="noConversion"/>
  </si>
  <si>
    <t>사업성</t>
    <phoneticPr fontId="20" type="noConversion"/>
  </si>
  <si>
    <t>금융예비비</t>
    <phoneticPr fontId="20" type="noConversion"/>
  </si>
  <si>
    <t>한도대</t>
    <phoneticPr fontId="20" type="noConversion"/>
  </si>
  <si>
    <t>이자</t>
    <phoneticPr fontId="20" type="noConversion"/>
  </si>
  <si>
    <t>일시대</t>
    <phoneticPr fontId="20" type="noConversion"/>
  </si>
  <si>
    <t>HF수수료(0.5%)</t>
    <phoneticPr fontId="20" type="noConversion"/>
  </si>
  <si>
    <r>
      <t>+</t>
    </r>
    <r>
      <rPr>
        <sz val="11"/>
        <color theme="1"/>
        <rFont val="맑은 고딕"/>
        <family val="2"/>
        <charset val="129"/>
        <scheme val="minor"/>
      </rPr>
      <t>4M</t>
    </r>
    <phoneticPr fontId="272" type="noConversion"/>
  </si>
  <si>
    <r>
      <t>금융주관(1</t>
    </r>
    <r>
      <rPr>
        <sz val="11"/>
        <color theme="1"/>
        <rFont val="맑은 고딕"/>
        <family val="2"/>
        <charset val="129"/>
        <scheme val="minor"/>
      </rPr>
      <t>%)</t>
    </r>
    <phoneticPr fontId="272" type="noConversion"/>
  </si>
  <si>
    <t>Tr.A</t>
    <phoneticPr fontId="20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</si>
  <si>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r.A</t>
    </r>
    <phoneticPr fontId="20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</si>
  <si>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r.B</t>
    </r>
    <phoneticPr fontId="20" type="noConversion"/>
  </si>
  <si>
    <t>PF 취급수수료</t>
    <phoneticPr fontId="272" type="noConversion"/>
  </si>
  <si>
    <t>Tr.A (2.0%)</t>
    <phoneticPr fontId="20" type="noConversion"/>
  </si>
  <si>
    <t>Tr.B (17.9%)</t>
    <phoneticPr fontId="20" type="noConversion"/>
  </si>
  <si>
    <t>Tr.A (6.5%)</t>
    <phoneticPr fontId="20" type="noConversion"/>
  </si>
  <si>
    <t>Tr.B (8.0%)</t>
    <phoneticPr fontId="20" type="noConversion"/>
  </si>
  <si>
    <t>PF이자</t>
    <phoneticPr fontId="20" type="noConversion"/>
  </si>
  <si>
    <t>현금흐름표상 PF이자</t>
    <phoneticPr fontId="20" type="noConversion"/>
  </si>
  <si>
    <t>수입</t>
    <phoneticPr fontId="20" type="noConversion"/>
  </si>
  <si>
    <t>부가세 과세</t>
    <phoneticPr fontId="20" type="noConversion"/>
  </si>
  <si>
    <t>사업성</t>
    <phoneticPr fontId="20" type="noConversion"/>
  </si>
  <si>
    <t>공사성</t>
    <phoneticPr fontId="20" type="noConversion"/>
  </si>
  <si>
    <t>사업성</t>
    <phoneticPr fontId="20" type="noConversion"/>
  </si>
  <si>
    <t>과세비율</t>
    <phoneticPr fontId="20" type="noConversion"/>
  </si>
  <si>
    <t>부가세</t>
    <phoneticPr fontId="20" type="noConversion"/>
  </si>
  <si>
    <t>면세분</t>
    <phoneticPr fontId="20" type="noConversion"/>
  </si>
  <si>
    <t>과세분</t>
    <phoneticPr fontId="20" type="noConversion"/>
  </si>
  <si>
    <t>공사성</t>
    <phoneticPr fontId="20" type="noConversion"/>
  </si>
  <si>
    <t>수입</t>
    <phoneticPr fontId="20" type="noConversion"/>
  </si>
  <si>
    <t>일시</t>
    <phoneticPr fontId="20" type="noConversion"/>
  </si>
  <si>
    <t>일시</t>
    <phoneticPr fontId="20" type="noConversion"/>
  </si>
  <si>
    <t>계정대</t>
    <phoneticPr fontId="20" type="noConversion"/>
  </si>
  <si>
    <t>타입</t>
    <phoneticPr fontId="20" type="noConversion"/>
  </si>
  <si>
    <t>아파트</t>
    <phoneticPr fontId="20" type="noConversion"/>
  </si>
  <si>
    <t>평</t>
    <phoneticPr fontId="20" type="noConversion"/>
  </si>
  <si>
    <t>×</t>
    <phoneticPr fontId="20" type="noConversion"/>
  </si>
  <si>
    <t>세대</t>
    <phoneticPr fontId="20" type="noConversion"/>
  </si>
  <si>
    <t>세대당</t>
    <phoneticPr fontId="20" type="noConversion"/>
  </si>
  <si>
    <t>천원</t>
    <phoneticPr fontId="20" type="noConversion"/>
  </si>
  <si>
    <t>좌동</t>
    <phoneticPr fontId="20" type="noConversion"/>
  </si>
  <si>
    <t>타입</t>
    <phoneticPr fontId="20" type="noConversion"/>
  </si>
  <si>
    <t>1층</t>
    <phoneticPr fontId="20" type="noConversion"/>
  </si>
  <si>
    <t>근생</t>
    <phoneticPr fontId="20" type="noConversion"/>
  </si>
  <si>
    <t>매출합계</t>
    <phoneticPr fontId="20" type="noConversion"/>
  </si>
  <si>
    <t>과세</t>
    <phoneticPr fontId="20" type="noConversion"/>
  </si>
  <si>
    <t>발코니 확장비</t>
    <phoneticPr fontId="20" type="noConversion"/>
  </si>
  <si>
    <t>|</t>
    <phoneticPr fontId="20" type="noConversion"/>
  </si>
  <si>
    <t>M/H부지임차비</t>
    <phoneticPr fontId="20" type="noConversion"/>
  </si>
  <si>
    <t>M/H운영비</t>
    <phoneticPr fontId="20" type="noConversion"/>
  </si>
  <si>
    <t>분양보증 수수료</t>
    <phoneticPr fontId="20" type="noConversion"/>
  </si>
  <si>
    <t>분양수수료(공동주택)</t>
    <phoneticPr fontId="20" type="noConversion"/>
  </si>
  <si>
    <t>분양수수료(근생)</t>
    <phoneticPr fontId="20" type="noConversion"/>
  </si>
  <si>
    <t>세대</t>
    <phoneticPr fontId="20" type="noConversion"/>
  </si>
  <si>
    <t>입주관리비</t>
    <phoneticPr fontId="20" type="noConversion"/>
  </si>
  <si>
    <t>광고홍보비</t>
    <phoneticPr fontId="20" type="noConversion"/>
  </si>
  <si>
    <t>공사성</t>
    <phoneticPr fontId="20" type="noConversion"/>
  </si>
  <si>
    <t>:</t>
    <phoneticPr fontId="20" type="noConversion"/>
  </si>
  <si>
    <t>분양률</t>
    <phoneticPr fontId="20" type="noConversion"/>
  </si>
  <si>
    <t>월별</t>
    <phoneticPr fontId="20" type="noConversion"/>
  </si>
  <si>
    <t>누계</t>
    <phoneticPr fontId="20" type="noConversion"/>
  </si>
  <si>
    <t>계약금</t>
    <phoneticPr fontId="20" type="noConversion"/>
  </si>
  <si>
    <t>1차중도금</t>
    <phoneticPr fontId="20" type="noConversion"/>
  </si>
  <si>
    <t>1차중도금</t>
    <phoneticPr fontId="20" type="noConversion"/>
  </si>
  <si>
    <t>2차중도금</t>
  </si>
  <si>
    <t>3차중도금</t>
  </si>
  <si>
    <t>4차중도금</t>
  </si>
  <si>
    <t>5차중도금</t>
  </si>
  <si>
    <t>6차중도금</t>
  </si>
  <si>
    <t>잔  금</t>
    <phoneticPr fontId="20" type="noConversion"/>
  </si>
  <si>
    <t>소계</t>
    <phoneticPr fontId="20" type="noConversion"/>
  </si>
  <si>
    <t>계약금</t>
    <phoneticPr fontId="20" type="noConversion"/>
  </si>
  <si>
    <t>2차중도금</t>
    <phoneticPr fontId="20" type="noConversion"/>
  </si>
  <si>
    <t>3차중도금</t>
    <phoneticPr fontId="20" type="noConversion"/>
  </si>
  <si>
    <t>4차중도금</t>
    <phoneticPr fontId="20" type="noConversion"/>
  </si>
  <si>
    <t>잔  금</t>
    <phoneticPr fontId="20" type="noConversion"/>
  </si>
  <si>
    <r>
      <rPr>
        <b/>
        <sz val="11"/>
        <rFont val="맑은 고딕"/>
        <family val="3"/>
        <charset val="129"/>
      </rPr>
      <t>●</t>
    </r>
    <r>
      <rPr>
        <b/>
        <sz val="11"/>
        <rFont val="굴림"/>
        <family val="3"/>
        <charset val="129"/>
      </rPr>
      <t xml:space="preserve"> 자금계획 (Cash Flow) 안</t>
    </r>
    <phoneticPr fontId="20" type="noConversion"/>
  </si>
  <si>
    <t>착공/분양</t>
    <phoneticPr fontId="20" type="noConversion"/>
  </si>
  <si>
    <t>중도금 5차</t>
    <phoneticPr fontId="20" type="noConversion"/>
  </si>
  <si>
    <t>기집행</t>
    <phoneticPr fontId="20" type="noConversion"/>
  </si>
  <si>
    <t>토지비+초기금융비용 :</t>
    <phoneticPr fontId="20" type="noConversion"/>
  </si>
  <si>
    <t>중도금 6차</t>
    <phoneticPr fontId="20" type="noConversion"/>
  </si>
  <si>
    <t>중도금대출이자</t>
    <phoneticPr fontId="20" type="noConversion"/>
  </si>
  <si>
    <t>중도금
무이자</t>
    <phoneticPr fontId="20" type="noConversion"/>
  </si>
  <si>
    <t>무이자 중도금</t>
    <phoneticPr fontId="20" type="noConversion"/>
  </si>
  <si>
    <t>무이자 중도금 누계</t>
    <phoneticPr fontId="20" type="noConversion"/>
  </si>
  <si>
    <t>월별중도금이자</t>
    <phoneticPr fontId="20" type="noConversion"/>
  </si>
  <si>
    <t>중도금이자 누계</t>
    <phoneticPr fontId="20" type="noConversion"/>
  </si>
  <si>
    <t>중도금이자 금리</t>
    <phoneticPr fontId="20" type="noConversion"/>
  </si>
  <si>
    <t>신탁계정대 금리</t>
    <phoneticPr fontId="20" type="noConversion"/>
  </si>
  <si>
    <t>1F</t>
    <phoneticPr fontId="20" type="noConversion"/>
  </si>
  <si>
    <t>M/H건립비</t>
    <phoneticPr fontId="20" type="noConversion"/>
  </si>
  <si>
    <t>학교용지부담금</t>
    <phoneticPr fontId="20" type="noConversion"/>
  </si>
  <si>
    <t>운영계좌</t>
    <phoneticPr fontId="20" type="noConversion"/>
  </si>
  <si>
    <t>기준</t>
    <phoneticPr fontId="20" type="noConversion"/>
  </si>
  <si>
    <t>건축공사비(유보공사비)</t>
    <phoneticPr fontId="20" type="noConversion"/>
  </si>
  <si>
    <t>감리비</t>
    <phoneticPr fontId="20" type="noConversion"/>
  </si>
  <si>
    <t>준공전</t>
    <phoneticPr fontId="20" type="noConversion"/>
  </si>
  <si>
    <t>준공후</t>
    <phoneticPr fontId="20" type="noConversion"/>
  </si>
  <si>
    <t>대출금상환</t>
    <phoneticPr fontId="20" type="noConversion"/>
  </si>
  <si>
    <t>한도</t>
    <phoneticPr fontId="20" type="noConversion"/>
  </si>
  <si>
    <t>천원/세대</t>
    <phoneticPr fontId="20" type="noConversion"/>
  </si>
  <si>
    <t>84C</t>
    <phoneticPr fontId="20" type="noConversion"/>
  </si>
  <si>
    <t>117A</t>
    <phoneticPr fontId="20" type="noConversion"/>
  </si>
  <si>
    <t>PF부대비용</t>
    <phoneticPr fontId="20" type="noConversion"/>
  </si>
  <si>
    <t>발코니포함</t>
    <phoneticPr fontId="20" type="noConversion"/>
  </si>
  <si>
    <t>기타공사비(본공사)</t>
    <phoneticPr fontId="20" type="noConversion"/>
  </si>
  <si>
    <t>부가세미포함</t>
    <phoneticPr fontId="20" type="noConversion"/>
  </si>
  <si>
    <t>B1</t>
    <phoneticPr fontId="20" type="noConversion"/>
  </si>
  <si>
    <t>경기도 화성시 장짐리 공동주택 신축사업 (Normal)</t>
    <phoneticPr fontId="20" type="noConversion"/>
  </si>
  <si>
    <t>경기도 화성시 장짐리 공동주택 신축사업</t>
    <phoneticPr fontId="20" type="noConversion"/>
  </si>
  <si>
    <t>경기도 화성시 장짐리 228-1 일원</t>
    <phoneticPr fontId="20" type="noConversion"/>
  </si>
  <si>
    <t>59A</t>
    <phoneticPr fontId="20" type="noConversion"/>
  </si>
  <si>
    <t>지하1층</t>
    <phoneticPr fontId="20" type="noConversion"/>
  </si>
  <si>
    <t>조건부이행공사비</t>
    <phoneticPr fontId="20" type="noConversion"/>
  </si>
  <si>
    <t>예술장식품비</t>
    <phoneticPr fontId="20" type="noConversion"/>
  </si>
  <si>
    <t>상하수도분담금</t>
    <phoneticPr fontId="20" type="noConversion"/>
  </si>
  <si>
    <t>토지분재산세</t>
    <phoneticPr fontId="20" type="noConversion"/>
  </si>
  <si>
    <t>도시계획세</t>
    <phoneticPr fontId="20" type="noConversion"/>
  </si>
  <si>
    <t>지방교육세</t>
    <phoneticPr fontId="20" type="noConversion"/>
  </si>
  <si>
    <t>금융자문수수료</t>
    <phoneticPr fontId="20" type="noConversion"/>
  </si>
  <si>
    <t>D-1</t>
    <phoneticPr fontId="20" type="noConversion"/>
  </si>
  <si>
    <t>D-2</t>
    <phoneticPr fontId="20" type="noConversion"/>
  </si>
  <si>
    <t>D-3</t>
    <phoneticPr fontId="20" type="noConversion"/>
  </si>
  <si>
    <t>준공/입주</t>
    <phoneticPr fontId="20" type="noConversion"/>
  </si>
  <si>
    <t>준비</t>
    <phoneticPr fontId="20" type="noConversion"/>
  </si>
  <si>
    <t>시공사유보(10%)</t>
    <phoneticPr fontId="20" type="noConversion"/>
  </si>
  <si>
    <t>[총 분양수입금]</t>
    <phoneticPr fontId="20" type="noConversion"/>
  </si>
  <si>
    <t>(단위 : 천원)</t>
    <phoneticPr fontId="20" type="noConversion"/>
  </si>
  <si>
    <t>[잔금 비율]</t>
    <phoneticPr fontId="20" type="noConversion"/>
  </si>
  <si>
    <t>구 분</t>
    <phoneticPr fontId="20" type="noConversion"/>
  </si>
  <si>
    <t>공동주택</t>
    <phoneticPr fontId="20" type="noConversion"/>
  </si>
  <si>
    <t>발코니확장비</t>
    <phoneticPr fontId="20" type="noConversion"/>
  </si>
  <si>
    <t>근린생활시설</t>
    <phoneticPr fontId="20" type="noConversion"/>
  </si>
  <si>
    <t>매출 합계</t>
    <phoneticPr fontId="20" type="noConversion"/>
  </si>
  <si>
    <t>금액</t>
    <phoneticPr fontId="20" type="noConversion"/>
  </si>
  <si>
    <t>누계액</t>
    <phoneticPr fontId="20" type="noConversion"/>
  </si>
  <si>
    <t>[분양수입금 잔금]</t>
    <phoneticPr fontId="20" type="noConversion"/>
  </si>
  <si>
    <t>잔금 합계</t>
    <phoneticPr fontId="20" type="noConversion"/>
  </si>
  <si>
    <t>[공동주택, 발코니확장비, 근린생활시설 분양수입금(잔금) 기준]</t>
    <phoneticPr fontId="20" type="noConversion"/>
  </si>
  <si>
    <t>잔금납입률</t>
    <phoneticPr fontId="20" type="noConversion"/>
  </si>
  <si>
    <t>대출금상환</t>
    <phoneticPr fontId="20" type="noConversion"/>
  </si>
  <si>
    <t>대출금잔액</t>
    <phoneticPr fontId="20" type="noConversion"/>
  </si>
  <si>
    <t>LTV</t>
    <phoneticPr fontId="20" type="noConversion"/>
  </si>
  <si>
    <t>비 고</t>
    <phoneticPr fontId="20" type="noConversion"/>
  </si>
  <si>
    <t xml:space="preserve"> 경기도 화성시 장짐리 공동주택 신축사업 Exit 분양률</t>
    <phoneticPr fontId="20" type="noConversion"/>
  </si>
  <si>
    <t>[공동주택, 근생 분양수입금(잔금) 기준]</t>
    <phoneticPr fontId="20" type="noConversion"/>
  </si>
  <si>
    <t>채권매입비용</t>
    <phoneticPr fontId="20" type="noConversion"/>
  </si>
  <si>
    <t>취등록세</t>
    <phoneticPr fontId="20" type="noConversion"/>
  </si>
  <si>
    <t>미매입부지(공동주택)</t>
    <phoneticPr fontId="20" type="noConversion"/>
  </si>
  <si>
    <t>토지비(공동주택)</t>
    <phoneticPr fontId="20" type="noConversion"/>
  </si>
  <si>
    <t>토지비(기반시설부지)</t>
    <phoneticPr fontId="20" type="noConversion"/>
  </si>
  <si>
    <t>미매입부지(기반시설부지)</t>
    <phoneticPr fontId="20" type="noConversion"/>
  </si>
  <si>
    <t>명도 및 보상비</t>
    <phoneticPr fontId="20" type="noConversion"/>
  </si>
  <si>
    <t>총잔액</t>
    <phoneticPr fontId="20" type="noConversion"/>
  </si>
  <si>
    <t>토지비(211,222-2번지)</t>
    <phoneticPr fontId="20" type="noConversion"/>
  </si>
  <si>
    <t>신탁계약/PF</t>
    <phoneticPr fontId="20" type="noConversion"/>
  </si>
  <si>
    <t>분양불사업비</t>
    <phoneticPr fontId="20" type="noConversion"/>
  </si>
  <si>
    <t>정산사업비</t>
    <phoneticPr fontId="20" type="noConversion"/>
  </si>
  <si>
    <t>.</t>
    <phoneticPr fontId="20" type="noConversion"/>
  </si>
  <si>
    <t>분양촉진비</t>
    <phoneticPr fontId="20" type="noConversion"/>
  </si>
  <si>
    <t>인허가 비용</t>
    <phoneticPr fontId="20" type="noConversion"/>
  </si>
  <si>
    <t>농지보전부담금, 개발행위 이행보증금, 산지복구비 등</t>
    <phoneticPr fontId="20" type="noConversion"/>
  </si>
  <si>
    <t>지구단위 용역비</t>
    <phoneticPr fontId="20" type="noConversion"/>
  </si>
  <si>
    <t>미매입 토지 용역비</t>
    <phoneticPr fontId="20" type="noConversion"/>
  </si>
  <si>
    <t>군인공제회(매몰비용)</t>
    <phoneticPr fontId="20" type="noConversion"/>
  </si>
  <si>
    <t>주식근질권해제비용</t>
    <phoneticPr fontId="20" type="noConversion"/>
  </si>
  <si>
    <t>D-4</t>
    <phoneticPr fontId="20" type="noConversion"/>
  </si>
  <si>
    <t>D-5</t>
    <phoneticPr fontId="20" type="noConversion"/>
  </si>
  <si>
    <t>D-6</t>
    <phoneticPr fontId="20" type="noConversion"/>
  </si>
  <si>
    <t>D-7</t>
    <phoneticPr fontId="20" type="noConversion"/>
  </si>
  <si>
    <t>D-8</t>
    <phoneticPr fontId="20" type="noConversion"/>
  </si>
  <si>
    <t>D-9</t>
    <phoneticPr fontId="20" type="noConversion"/>
  </si>
  <si>
    <t>D-10</t>
    <phoneticPr fontId="20" type="noConversion"/>
  </si>
  <si>
    <t>중도금주선수수료</t>
    <phoneticPr fontId="20" type="noConversion"/>
  </si>
  <si>
    <t>계약금</t>
    <phoneticPr fontId="20" type="noConversion"/>
  </si>
  <si>
    <t>잔금</t>
    <phoneticPr fontId="20" type="noConversion"/>
  </si>
  <si>
    <t>소계</t>
    <phoneticPr fontId="20" type="noConversion"/>
  </si>
  <si>
    <t>PF대출기간</t>
    <phoneticPr fontId="20" type="noConversion"/>
  </si>
  <si>
    <t>개월</t>
  </si>
  <si>
    <t>개월</t>
    <phoneticPr fontId="20" type="noConversion"/>
  </si>
  <si>
    <t>IRR</t>
  </si>
  <si>
    <t>*단위 : 억원</t>
  </si>
  <si>
    <t>준공시점 상환</t>
  </si>
  <si>
    <t>연</t>
  </si>
  <si>
    <t>이자</t>
  </si>
  <si>
    <t>대출금액(원금)</t>
  </si>
  <si>
    <t>PF대출기간</t>
    <phoneticPr fontId="20" type="noConversion"/>
  </si>
  <si>
    <t>총 이자금액(천원)</t>
    <phoneticPr fontId="20" type="noConversion"/>
  </si>
  <si>
    <t>IRR</t>
    <phoneticPr fontId="20" type="noConversion"/>
  </si>
  <si>
    <t>대출기간 50개월 : 10M+37M+3M</t>
    <phoneticPr fontId="20" type="noConversion"/>
  </si>
  <si>
    <t>신탁최대차입금</t>
    <phoneticPr fontId="20" type="noConversion"/>
  </si>
  <si>
    <t>서한 시공참여의향서 공사비 4,800천원(파일공사 제외,VAT제외)</t>
    <phoneticPr fontId="20" type="noConversion"/>
  </si>
  <si>
    <t>VAT포함 수익률</t>
    <phoneticPr fontId="20" type="noConversion"/>
  </si>
  <si>
    <t>일식</t>
    <phoneticPr fontId="20" type="noConversion"/>
  </si>
  <si>
    <t>IRR 11%</t>
    <phoneticPr fontId="20" type="noConversion"/>
  </si>
  <si>
    <t>D</t>
    <phoneticPr fontId="20" type="noConversion"/>
  </si>
  <si>
    <t>D+1</t>
    <phoneticPr fontId="20" type="noConversion"/>
  </si>
  <si>
    <t>D+2</t>
    <phoneticPr fontId="20" type="noConversion"/>
  </si>
  <si>
    <t>D+3</t>
  </si>
  <si>
    <t>D+4</t>
  </si>
  <si>
    <t>D+5</t>
  </si>
  <si>
    <t>D+6</t>
  </si>
  <si>
    <t>D+7</t>
  </si>
  <si>
    <t>D+8</t>
  </si>
  <si>
    <t>D+9</t>
  </si>
  <si>
    <t>D+10</t>
  </si>
  <si>
    <t>D+11</t>
  </si>
  <si>
    <t>D+12</t>
  </si>
  <si>
    <t>D+13</t>
  </si>
  <si>
    <t>D+14</t>
  </si>
  <si>
    <t>D+15</t>
  </si>
  <si>
    <t>D+16</t>
  </si>
  <si>
    <t>D+17</t>
  </si>
  <si>
    <t>D+18</t>
  </si>
  <si>
    <t>D+19</t>
  </si>
  <si>
    <t>D+20</t>
  </si>
  <si>
    <t>D+21</t>
  </si>
  <si>
    <t>D+22</t>
  </si>
  <si>
    <t>D+23</t>
  </si>
  <si>
    <t>D+24</t>
  </si>
  <si>
    <t>D+25</t>
  </si>
  <si>
    <t>D+26</t>
  </si>
  <si>
    <t>D+27</t>
  </si>
  <si>
    <t>D+28</t>
  </si>
  <si>
    <t>D+29</t>
  </si>
  <si>
    <t>D+30</t>
  </si>
  <si>
    <t>D+31</t>
  </si>
  <si>
    <t>D+32</t>
  </si>
  <si>
    <t>D+33</t>
  </si>
  <si>
    <t>D+34</t>
  </si>
  <si>
    <t>D+35</t>
  </si>
  <si>
    <t>D+36</t>
  </si>
  <si>
    <t>D+37</t>
  </si>
  <si>
    <t>▣ 공정률</t>
    <phoneticPr fontId="272" type="noConversion"/>
  </si>
  <si>
    <t>구분</t>
    <phoneticPr fontId="272" type="noConversion"/>
  </si>
  <si>
    <t>공사진행스케줄</t>
    <phoneticPr fontId="272" type="noConversion"/>
  </si>
  <si>
    <t>주상복합</t>
    <phoneticPr fontId="272" type="noConversion"/>
  </si>
  <si>
    <t>공정률</t>
    <phoneticPr fontId="272" type="noConversion"/>
  </si>
  <si>
    <t>누계공정률</t>
    <phoneticPr fontId="272" type="noConversion"/>
  </si>
  <si>
    <t>※ 공정률 Table</t>
    <phoneticPr fontId="272" type="noConversion"/>
  </si>
  <si>
    <t>개월</t>
    <phoneticPr fontId="20" type="noConversion"/>
  </si>
  <si>
    <t>중도금1차</t>
    <phoneticPr fontId="20" type="noConversion"/>
  </si>
  <si>
    <t>중도금2차</t>
    <phoneticPr fontId="20" type="noConversion"/>
  </si>
  <si>
    <t>중도금3차</t>
    <phoneticPr fontId="20" type="noConversion"/>
  </si>
  <si>
    <t>중도금4차</t>
    <phoneticPr fontId="20" type="noConversion"/>
  </si>
  <si>
    <t>[공동주택, 발코니확장비(잔금) 기준]</t>
    <phoneticPr fontId="20" type="noConversion"/>
  </si>
  <si>
    <t>정산</t>
    <phoneticPr fontId="20" type="noConversion"/>
  </si>
  <si>
    <t>엠에스홀딩스 (7,470,960 토지매입비)</t>
    <phoneticPr fontId="20" type="noConversion"/>
  </si>
  <si>
    <t>미매입부지(공동주택+기반시설부지+엠에스 토지)</t>
    <phoneticPr fontId="20" type="noConversion"/>
  </si>
</sst>
</file>

<file path=xl/styles.xml><?xml version="1.0" encoding="utf-8"?>
<styleSheet xmlns="http://schemas.openxmlformats.org/spreadsheetml/2006/main">
  <numFmts count="13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-* #,##0.00_-;\-* #,##0.00_-;_-* &quot;-&quot;_-;_-@_-"/>
    <numFmt numFmtId="177" formatCode="0.0%"/>
    <numFmt numFmtId="178" formatCode="_-* #,##0.0_-;\-* #,##0.0_-;_-* &quot;-&quot;_-;_-@_-"/>
    <numFmt numFmtId="179" formatCode="_-* #,##0.0000_-;\-* #,##0.0000_-;_-* &quot;-&quot;_-;_-@_-"/>
    <numFmt numFmtId="180" formatCode="#,##0_ "/>
    <numFmt numFmtId="181" formatCode="#,##0_);[Red]\(#,##0\)"/>
    <numFmt numFmtId="182" formatCode="#,##0.00_ "/>
    <numFmt numFmtId="183" formatCode="#,##0.00_);[Red]\(#,##0.00\)"/>
    <numFmt numFmtId="184" formatCode="000\-000"/>
    <numFmt numFmtId="185" formatCode="yyyy&quot;년&quot;\ m&quot;월&quot;;@"/>
    <numFmt numFmtId="186" formatCode="#,##0_ &quot;개월&quot;"/>
    <numFmt numFmtId="187" formatCode="#,##0_ ;[Red]\-#,##0\ "/>
    <numFmt numFmtId="188" formatCode="_-* #,##0_-;\-* #,##0_-;_-* &quot;-&quot;??_-;_-@_-"/>
    <numFmt numFmtId="189" formatCode="0_ "/>
    <numFmt numFmtId="190" formatCode="_-* #,##0.000_-;\-* #,##0.000_-;_-* &quot;-&quot;_-;_-@_-"/>
    <numFmt numFmtId="191" formatCode="&quot;생숙&quot;\V\A\T\ 0.00%"/>
    <numFmt numFmtId="192" formatCode="#,##0\ ;\-#,##0"/>
    <numFmt numFmtId="193" formatCode="00\-00"/>
    <numFmt numFmtId="194" formatCode="&quot;₩&quot;#,##0\ ;&quot;₩&quot;\-#,##0"/>
    <numFmt numFmtId="195" formatCode="&quot;₩&quot;\ \ \ #,##0;&quot;₩&quot;\-#,##0"/>
    <numFmt numFmtId="196" formatCode="&quot;₩&quot;\!\(0\!.0%&quot;₩&quot;\!\)"/>
    <numFmt numFmtId="197" formatCode="&quot;₩&quot;#,##0\ ;[Red]&quot;₩&quot;\(#,##0\)"/>
    <numFmt numFmtId="198" formatCode="&quot;₩&quot;\ \ \ \ #,##0\ ;&quot;₩&quot;\-#,##0"/>
    <numFmt numFmtId="199" formatCode="_ &quot;₩&quot;* #,##0_ ;_ &quot;₩&quot;* &quot;₩&quot;\!\-#,##0_ ;_ &quot;₩&quot;* &quot;-&quot;_ ;_ @_ "/>
    <numFmt numFmtId="200" formatCode="_ &quot;₩&quot;* #,##0.00_ ;_ &quot;₩&quot;* &quot;₩&quot;\!\-#,##0.00_ ;_ &quot;₩&quot;* &quot;-&quot;??_ ;_ @_ "/>
    <numFmt numFmtId="201" formatCode="_ * #,##0_ ;_ * &quot;₩&quot;\!\-#,##0_ ;_ * &quot;-&quot;_ ;_ @_ "/>
    <numFmt numFmtId="202" formatCode="_ * #,##0.00_ ;_ * &quot;₩&quot;\!\-#,##0.00_ ;_ * &quot;-&quot;??_ ;_ @_ "/>
    <numFmt numFmtId="203" formatCode="d/m/yy\ h:mm"/>
    <numFmt numFmtId="204" formatCode="0.0000&quot;  &quot;"/>
    <numFmt numFmtId="205" formatCode="_-&quot;$&quot;\ * #,##0_-;\-&quot;$&quot;\ * #,##0_-;_-&quot;$&quot;\ * &quot;-&quot;_-;_-@_-"/>
    <numFmt numFmtId="206" formatCode="_-&quot;$&quot;\ * #,##0.00_-;\-&quot;$&quot;\ * #,##0.00_-;_-&quot;$&quot;\ * &quot;-&quot;??_-;_-@_-"/>
    <numFmt numFmtId="207" formatCode="_ * #,##0_ ;_ * \-#,##0_ ;_ * &quot;-&quot;_ ;_ @_ "/>
    <numFmt numFmtId="208" formatCode="_ * #,##0.00_ ;_ * \-#,##0.00_ ;_ * &quot;-&quot;??_ ;_ @_ "/>
    <numFmt numFmtId="209" formatCode="#,##0\ &quot;F&quot;;[Red]\-#,##0\ &quot;F&quot;"/>
    <numFmt numFmtId="210" formatCode="#,##0.00&quot;?_);\(#,##0.00&quot;&quot;?&quot;\)"/>
    <numFmt numFmtId="211" formatCode="#,##0\ &quot;F&quot;;\-#,##0\ &quot;F&quot;"/>
    <numFmt numFmtId="212" formatCode="_-[$€-2]* #,##0.00_-;\-[$€-2]* #,##0.00_-;_-[$€-2]* &quot;-&quot;??_-"/>
    <numFmt numFmtId="213" formatCode="#,##0_);\(#,##0\);&quot; - &quot;_);@_)"/>
    <numFmt numFmtId="214" formatCode="#,##0;\(#,##0\);&quot;-&quot;"/>
    <numFmt numFmtId="215" formatCode="#,##0;\(#,##0\)"/>
    <numFmt numFmtId="216" formatCode="_(* #,##0_);_(* \(#,##0\);_(* &quot;-&quot;_);_(@_)"/>
    <numFmt numFmtId="217" formatCode="&quot;113-&quot;@"/>
    <numFmt numFmtId="218" formatCode="_ &quot;₩&quot;* #,##0.00_ ;_ &quot;₩&quot;* \-#,##0.00_ ;_ &quot;₩&quot;* &quot;-&quot;??_ ;_ @_ "/>
    <numFmt numFmtId="219" formatCode="&quot;SFr.&quot;#,##0.00;[Red]&quot;SFr.&quot;\-#,##0.00"/>
    <numFmt numFmtId="220" formatCode="&quot;₩&quot;#,##0;&quot;₩&quot;&quot;₩&quot;&quot;₩&quot;&quot;₩&quot;&quot;₩&quot;\-#,##0"/>
    <numFmt numFmtId="221" formatCode="_-* #,##0.00_-;&quot;₩&quot;&quot;₩&quot;&quot;₩&quot;&quot;₩&quot;\-* #,##0.00_-;_-* &quot;-&quot;??_-;_-@_-"/>
    <numFmt numFmtId="222" formatCode="\$#.00"/>
    <numFmt numFmtId="223" formatCode="#,##0.00&quot;坪&quot;_)"/>
    <numFmt numFmtId="224" formatCode="_ * #,##0.00_ ;_ * &quot;₩&quot;&quot;₩&quot;&quot;₩&quot;&quot;₩&quot;&quot;₩&quot;&quot;₩&quot;\-#,##0.00_ ;_ * &quot;-&quot;??_ ;_ @_ "/>
    <numFmt numFmtId="225" formatCode="_-* #,##0.000000_-;\-* #,##0.000000_-;_-* &quot;-&quot;??_-;_-@_-"/>
    <numFmt numFmtId="226" formatCode="dd\-mmm\-yy"/>
    <numFmt numFmtId="227" formatCode="&quot;₩&quot;#,##0.00;&quot;₩&quot;&quot;₩&quot;&quot;₩&quot;&quot;₩&quot;&quot;₩&quot;\-#,##0.00"/>
    <numFmt numFmtId="228" formatCode="&quot;₩&quot;&quot;₩&quot;&quot;₩&quot;&quot;₩&quot;&quot;₩&quot;&quot;₩&quot;\$#,##0_);[Red]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229" formatCode="#.00"/>
    <numFmt numFmtId="230" formatCode="#."/>
    <numFmt numFmtId="231" formatCode="&quot;$&quot;#,##0"/>
    <numFmt numFmtId="232" formatCode="&quot;PG1130&quot;@&quot;01&quot;"/>
    <numFmt numFmtId="233" formatCode="_ * #,##0.0000000_ ;_ * \-#,##0.0000000_ ;_ * &quot;-&quot;_ ;_ @_ "/>
    <numFmt numFmtId="234" formatCode="mmm/yy/dd"/>
    <numFmt numFmtId="235" formatCode="%#.00"/>
    <numFmt numFmtId="236" formatCode="_-* #,##0.0000_-;\-* #,##0.0000_-;_-* &quot;-&quot;??_-;_-@_-"/>
    <numFmt numFmtId="237" formatCode="_(* #,##0.0,_);_(* \(#,##0.0,\);_(* &quot;-&quot;_);_(@_)"/>
    <numFmt numFmtId="238" formatCode="&quot;₩&quot;#,##0;[Red]&quot;₩&quot;\!\-&quot;₩&quot;#,##0"/>
    <numFmt numFmtId="239" formatCode="&quot;₩&quot;#,##0;[Red]&quot;₩&quot;&quot;₩&quot;&quot;₩&quot;\-#,##0"/>
    <numFmt numFmtId="240" formatCode="&quot;₩&quot;#,##0;&quot;₩&quot;\-#,##0"/>
    <numFmt numFmtId="241" formatCode="_-* #,##0.0_-;\-* #,##0.0_-;_-* &quot;-&quot;??_-;_-@_-"/>
    <numFmt numFmtId="242" formatCode="_(* #,##0_);_(* \(#,##0\);_(* &quot;-&quot;??_);_(@_)"/>
    <numFmt numFmtId="243" formatCode="_ &quot;₩&quot;* #,##0_ ;_ &quot;₩&quot;* \-#,##0_ ;_ &quot;₩&quot;* &quot;-&quot;_ ;_ @_ "/>
    <numFmt numFmtId="244" formatCode="0.0"/>
    <numFmt numFmtId="245" formatCode="&quot;$&quot;#,##0.00_);[Red]\(&quot;$&quot;#,##0.00\)"/>
    <numFmt numFmtId="246" formatCode="_(&quot;$&quot;* #,##0_);_(&quot;$&quot;* \(#,##0\);_(&quot;$&quot;* &quot;-&quot;_);_(@_)"/>
    <numFmt numFmtId="247" formatCode="&quot;₩&quot;#,##0.00;[Red]&quot;₩&quot;\-#,##0.00"/>
    <numFmt numFmtId="248" formatCode="_(&quot;RM&quot;* #,##0_);_(&quot;RM&quot;* \(#,##0\);_(&quot;RM&quot;* &quot;-&quot;_);_(@_)"/>
    <numFmt numFmtId="249" formatCode="_(&quot;$&quot;* #,##0.00_);_(&quot;$&quot;* \(#,##0.00\);_(&quot;$&quot;* &quot;-&quot;??_);_(@_)"/>
    <numFmt numFmtId="250" formatCode="&quot;₩&quot;#,##0;[Red]&quot;₩&quot;\-#,##0"/>
    <numFmt numFmtId="251" formatCode="_(&quot;RM&quot;* #,##0.00_);_(&quot;RM&quot;* \(#,##0.00\);_(&quot;RM&quot;* &quot;-&quot;??_);_(@_)"/>
    <numFmt numFmtId="252" formatCode="0.0000"/>
    <numFmt numFmtId="253" formatCode="_(* #,##0.00_);_(* \(#,##0.00\);_(* &quot;-&quot;??_);_(@_)"/>
    <numFmt numFmtId="254" formatCode="#,##0_);[Red]\(#,##0\);&quot; - &quot;"/>
    <numFmt numFmtId="255" formatCode="0.0%;[Red]\(0.0%\);&quot; - &quot;"/>
    <numFmt numFmtId="256" formatCode="0.0%\ &quot;pts&quot;;[Red]\(0.0%\)\ &quot;pts&quot;;&quot; - &quot;"/>
    <numFmt numFmtId="257" formatCode="#,##0;[Red]#,##0"/>
    <numFmt numFmtId="258" formatCode="&quot;₩&quot;#,##0;&quot;₩&quot;&quot;₩&quot;&quot;₩&quot;&quot;₩&quot;&quot;₩&quot;&quot;₩&quot;\!\-&quot;₩&quot;#,##0"/>
    <numFmt numFmtId="259" formatCode="0.000"/>
    <numFmt numFmtId="260" formatCode="&quot;₩&quot;#,##0;&quot;₩&quot;&quot;₩&quot;\!\-&quot;₩&quot;#,##0"/>
    <numFmt numFmtId="261" formatCode="&quot;₩&quot;#,##0;[Red]&quot;₩&quot;&quot;₩&quot;\!\-&quot;₩&quot;#,##0"/>
    <numFmt numFmtId="262" formatCode="#,##0.000;&quot;₩&quot;\!\-#,##0.000"/>
    <numFmt numFmtId="263" formatCode="&quot;₩&quot;#,##0.00;&quot;₩&quot;&quot;₩&quot;\!\-&quot;₩&quot;#,##0.00"/>
    <numFmt numFmtId="264" formatCode="_-&quot;₩&quot;* #,##0.00_-;&quot;₩&quot;\-&quot;₩&quot;* #,##0.00_-;_-&quot;₩&quot;* &quot;-&quot;??_-;_-@_-"/>
    <numFmt numFmtId="265" formatCode="#,##0.0_ "/>
    <numFmt numFmtId="266" formatCode="&quot;«&quot;#,##0;_(* #,##0;_(* &quot;-&quot;??_);_(@_)"/>
    <numFmt numFmtId="267" formatCode="&quot;SFr.&quot;#,##0.00;&quot;SFr.&quot;\-#,##0.00"/>
    <numFmt numFmtId="268" formatCode="&quot;$&quot;#,##0;[Red]\-&quot;$&quot;#,##0"/>
    <numFmt numFmtId="269" formatCode="General_)"/>
    <numFmt numFmtId="270" formatCode="#,##0;[Red]\(#,##0\);"/>
    <numFmt numFmtId="271" formatCode="&quot;₩&quot;#,##0.00;[Red]&quot;₩&quot;&quot;₩&quot;\!\-&quot;₩&quot;#,##0.00"/>
    <numFmt numFmtId="272" formatCode="_(#,##0_);_(\-#,##0_)"/>
    <numFmt numFmtId="273" formatCode="_(#,##0.00_);_(\-#,##0.00_)"/>
    <numFmt numFmtId="274" formatCode="_(#,##0.0_);_(\-#,##0.0_)"/>
    <numFmt numFmtId="275" formatCode="mmm\ yy"/>
    <numFmt numFmtId="276" formatCode="_(* #,##0_);_(* \(#,##0\)"/>
    <numFmt numFmtId="277" formatCode="00000"/>
    <numFmt numFmtId="278" formatCode="_-&quot;₩&quot;* #,##0_-;&quot;₩&quot;&quot;₩&quot;\!\-&quot;₩&quot;* #,##0_-;_-&quot;₩&quot;* &quot;-&quot;_-;_-@_-"/>
    <numFmt numFmtId="279" formatCode="_ * #,##0.000_ ;_ * \-#,##0.000_ ;_ * &quot;-&quot;_ ;_ @_ "/>
    <numFmt numFmtId="280" formatCode="&quot;$&quot;#,##0_);\(&quot;$&quot;#,##0\)"/>
    <numFmt numFmtId="281" formatCode="#,##0,,_);\(#,##0,,\);\ &quot;-&quot;_);@_)"/>
    <numFmt numFmtId="282" formatCode="#,##0_);[Red]\(#,##0\);\-_)"/>
    <numFmt numFmtId="283" formatCode="#,##0;\(#,##0\);\-"/>
    <numFmt numFmtId="284" formatCode="#,##0_);\(#,##0\);\-_);@_)"/>
    <numFmt numFmtId="285" formatCode="&quot;₩&quot;#,##0.00;&quot;₩&quot;\-#,##0.00"/>
    <numFmt numFmtId="286" formatCode="#,##0_);[Red]\(#,##0\);&quot;-&quot;_);_-@_-"/>
    <numFmt numFmtId="287" formatCode="\(#,##0\);[Red]\(#,##0\);&quot;-&quot;_);_-@_-"/>
    <numFmt numFmtId="288" formatCode="_-&quot;₩&quot;* #,##0_-;\!\-&quot;₩&quot;* #,##0_-;_-&quot;₩&quot;* &quot;-&quot;_-;_-@_-"/>
    <numFmt numFmtId="289" formatCode="_-* #,##0_-;\!\-* #,##0_-;_-* &quot;-&quot;_-;_-@_-"/>
    <numFmt numFmtId="290" formatCode="0.000%"/>
    <numFmt numFmtId="291" formatCode="_-* #,##0.00000_-;\-* #,##0.00000_-;_-* &quot;-&quot;_-;_-@_-"/>
    <numFmt numFmtId="292" formatCode="0.0000%"/>
    <numFmt numFmtId="293" formatCode="&quot;과세비율&quot;\ #.#%"/>
    <numFmt numFmtId="294" formatCode="&quot;VAT포함&quot;\ \ #,###"/>
    <numFmt numFmtId="295" formatCode="#\ &quot;개월&quot;"/>
    <numFmt numFmtId="296" formatCode="#,##0.0000_ "/>
    <numFmt numFmtId="297" formatCode="#,##0.00_ &quot;평&quot;"/>
    <numFmt numFmtId="298" formatCode="&quot;이자율(&quot;#.0%&quot;)&quot;"/>
    <numFmt numFmtId="299" formatCode="&quot;건물분&quot;\ 00%"/>
    <numFmt numFmtId="300" formatCode="0_);[Red]\(0\)"/>
    <numFmt numFmtId="301" formatCode="0.00000000000000000%"/>
    <numFmt numFmtId="302" formatCode="0.0000000_ "/>
    <numFmt numFmtId="303" formatCode="0.0000_ "/>
    <numFmt numFmtId="304" formatCode="yyyy/mm"/>
    <numFmt numFmtId="305" formatCode="#,###&quot;개월&quot;"/>
  </numFmts>
  <fonts count="29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굴림"/>
      <family val="3"/>
      <charset val="129"/>
    </font>
    <font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b/>
      <sz val="9"/>
      <name val="굴림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theme="0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20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FF0000"/>
      <name val="굴림"/>
      <family val="3"/>
      <charset val="129"/>
    </font>
    <font>
      <sz val="8"/>
      <name val="굴림"/>
      <family val="3"/>
      <charset val="129"/>
    </font>
    <font>
      <sz val="9"/>
      <color theme="2" tint="-9.9978637043366805E-2"/>
      <name val="굴림"/>
      <family val="3"/>
      <charset val="129"/>
    </font>
    <font>
      <sz val="9"/>
      <color rgb="FF7030A0"/>
      <name val="굴림"/>
      <family val="3"/>
      <charset val="129"/>
    </font>
    <font>
      <b/>
      <sz val="9"/>
      <color rgb="FF7030A0"/>
      <name val="굴림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2"/>
      <color rgb="FF000000"/>
      <name val="바탕체"/>
      <family val="1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"/>
      <color rgb="FF000000"/>
      <name val="Courier"/>
      <family val="3"/>
    </font>
    <font>
      <sz val="11"/>
      <color rgb="FF800080"/>
      <name val="맑은 고딕"/>
      <family val="3"/>
      <charset val="129"/>
    </font>
    <font>
      <sz val="1"/>
      <color rgb="FF000000"/>
      <name val="Courier"/>
      <family val="3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000000"/>
      <name val="굴림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000000"/>
      <name val="명조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2"/>
      <color rgb="FF000000"/>
      <name val="돋움"/>
      <family val="3"/>
      <charset val="129"/>
    </font>
    <font>
      <sz val="12"/>
      <color rgb="FF000000"/>
      <name val="돋움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0"/>
      <color rgb="FF000000"/>
      <name val="Helv"/>
    </font>
    <font>
      <u/>
      <sz val="9"/>
      <color rgb="FF0000FF"/>
      <name val="µ¸¿ò"/>
      <family val="3"/>
      <charset val="129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7"/>
      <color rgb="FF000000"/>
      <name val="Small Fonts"/>
      <family val="3"/>
      <charset val="129"/>
    </font>
    <font>
      <sz val="12"/>
      <color rgb="FF000000"/>
      <name val="Helv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0000FF"/>
      <name val="굴림체"/>
      <family val="3"/>
      <charset val="129"/>
    </font>
    <font>
      <sz val="10"/>
      <color rgb="FF000000"/>
      <name val="MS Serif"/>
    </font>
    <font>
      <sz val="10"/>
      <color rgb="FF800000"/>
      <name val="MS Serif"/>
    </font>
    <font>
      <sz val="8"/>
      <color rgb="FF000000"/>
      <name val="Helv"/>
    </font>
    <font>
      <b/>
      <sz val="8"/>
      <color rgb="FF000000"/>
      <name val="Helv"/>
    </font>
    <font>
      <sz val="9"/>
      <color rgb="FF000000"/>
      <name val="Tahoma"/>
      <family val="2"/>
    </font>
    <font>
      <sz val="11"/>
      <color rgb="FF000000"/>
      <name val="산돌고딕 L"/>
      <family val="3"/>
      <charset val="129"/>
    </font>
    <font>
      <sz val="10"/>
      <color rgb="FF000000"/>
      <name val="Arial Narrow"/>
      <family val="2"/>
    </font>
    <font>
      <b/>
      <sz val="10"/>
      <color rgb="FF000080"/>
      <name val="Arial Narrow"/>
      <family val="2"/>
    </font>
    <font>
      <i/>
      <sz val="10"/>
      <color rgb="FF000080"/>
      <name val="Arial Narrow"/>
      <family val="2"/>
    </font>
    <font>
      <sz val="11"/>
      <color rgb="FF9C65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9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0"/>
      <name val="MS Sans Serif"/>
      <family val="2"/>
    </font>
    <font>
      <sz val="12"/>
      <name val="Times New Roman"/>
      <family val="1"/>
    </font>
    <font>
      <sz val="10"/>
      <color theme="1"/>
      <name val="HY강M"/>
      <family val="1"/>
      <charset val="129"/>
    </font>
    <font>
      <sz val="10"/>
      <color theme="0"/>
      <name val="HY강M"/>
      <family val="1"/>
      <charset val="129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0"/>
      <name val="¹UAAA¼"/>
      <family val="1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¹ÙÅÁÃ¼"/>
      <family val="1"/>
      <charset val="129"/>
    </font>
    <font>
      <sz val="10"/>
      <name val="±¼¸²A¼"/>
      <family val="3"/>
      <charset val="129"/>
    </font>
    <font>
      <sz val="10"/>
      <name val="바탕체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0"/>
      <name val="Times New Roman"/>
      <family val="1"/>
    </font>
    <font>
      <sz val="10"/>
      <color indexed="16"/>
      <name val="MS Serif"/>
      <family val="1"/>
    </font>
    <font>
      <sz val="12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1"/>
      <color indexed="12"/>
      <name val="Times New Roman"/>
      <family val="1"/>
    </font>
    <font>
      <u/>
      <sz val="10"/>
      <color indexed="36"/>
      <name val="Arial"/>
      <family val="2"/>
    </font>
    <font>
      <sz val="10"/>
      <color rgb="FFFF0000"/>
      <name val="HY강M"/>
      <family val="1"/>
      <charset val="129"/>
    </font>
    <font>
      <sz val="11"/>
      <color indexed="10"/>
      <name val="맑은 고딕"/>
      <family val="3"/>
      <charset val="129"/>
    </font>
    <font>
      <b/>
      <sz val="10"/>
      <color rgb="FFFA7D00"/>
      <name val="HY강M"/>
      <family val="1"/>
      <charset val="129"/>
    </font>
    <font>
      <b/>
      <sz val="11"/>
      <color indexed="52"/>
      <name val="맑은 고딕"/>
      <family val="3"/>
      <charset val="129"/>
    </font>
    <font>
      <sz val="10"/>
      <color rgb="FF9C0006"/>
      <name val="HY강M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0"/>
      <color indexed="8"/>
      <name val="HY강M"/>
      <family val="1"/>
      <charset val="129"/>
    </font>
    <font>
      <sz val="10"/>
      <color rgb="FF9C6500"/>
      <name val="HY강M"/>
      <family val="1"/>
      <charset val="129"/>
    </font>
    <font>
      <sz val="11"/>
      <color indexed="60"/>
      <name val="맑은 고딕"/>
      <family val="3"/>
      <charset val="129"/>
    </font>
    <font>
      <i/>
      <sz val="10"/>
      <color rgb="FF7F7F7F"/>
      <name val="HY강M"/>
      <family val="1"/>
      <charset val="129"/>
    </font>
    <font>
      <i/>
      <sz val="11"/>
      <color indexed="23"/>
      <name val="맑은 고딕"/>
      <family val="3"/>
      <charset val="129"/>
    </font>
    <font>
      <b/>
      <sz val="10"/>
      <color theme="0"/>
      <name val="HY강M"/>
      <family val="1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0"/>
      <color rgb="FFFA7D00"/>
      <name val="HY강M"/>
      <family val="1"/>
      <charset val="129"/>
    </font>
    <font>
      <sz val="11"/>
      <color indexed="52"/>
      <name val="맑은 고딕"/>
      <family val="3"/>
      <charset val="129"/>
    </font>
    <font>
      <b/>
      <sz val="10"/>
      <color theme="1"/>
      <name val="HY강M"/>
      <family val="1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0"/>
      <color rgb="FF3F3F76"/>
      <name val="HY강M"/>
      <family val="1"/>
      <charset val="129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5"/>
      <color theme="3"/>
      <name val="HY강M"/>
      <family val="1"/>
      <charset val="129"/>
    </font>
    <font>
      <b/>
      <sz val="15"/>
      <color indexed="56"/>
      <name val="맑은 고딕"/>
      <family val="3"/>
      <charset val="129"/>
    </font>
    <font>
      <b/>
      <sz val="13"/>
      <color theme="3"/>
      <name val="HY강M"/>
      <family val="1"/>
      <charset val="129"/>
    </font>
    <font>
      <b/>
      <sz val="13"/>
      <color indexed="56"/>
      <name val="맑은 고딕"/>
      <family val="3"/>
      <charset val="129"/>
    </font>
    <font>
      <b/>
      <sz val="11"/>
      <color theme="3"/>
      <name val="HY강M"/>
      <family val="1"/>
      <charset val="129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10"/>
      <color rgb="FF006100"/>
      <name val="HY강M"/>
      <family val="1"/>
      <charset val="129"/>
    </font>
    <font>
      <sz val="11"/>
      <color indexed="17"/>
      <name val="맑은 고딕"/>
      <family val="3"/>
      <charset val="129"/>
    </font>
    <font>
      <b/>
      <sz val="10"/>
      <color rgb="FF3F3F3F"/>
      <name val="HY강M"/>
      <family val="1"/>
      <charset val="129"/>
    </font>
    <font>
      <b/>
      <sz val="11"/>
      <color indexed="63"/>
      <name val="맑은 고딕"/>
      <family val="3"/>
      <charset val="129"/>
    </font>
    <font>
      <u/>
      <sz val="10"/>
      <color indexed="12"/>
      <name val="굴림"/>
      <family val="3"/>
      <charset val="129"/>
    </font>
    <font>
      <sz val="12"/>
      <name val="???"/>
      <family val="1"/>
    </font>
    <font>
      <sz val="11"/>
      <name val="돋?o"/>
      <family val="3"/>
      <charset val="129"/>
    </font>
    <font>
      <sz val="10"/>
      <name val="Helv"/>
      <family val="2"/>
    </font>
    <font>
      <sz val="12"/>
      <name val="MS Sans Serif"/>
      <family val="2"/>
    </font>
    <font>
      <sz val="12"/>
      <name val="¨Ïo"/>
      <family val="1"/>
      <charset val="129"/>
    </font>
    <font>
      <sz val="11"/>
      <name val="?ie"/>
      <family val="3"/>
      <charset val="129"/>
    </font>
    <font>
      <sz val="12"/>
      <name val="©öU"/>
      <family val="1"/>
      <charset val="129"/>
    </font>
    <font>
      <sz val="11"/>
      <name val="￥ie"/>
      <family val="3"/>
      <charset val="129"/>
    </font>
    <font>
      <sz val="11"/>
      <name val="¥ì¢¬"/>
      <family val="3"/>
      <charset val="129"/>
    </font>
    <font>
      <sz val="12"/>
      <name val="ⓒoUAA"/>
      <family val="3"/>
      <charset val="129"/>
    </font>
    <font>
      <sz val="12"/>
      <name val="©öUAAA"/>
      <family val="3"/>
      <charset val="129"/>
    </font>
    <font>
      <sz val="11"/>
      <name val="¥ì"/>
      <family val="3"/>
      <charset val="129"/>
    </font>
    <font>
      <sz val="12"/>
      <name val="©ö"/>
      <family val="1"/>
      <charset val="129"/>
    </font>
    <font>
      <sz val="12"/>
      <name val="¡§IoUA"/>
      <family val="3"/>
      <charset val="129"/>
    </font>
    <font>
      <sz val="12"/>
      <name val="¹U"/>
      <family val="1"/>
      <charset val="129"/>
    </font>
    <font>
      <sz val="12"/>
      <name val="¹Ù "/>
      <family val="1"/>
      <charset val="129"/>
    </font>
    <font>
      <sz val="12"/>
      <name val="A"/>
      <family val="3"/>
      <charset val="129"/>
    </font>
    <font>
      <sz val="11"/>
      <name val="µ"/>
      <family val="3"/>
      <charset val="129"/>
    </font>
    <font>
      <sz val="11"/>
      <name val="µ¸"/>
      <family val="3"/>
      <charset val="129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color indexed="9"/>
      <name val="Swis721 Cn BT"/>
      <family val="2"/>
    </font>
    <font>
      <sz val="13"/>
      <name val="¹Ùi"/>
      <family val="1"/>
      <charset val="129"/>
    </font>
    <font>
      <sz val="13"/>
      <name val="¹U"/>
      <family val="1"/>
      <charset val="129"/>
    </font>
    <font>
      <sz val="12"/>
      <name val="¡ËR¡§u"/>
      <family val="3"/>
      <charset val="129"/>
    </font>
    <font>
      <sz val="11"/>
      <name val="￥i￠￢￠?o"/>
      <family val="3"/>
      <charset val="129"/>
    </font>
    <font>
      <sz val="12"/>
      <name val="¥ìs"/>
      <family val="3"/>
      <charset val="129"/>
    </font>
    <font>
      <sz val="12"/>
      <name val="¡¾¨ù¢¬"/>
      <family val="3"/>
      <charset val="129"/>
    </font>
    <font>
      <sz val="12"/>
      <name val="?oUAA"/>
      <family val="1"/>
      <charset val="129"/>
    </font>
    <font>
      <sz val="11"/>
      <name val="Arial"/>
      <family val="2"/>
    </font>
    <font>
      <sz val="11"/>
      <name val="¡¾¨"/>
      <family val="3"/>
      <charset val="129"/>
    </font>
    <font>
      <sz val="11"/>
      <name val="¡¾¨ù¢¬"/>
      <family val="3"/>
      <charset val="129"/>
    </font>
    <font>
      <sz val="12"/>
      <name val="¡¾¨"/>
      <family val="3"/>
      <charset val="129"/>
    </font>
    <font>
      <sz val="12"/>
      <name val="¡Íi"/>
      <family val="3"/>
      <charset val="129"/>
    </font>
    <font>
      <sz val="12"/>
      <name val="±s"/>
      <family val="3"/>
      <charset val="129"/>
    </font>
    <font>
      <sz val="11"/>
      <name val="μ"/>
      <family val="3"/>
      <charset val="129"/>
    </font>
    <font>
      <sz val="11"/>
      <name val="μ¸¿oA¼"/>
      <family val="3"/>
      <charset val="129"/>
    </font>
    <font>
      <sz val="12"/>
      <name val="¹Ùm"/>
      <family val="1"/>
      <charset val="129"/>
    </font>
    <font>
      <sz val="12"/>
      <name val="±¼s"/>
      <family val="3"/>
      <charset val="129"/>
    </font>
    <font>
      <sz val="10"/>
      <name val="±¼s"/>
      <family val="3"/>
      <charset val="129"/>
    </font>
    <font>
      <sz val="10"/>
      <name val="±s"/>
      <family val="3"/>
      <charset val="129"/>
    </font>
    <font>
      <sz val="12"/>
      <name val="±¼¸²Ã¼"/>
      <family val="3"/>
      <charset val="129"/>
    </font>
    <font>
      <sz val="11"/>
      <name val="µ¸¿ò"/>
      <family val="3"/>
      <charset val="129"/>
    </font>
    <font>
      <sz val="10"/>
      <name val="±¼i"/>
      <family val="3"/>
      <charset val="129"/>
    </font>
    <font>
      <sz val="12"/>
      <color indexed="8"/>
      <name val="굴림"/>
      <family val="3"/>
      <charset val="129"/>
    </font>
    <font>
      <sz val="9"/>
      <name val="Times New Roman"/>
      <family val="1"/>
    </font>
    <font>
      <sz val="10"/>
      <color indexed="8"/>
      <name val="Arial"/>
      <family val="2"/>
    </font>
    <font>
      <i/>
      <sz val="1"/>
      <color indexed="8"/>
      <name val="Courier"/>
      <family val="3"/>
    </font>
    <font>
      <sz val="8"/>
      <name val="Swis721 Cn BT"/>
      <family val="2"/>
    </font>
    <font>
      <b/>
      <sz val="18"/>
      <name val="Arial"/>
      <family val="2"/>
    </font>
    <font>
      <b/>
      <sz val="18"/>
      <name val="Tms Rmn"/>
      <family val="1"/>
    </font>
    <font>
      <b/>
      <sz val="12"/>
      <name val="Tms Rmn"/>
      <family val="1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0"/>
      <name val="ＭＳ ゴシック"/>
      <family val="3"/>
      <charset val="129"/>
    </font>
    <font>
      <sz val="12"/>
      <name val="돋움체"/>
      <family val="3"/>
      <charset val="129"/>
    </font>
    <font>
      <sz val="10"/>
      <name val="Courier"/>
      <family val="3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trike/>
      <sz val="10"/>
      <name val="Arial"/>
      <family val="2"/>
    </font>
    <font>
      <b/>
      <sz val="11"/>
      <color indexed="9"/>
      <name val="Arial"/>
      <family val="2"/>
    </font>
    <font>
      <i/>
      <sz val="10"/>
      <name val="Arial"/>
      <family val="2"/>
    </font>
    <font>
      <b/>
      <sz val="11"/>
      <name val="Times New Roman"/>
      <family val="1"/>
    </font>
    <font>
      <b/>
      <sz val="8"/>
      <name val="Garamond"/>
      <family val="1"/>
    </font>
    <font>
      <sz val="11"/>
      <name val="바탕체"/>
      <family val="1"/>
      <charset val="129"/>
    </font>
    <font>
      <b/>
      <sz val="16"/>
      <name val="굴림체"/>
      <family val="3"/>
      <charset val="129"/>
    </font>
    <font>
      <b/>
      <i/>
      <sz val="11"/>
      <name val="Arial"/>
      <family val="2"/>
    </font>
    <font>
      <sz val="12"/>
      <name val="뼻뮝"/>
      <family val="1"/>
      <charset val="129"/>
    </font>
    <font>
      <sz val="9"/>
      <name val="바탕체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9"/>
      <name val="굴림체"/>
      <family val="3"/>
      <charset val="129"/>
    </font>
    <font>
      <b/>
      <u/>
      <sz val="14"/>
      <name val="Arial"/>
      <family val="2"/>
    </font>
    <font>
      <i/>
      <u/>
      <sz val="10"/>
      <color indexed="10"/>
      <name val="Arial"/>
      <family val="2"/>
    </font>
    <font>
      <b/>
      <sz val="11"/>
      <name val="Arial"/>
      <family val="2"/>
    </font>
    <font>
      <sz val="11"/>
      <name val="ＭＳ 明朝"/>
      <family val="3"/>
      <charset val="129"/>
    </font>
    <font>
      <sz val="9"/>
      <color indexed="8"/>
      <name val="ＭＳ Ｐゴシック"/>
      <family val="2"/>
      <charset val="129"/>
    </font>
    <font>
      <sz val="9"/>
      <color theme="1"/>
      <name val="굴림"/>
      <family val="3"/>
      <charset val="129"/>
    </font>
    <font>
      <sz val="11"/>
      <name val="하나 청명 L"/>
      <family val="1"/>
      <charset val="129"/>
    </font>
    <font>
      <b/>
      <sz val="16"/>
      <name val="하나 청명 L"/>
      <family val="1"/>
      <charset val="129"/>
    </font>
    <font>
      <b/>
      <sz val="11"/>
      <name val="하나 청명 L"/>
      <family val="1"/>
      <charset val="129"/>
    </font>
    <font>
      <b/>
      <sz val="10"/>
      <name val="하나 청명 L"/>
      <family val="1"/>
      <charset val="129"/>
    </font>
    <font>
      <b/>
      <sz val="9"/>
      <name val="하나 청명 L"/>
      <family val="1"/>
      <charset val="129"/>
    </font>
    <font>
      <sz val="10"/>
      <name val="하나 청명 L"/>
      <family val="1"/>
      <charset val="129"/>
    </font>
    <font>
      <sz val="9"/>
      <name val="하나 청명 L"/>
      <family val="1"/>
      <charset val="129"/>
    </font>
    <font>
      <sz val="10"/>
      <color rgb="FF000000"/>
      <name val="하나 청명 L"/>
      <family val="1"/>
      <charset val="129"/>
    </font>
    <font>
      <b/>
      <sz val="8"/>
      <name val="굴림"/>
      <family val="3"/>
      <charset val="129"/>
    </font>
    <font>
      <b/>
      <u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color theme="1"/>
      <name val="굴림"/>
      <family val="3"/>
      <charset val="129"/>
    </font>
    <font>
      <b/>
      <sz val="11"/>
      <name val="맑은 고딕"/>
      <family val="3"/>
      <charset val="129"/>
    </font>
    <font>
      <sz val="10"/>
      <color rgb="FFFF0000"/>
      <name val="하나 청명 L"/>
      <family val="1"/>
      <charset val="129"/>
    </font>
    <font>
      <sz val="7"/>
      <name val="굴림"/>
      <family val="3"/>
      <charset val="129"/>
    </font>
    <font>
      <sz val="8"/>
      <color rgb="FFFF0000"/>
      <name val="굴림"/>
      <family val="3"/>
      <charset val="129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9"/>
      <color theme="1"/>
      <name val="맑은 고딕"/>
      <family val="3"/>
      <charset val="129"/>
      <scheme val="major"/>
    </font>
    <font>
      <sz val="9"/>
      <color rgb="FFFF0066"/>
      <name val="굴림"/>
      <family val="3"/>
      <charset val="129"/>
    </font>
    <font>
      <b/>
      <sz val="11"/>
      <color theme="0" tint="-4.9989318521683403E-2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ajor"/>
    </font>
  </fonts>
  <fills count="1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46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rgb="FFFFFFFF"/>
        <bgColor auto="1"/>
      </patternFill>
    </fill>
    <fill>
      <patternFill patternType="solid">
        <fgColor rgb="FF8064A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2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4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6795556505021"/>
        <bgColor indexed="64"/>
      </patternFill>
    </fill>
  </fills>
  <borders count="31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/>
      <right/>
      <top style="double">
        <color indexed="64"/>
      </top>
      <bottom/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/>
      <top style="thin">
        <color indexed="64"/>
      </top>
      <bottom style="double">
        <color indexed="64"/>
      </bottom>
      <diagonal/>
    </border>
    <border diagonalUp="1" diagonalDown="1"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1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FF0000"/>
      </right>
      <top style="hair">
        <color indexed="64"/>
      </top>
      <bottom style="hair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indexed="64"/>
      </top>
      <bottom style="thin">
        <color indexed="64"/>
      </bottom>
      <diagonal/>
    </border>
    <border>
      <left style="thin">
        <color rgb="FFFF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6935">
    <xf numFmtId="0" fontId="0" fillId="0" borderId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92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93" fontId="43" fillId="0" borderId="0">
      <alignment horizontal="right" vertical="center" shrinkToFit="1"/>
    </xf>
    <xf numFmtId="0" fontId="43" fillId="0" borderId="0">
      <alignment vertical="center"/>
    </xf>
    <xf numFmtId="0" fontId="43" fillId="0" borderId="0">
      <protection locked="0"/>
    </xf>
    <xf numFmtId="0" fontId="43" fillId="0" borderId="0">
      <protection locked="0"/>
    </xf>
    <xf numFmtId="40" fontId="43" fillId="0" borderId="0"/>
    <xf numFmtId="38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9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94" fontId="43" fillId="0" borderId="0">
      <alignment vertical="center"/>
    </xf>
    <xf numFmtId="41" fontId="43" fillId="0" borderId="0">
      <alignment vertical="center"/>
    </xf>
    <xf numFmtId="41" fontId="43" fillId="0" borderId="0"/>
    <xf numFmtId="41" fontId="43" fillId="0" borderId="0"/>
    <xf numFmtId="41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" fontId="43" fillId="0" borderId="0">
      <protection locked="0"/>
    </xf>
    <xf numFmtId="195" fontId="43" fillId="0" borderId="0">
      <protection locked="0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196" fontId="43" fillId="0" borderId="0">
      <alignment vertical="center"/>
    </xf>
    <xf numFmtId="0" fontId="43" fillId="0" borderId="0">
      <alignment vertical="center"/>
    </xf>
    <xf numFmtId="197" fontId="43" fillId="0" borderId="0">
      <protection locked="0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protection locked="0"/>
    </xf>
    <xf numFmtId="198" fontId="43" fillId="0" borderId="0">
      <protection locked="0"/>
    </xf>
    <xf numFmtId="177" fontId="43" fillId="0" borderId="0">
      <protection locked="0"/>
    </xf>
    <xf numFmtId="0" fontId="43" fillId="0" borderId="0"/>
    <xf numFmtId="0" fontId="43" fillId="0" borderId="0"/>
    <xf numFmtId="0" fontId="43" fillId="0" borderId="0"/>
    <xf numFmtId="0" fontId="43" fillId="0" borderId="0"/>
    <xf numFmtId="42" fontId="43" fillId="0" borderId="0"/>
    <xf numFmtId="199" fontId="43" fillId="0" borderId="0"/>
    <xf numFmtId="200" fontId="43" fillId="0" borderId="0"/>
    <xf numFmtId="0" fontId="43" fillId="0" borderId="0"/>
    <xf numFmtId="201" fontId="43" fillId="0" borderId="0"/>
    <xf numFmtId="0" fontId="43" fillId="0" borderId="0"/>
    <xf numFmtId="202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top"/>
      <protection locked="0"/>
    </xf>
    <xf numFmtId="0" fontId="43" fillId="0" borderId="0"/>
    <xf numFmtId="203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04" fontId="43" fillId="0" borderId="0"/>
    <xf numFmtId="0" fontId="43" fillId="0" borderId="0"/>
    <xf numFmtId="0" fontId="43" fillId="0" borderId="0"/>
    <xf numFmtId="38" fontId="43" fillId="0" borderId="0"/>
    <xf numFmtId="0" fontId="43" fillId="0" borderId="0">
      <alignment horizontal="left"/>
    </xf>
    <xf numFmtId="0" fontId="43" fillId="0" borderId="0">
      <alignment horizontal="left" vertical="center"/>
    </xf>
    <xf numFmtId="0" fontId="43" fillId="0" borderId="0">
      <alignment horizontal="left" vertical="center"/>
    </xf>
    <xf numFmtId="10" fontId="43" fillId="0" borderId="0"/>
    <xf numFmtId="41" fontId="43" fillId="0" borderId="0"/>
    <xf numFmtId="43" fontId="43" fillId="0" borderId="0"/>
    <xf numFmtId="0" fontId="43" fillId="0" borderId="0"/>
    <xf numFmtId="205" fontId="43" fillId="0" borderId="0"/>
    <xf numFmtId="206" fontId="43" fillId="0" borderId="0"/>
    <xf numFmtId="37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38" fontId="43" fillId="0" borderId="0"/>
    <xf numFmtId="41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0" fontId="43" fillId="0" borderId="0"/>
    <xf numFmtId="9" fontId="43" fillId="0" borderId="0"/>
    <xf numFmtId="0" fontId="43" fillId="0" borderId="0">
      <alignment horizontal="left"/>
    </xf>
    <xf numFmtId="209" fontId="43" fillId="0" borderId="0">
      <protection locked="0"/>
    </xf>
    <xf numFmtId="0" fontId="43" fillId="0" borderId="0">
      <alignment horizontal="left"/>
    </xf>
    <xf numFmtId="210" fontId="43" fillId="0" borderId="0">
      <protection locked="0"/>
    </xf>
    <xf numFmtId="211" fontId="43" fillId="0" borderId="0">
      <protection locked="0"/>
    </xf>
    <xf numFmtId="211" fontId="43" fillId="0" borderId="0">
      <protection locked="0"/>
    </xf>
    <xf numFmtId="30" fontId="43" fillId="0" borderId="0">
      <alignment horizontal="left"/>
    </xf>
    <xf numFmtId="40" fontId="43" fillId="0" borderId="0">
      <alignment horizontal="right"/>
    </xf>
    <xf numFmtId="211" fontId="43" fillId="0" borderId="0">
      <protection locked="0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0" fontId="43" fillId="0" borderId="0"/>
    <xf numFmtId="0" fontId="43" fillId="0" borderId="0">
      <alignment horizontal="center" vertical="top"/>
    </xf>
    <xf numFmtId="41" fontId="43" fillId="0" borderId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212" fontId="43" fillId="0" borderId="0"/>
    <xf numFmtId="213" fontId="43" fillId="0" borderId="0">
      <alignment horizontal="right" vertical="top"/>
    </xf>
    <xf numFmtId="0" fontId="43" fillId="0" borderId="0">
      <alignment horizontal="right" wrapText="1"/>
    </xf>
    <xf numFmtId="214" fontId="43" fillId="0" borderId="0">
      <alignment horizontal="left"/>
    </xf>
    <xf numFmtId="0" fontId="43" fillId="0" borderId="0">
      <alignment horizontal="left" vertical="top" wrapText="1"/>
    </xf>
    <xf numFmtId="215" fontId="43" fillId="0" borderId="0"/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198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0" fontId="45" fillId="0" borderId="112">
      <alignment vertical="center"/>
    </xf>
    <xf numFmtId="0" fontId="46" fillId="0" borderId="0"/>
    <xf numFmtId="0" fontId="46" fillId="0" borderId="0"/>
    <xf numFmtId="0" fontId="44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4" fillId="53" borderId="0">
      <alignment vertical="center"/>
    </xf>
    <xf numFmtId="0" fontId="44" fillId="54" borderId="0">
      <alignment vertical="center"/>
    </xf>
    <xf numFmtId="0" fontId="44" fillId="22" borderId="0">
      <alignment vertical="center"/>
    </xf>
    <xf numFmtId="0" fontId="44" fillId="55" borderId="0">
      <alignment vertical="center"/>
    </xf>
    <xf numFmtId="0" fontId="44" fillId="56" borderId="0">
      <alignment vertical="center"/>
    </xf>
    <xf numFmtId="0" fontId="44" fillId="57" borderId="0">
      <alignment vertical="center"/>
    </xf>
    <xf numFmtId="0" fontId="44" fillId="53" borderId="0">
      <alignment vertical="center"/>
    </xf>
    <xf numFmtId="0" fontId="44" fillId="55" borderId="0">
      <alignment vertical="center"/>
    </xf>
    <xf numFmtId="0" fontId="44" fillId="58" borderId="0">
      <alignment vertical="center"/>
    </xf>
    <xf numFmtId="0" fontId="47" fillId="59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2" borderId="0">
      <alignment vertical="center"/>
    </xf>
    <xf numFmtId="0" fontId="47" fillId="63" borderId="0">
      <alignment vertical="center"/>
    </xf>
    <xf numFmtId="0" fontId="47" fillId="64" borderId="0">
      <alignment vertical="center"/>
    </xf>
    <xf numFmtId="0" fontId="47" fillId="65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6" borderId="0">
      <alignment vertical="center"/>
    </xf>
    <xf numFmtId="0" fontId="48" fillId="0" borderId="0">
      <alignment vertical="center"/>
    </xf>
    <xf numFmtId="0" fontId="49" fillId="67" borderId="113">
      <alignment vertical="center"/>
    </xf>
    <xf numFmtId="192" fontId="50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193" fontId="43" fillId="0" borderId="114">
      <alignment horizontal="right" vertical="center" shrinkToFit="1"/>
    </xf>
    <xf numFmtId="0" fontId="52" fillId="51" borderId="0">
      <alignment vertical="center"/>
    </xf>
    <xf numFmtId="0" fontId="53" fillId="0" borderId="0">
      <protection locked="0"/>
    </xf>
    <xf numFmtId="0" fontId="53" fillId="0" borderId="0">
      <protection locked="0"/>
    </xf>
    <xf numFmtId="0" fontId="43" fillId="25" borderId="115">
      <alignment vertical="center"/>
    </xf>
    <xf numFmtId="0" fontId="54" fillId="68" borderId="0">
      <alignment vertical="center"/>
    </xf>
    <xf numFmtId="0" fontId="55" fillId="0" borderId="0">
      <alignment vertical="center"/>
    </xf>
    <xf numFmtId="0" fontId="56" fillId="69" borderId="116">
      <alignment vertical="center"/>
    </xf>
    <xf numFmtId="194" fontId="50" fillId="0" borderId="0">
      <alignment vertical="center"/>
    </xf>
    <xf numFmtId="41" fontId="57" fillId="0" borderId="0"/>
    <xf numFmtId="0" fontId="58" fillId="67" borderId="117">
      <alignment vertical="center"/>
    </xf>
    <xf numFmtId="0" fontId="59" fillId="0" borderId="118"/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4" fontId="53" fillId="0" borderId="0">
      <protection locked="0"/>
    </xf>
    <xf numFmtId="195" fontId="50" fillId="0" borderId="0">
      <protection locked="0"/>
    </xf>
    <xf numFmtId="0" fontId="63" fillId="0" borderId="0">
      <alignment vertical="center"/>
    </xf>
    <xf numFmtId="0" fontId="64" fillId="0" borderId="121">
      <alignment vertical="center"/>
    </xf>
    <xf numFmtId="0" fontId="65" fillId="0" borderId="122">
      <alignment vertical="center"/>
    </xf>
    <xf numFmtId="0" fontId="45" fillId="0" borderId="112">
      <alignment vertical="center"/>
    </xf>
    <xf numFmtId="0" fontId="45" fillId="0" borderId="0">
      <alignment vertical="center"/>
    </xf>
    <xf numFmtId="0" fontId="66" fillId="52" borderId="0">
      <alignment vertical="center"/>
    </xf>
    <xf numFmtId="0" fontId="67" fillId="0" borderId="0"/>
    <xf numFmtId="196" fontId="68" fillId="0" borderId="123">
      <alignment vertical="center"/>
    </xf>
    <xf numFmtId="0" fontId="58" fillId="67" borderId="117">
      <alignment vertical="center"/>
    </xf>
    <xf numFmtId="197" fontId="50" fillId="0" borderId="0">
      <protection locked="0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0" fillId="0" borderId="0">
      <protection locked="0"/>
    </xf>
    <xf numFmtId="0" fontId="53" fillId="0" borderId="124">
      <protection locked="0"/>
    </xf>
    <xf numFmtId="198" fontId="50" fillId="0" borderId="0">
      <protection locked="0"/>
    </xf>
    <xf numFmtId="177" fontId="50" fillId="0" borderId="0">
      <protection locked="0"/>
    </xf>
    <xf numFmtId="0" fontId="71" fillId="0" borderId="0"/>
    <xf numFmtId="0" fontId="72" fillId="0" borderId="0">
      <alignment vertical="top"/>
      <protection locked="0"/>
    </xf>
    <xf numFmtId="203" fontId="46" fillId="0" borderId="0"/>
    <xf numFmtId="204" fontId="46" fillId="0" borderId="0"/>
    <xf numFmtId="38" fontId="73" fillId="70" borderId="0"/>
    <xf numFmtId="0" fontId="74" fillId="0" borderId="0">
      <alignment horizontal="left"/>
    </xf>
    <xf numFmtId="0" fontId="75" fillId="0" borderId="125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37" fontId="77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10" fontId="79" fillId="0" borderId="0"/>
    <xf numFmtId="0" fontId="76" fillId="0" borderId="0"/>
    <xf numFmtId="0" fontId="44" fillId="0" borderId="0">
      <alignment vertical="center"/>
    </xf>
    <xf numFmtId="0" fontId="80" fillId="0" borderId="0"/>
    <xf numFmtId="38" fontId="70" fillId="0" borderId="0"/>
    <xf numFmtId="41" fontId="44" fillId="0" borderId="0">
      <alignment vertical="center"/>
    </xf>
    <xf numFmtId="0" fontId="81" fillId="0" borderId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60" fillId="0" borderId="119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82" fillId="0" borderId="0">
      <alignment horizontal="left"/>
    </xf>
    <xf numFmtId="209" fontId="46" fillId="0" borderId="0">
      <protection locked="0"/>
    </xf>
    <xf numFmtId="0" fontId="83" fillId="0" borderId="0">
      <alignment horizontal="left"/>
    </xf>
    <xf numFmtId="210" fontId="46" fillId="0" borderId="0">
      <protection locked="0"/>
    </xf>
    <xf numFmtId="211" fontId="46" fillId="0" borderId="0">
      <protection locked="0"/>
    </xf>
    <xf numFmtId="211" fontId="46" fillId="0" borderId="0">
      <protection locked="0"/>
    </xf>
    <xf numFmtId="30" fontId="84" fillId="0" borderId="0">
      <alignment horizontal="left"/>
    </xf>
    <xf numFmtId="40" fontId="85" fillId="0" borderId="0">
      <alignment horizontal="right"/>
    </xf>
    <xf numFmtId="211" fontId="46" fillId="0" borderId="128">
      <protection locked="0"/>
    </xf>
    <xf numFmtId="0" fontId="45" fillId="0" borderId="112">
      <alignment vertical="center"/>
    </xf>
    <xf numFmtId="9" fontId="86" fillId="0" borderId="0">
      <alignment vertical="center"/>
    </xf>
    <xf numFmtId="9" fontId="87" fillId="0" borderId="0">
      <alignment vertical="center"/>
    </xf>
    <xf numFmtId="9" fontId="44" fillId="0" borderId="0">
      <alignment vertical="center"/>
    </xf>
    <xf numFmtId="0" fontId="50" fillId="0" borderId="0">
      <alignment horizontal="center" vertical="top"/>
    </xf>
    <xf numFmtId="41" fontId="87" fillId="0" borderId="0">
      <alignment vertical="center"/>
    </xf>
    <xf numFmtId="41" fontId="44" fillId="0" borderId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86" fillId="0" borderId="0">
      <alignment vertical="center"/>
    </xf>
    <xf numFmtId="0" fontId="44" fillId="0" borderId="0">
      <alignment vertical="center"/>
    </xf>
    <xf numFmtId="213" fontId="88" fillId="0" borderId="0">
      <alignment horizontal="right" vertical="top"/>
    </xf>
    <xf numFmtId="0" fontId="89" fillId="0" borderId="129">
      <alignment horizontal="right" wrapText="1"/>
    </xf>
    <xf numFmtId="214" fontId="90" fillId="0" borderId="129">
      <alignment horizontal="left"/>
    </xf>
    <xf numFmtId="0" fontId="88" fillId="0" borderId="0">
      <alignment horizontal="left" vertical="top" wrapText="1"/>
    </xf>
    <xf numFmtId="215" fontId="79" fillId="0" borderId="0"/>
    <xf numFmtId="41" fontId="86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43" fillId="25" borderId="115">
      <alignment vertical="center"/>
    </xf>
    <xf numFmtId="0" fontId="70" fillId="0" borderId="0">
      <protection locked="0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70" fillId="0" borderId="0">
      <protection locked="0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70" fillId="0" borderId="0">
      <protection locked="0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70" fillId="0" borderId="0">
      <protection locked="0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0" fillId="0" borderId="0">
      <protection locked="0"/>
    </xf>
    <xf numFmtId="0" fontId="45" fillId="0" borderId="112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0" fontId="70" fillId="0" borderId="0">
      <protection locked="0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70" fillId="0" borderId="0">
      <protection locked="0"/>
    </xf>
    <xf numFmtId="0" fontId="70" fillId="0" borderId="0">
      <protection locked="0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0" fontId="70" fillId="0" borderId="0">
      <protection locked="0"/>
    </xf>
    <xf numFmtId="0" fontId="56" fillId="69" borderId="116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0" fillId="0" borderId="0">
      <protection locked="0"/>
    </xf>
    <xf numFmtId="0" fontId="60" fillId="0" borderId="119">
      <alignment vertical="center"/>
    </xf>
    <xf numFmtId="0" fontId="75" fillId="0" borderId="126">
      <alignment horizontal="left"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6" fillId="0" borderId="127"/>
    <xf numFmtId="0" fontId="70" fillId="0" borderId="0">
      <protection locked="0"/>
    </xf>
    <xf numFmtId="0" fontId="60" fillId="0" borderId="119">
      <alignment vertical="center"/>
    </xf>
    <xf numFmtId="0" fontId="43" fillId="25" borderId="115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70" fillId="0" borderId="0">
      <protection locked="0"/>
    </xf>
    <xf numFmtId="0" fontId="76" fillId="0" borderId="127"/>
    <xf numFmtId="0" fontId="70" fillId="0" borderId="0">
      <protection locked="0"/>
    </xf>
    <xf numFmtId="0" fontId="45" fillId="0" borderId="112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70" fillId="0" borderId="0">
      <protection locked="0"/>
    </xf>
    <xf numFmtId="10" fontId="73" fillId="70" borderId="114"/>
    <xf numFmtId="0" fontId="58" fillId="67" borderId="117">
      <alignment vertical="center"/>
    </xf>
    <xf numFmtId="0" fontId="70" fillId="0" borderId="0">
      <protection locked="0"/>
    </xf>
    <xf numFmtId="0" fontId="62" fillId="22" borderId="113">
      <alignment vertical="center"/>
    </xf>
    <xf numFmtId="0" fontId="70" fillId="0" borderId="0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70" fillId="0" borderId="0">
      <protection locked="0"/>
    </xf>
    <xf numFmtId="0" fontId="70" fillId="0" borderId="0">
      <protection locked="0"/>
    </xf>
    <xf numFmtId="0" fontId="49" fillId="67" borderId="113">
      <alignment vertical="center"/>
    </xf>
    <xf numFmtId="0" fontId="70" fillId="0" borderId="0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0" fillId="0" borderId="0">
      <protection locked="0"/>
    </xf>
    <xf numFmtId="0" fontId="61" fillId="0" borderId="120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70" fillId="0" borderId="0">
      <protection locked="0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0" fontId="70" fillId="0" borderId="0">
      <protection locked="0"/>
    </xf>
    <xf numFmtId="10" fontId="73" fillId="70" borderId="114"/>
    <xf numFmtId="0" fontId="76" fillId="0" borderId="127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70" fillId="0" borderId="0">
      <protection locked="0"/>
    </xf>
    <xf numFmtId="0" fontId="45" fillId="0" borderId="112">
      <alignment vertical="center"/>
    </xf>
    <xf numFmtId="0" fontId="60" fillId="0" borderId="119">
      <alignment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61" fillId="0" borderId="120">
      <alignment vertical="center"/>
    </xf>
    <xf numFmtId="0" fontId="43" fillId="25" borderId="115">
      <alignment vertical="center"/>
    </xf>
    <xf numFmtId="0" fontId="70" fillId="0" borderId="0">
      <protection locked="0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70" fillId="0" borderId="0">
      <protection locked="0"/>
    </xf>
    <xf numFmtId="0" fontId="70" fillId="0" borderId="0">
      <protection locked="0"/>
    </xf>
    <xf numFmtId="0" fontId="43" fillId="25" borderId="115">
      <alignment vertical="center"/>
    </xf>
    <xf numFmtId="0" fontId="61" fillId="0" borderId="120">
      <alignment vertical="center"/>
    </xf>
    <xf numFmtId="0" fontId="70" fillId="0" borderId="0">
      <protection locked="0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0" borderId="0"/>
    <xf numFmtId="0" fontId="44" fillId="0" borderId="0">
      <alignment vertical="center"/>
    </xf>
    <xf numFmtId="0" fontId="47" fillId="71" borderId="0">
      <alignment vertical="center"/>
    </xf>
    <xf numFmtId="0" fontId="91" fillId="21" borderId="0">
      <alignment vertical="center"/>
    </xf>
    <xf numFmtId="0" fontId="92" fillId="19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9" fontId="44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41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9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9" fontId="43" fillId="0" borderId="0"/>
    <xf numFmtId="0" fontId="45" fillId="0" borderId="112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5" fillId="0" borderId="112">
      <alignment vertical="center"/>
    </xf>
    <xf numFmtId="0" fontId="58" fillId="67" borderId="117">
      <alignment vertical="center"/>
    </xf>
    <xf numFmtId="0" fontId="53" fillId="0" borderId="124">
      <protection locked="0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0" fontId="44" fillId="0" borderId="0">
      <alignment vertical="center"/>
    </xf>
    <xf numFmtId="0" fontId="60" fillId="0" borderId="119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45" fillId="0" borderId="112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5" fillId="0" borderId="112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0" fillId="0" borderId="119">
      <alignment vertical="center"/>
    </xf>
    <xf numFmtId="0" fontId="75" fillId="0" borderId="126">
      <alignment horizontal="left" vertical="center"/>
    </xf>
    <xf numFmtId="0" fontId="76" fillId="0" borderId="127"/>
    <xf numFmtId="0" fontId="60" fillId="0" borderId="119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76" fillId="0" borderId="127"/>
    <xf numFmtId="0" fontId="45" fillId="0" borderId="112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9" fontId="44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41" fontId="44" fillId="0" borderId="0">
      <alignment vertical="center"/>
    </xf>
    <xf numFmtId="0" fontId="45" fillId="0" borderId="112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5" fillId="0" borderId="112">
      <alignment vertical="center"/>
    </xf>
    <xf numFmtId="0" fontId="58" fillId="67" borderId="117">
      <alignment vertical="center"/>
    </xf>
    <xf numFmtId="0" fontId="53" fillId="0" borderId="124">
      <protection locked="0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0" fontId="44" fillId="0" borderId="0">
      <alignment vertical="center"/>
    </xf>
    <xf numFmtId="0" fontId="60" fillId="0" borderId="119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45" fillId="0" borderId="112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5" fillId="0" borderId="112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0" fillId="0" borderId="119">
      <alignment vertical="center"/>
    </xf>
    <xf numFmtId="0" fontId="75" fillId="0" borderId="126">
      <alignment horizontal="left" vertical="center"/>
    </xf>
    <xf numFmtId="0" fontId="76" fillId="0" borderId="127"/>
    <xf numFmtId="0" fontId="60" fillId="0" borderId="119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76" fillId="0" borderId="127"/>
    <xf numFmtId="0" fontId="45" fillId="0" borderId="112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41" fontId="43" fillId="0" borderId="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69" fillId="0" borderId="0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44" fillId="0" borderId="0">
      <alignment vertical="center"/>
    </xf>
    <xf numFmtId="0" fontId="44" fillId="0" borderId="0">
      <alignment vertical="center"/>
    </xf>
    <xf numFmtId="0" fontId="44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4" fillId="53" borderId="0">
      <alignment vertical="center"/>
    </xf>
    <xf numFmtId="0" fontId="44" fillId="54" borderId="0">
      <alignment vertical="center"/>
    </xf>
    <xf numFmtId="0" fontId="44" fillId="22" borderId="0">
      <alignment vertical="center"/>
    </xf>
    <xf numFmtId="0" fontId="44" fillId="55" borderId="0">
      <alignment vertical="center"/>
    </xf>
    <xf numFmtId="0" fontId="44" fillId="56" borderId="0">
      <alignment vertical="center"/>
    </xf>
    <xf numFmtId="0" fontId="44" fillId="57" borderId="0">
      <alignment vertical="center"/>
    </xf>
    <xf numFmtId="0" fontId="44" fillId="53" borderId="0">
      <alignment vertical="center"/>
    </xf>
    <xf numFmtId="0" fontId="44" fillId="55" borderId="0">
      <alignment vertical="center"/>
    </xf>
    <xf numFmtId="0" fontId="44" fillId="58" borderId="0">
      <alignment vertical="center"/>
    </xf>
    <xf numFmtId="0" fontId="47" fillId="59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2" borderId="0">
      <alignment vertical="center"/>
    </xf>
    <xf numFmtId="0" fontId="69" fillId="0" borderId="0"/>
    <xf numFmtId="0" fontId="69" fillId="0" borderId="0"/>
    <xf numFmtId="0" fontId="43" fillId="0" borderId="0"/>
    <xf numFmtId="0" fontId="43" fillId="0" borderId="0"/>
    <xf numFmtId="212" fontId="4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9" fillId="0" borderId="129">
      <alignment horizontal="right" wrapText="1"/>
    </xf>
    <xf numFmtId="0" fontId="89" fillId="0" borderId="129">
      <alignment horizontal="right" wrapText="1"/>
    </xf>
    <xf numFmtId="0" fontId="89" fillId="0" borderId="129">
      <alignment horizontal="right" wrapText="1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14" fontId="90" fillId="0" borderId="129">
      <alignment horizontal="left"/>
    </xf>
    <xf numFmtId="214" fontId="90" fillId="0" borderId="129">
      <alignment horizontal="left"/>
    </xf>
    <xf numFmtId="214" fontId="90" fillId="0" borderId="129">
      <alignment horizontal="lef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0" fontId="73" fillId="70" borderId="114"/>
    <xf numFmtId="0" fontId="7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11" fontId="46" fillId="0" borderId="128">
      <protection locked="0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7" fillId="63" borderId="0">
      <alignment vertical="center"/>
    </xf>
    <xf numFmtId="0" fontId="47" fillId="64" borderId="0">
      <alignment vertical="center"/>
    </xf>
    <xf numFmtId="0" fontId="47" fillId="65" borderId="0">
      <alignment vertical="center"/>
    </xf>
    <xf numFmtId="0" fontId="47" fillId="61" borderId="0">
      <alignment vertical="center"/>
    </xf>
    <xf numFmtId="0" fontId="47" fillId="66" borderId="0">
      <alignment vertical="center"/>
    </xf>
    <xf numFmtId="0" fontId="48" fillId="0" borderId="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2" fillId="51" borderId="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9" fontId="69" fillId="0" borderId="0">
      <alignment vertical="center"/>
    </xf>
    <xf numFmtId="0" fontId="55" fillId="0" borderId="0">
      <alignment vertical="center"/>
    </xf>
    <xf numFmtId="41" fontId="44" fillId="0" borderId="0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4" fillId="0" borderId="121">
      <alignment vertical="center"/>
    </xf>
    <xf numFmtId="0" fontId="65" fillId="0" borderId="122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6" fillId="52" borderId="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3" fillId="0" borderId="0"/>
    <xf numFmtId="0" fontId="43" fillId="0" borderId="0">
      <alignment vertical="center"/>
    </xf>
    <xf numFmtId="0" fontId="69" fillId="0" borderId="0"/>
    <xf numFmtId="0" fontId="62" fillId="22" borderId="113">
      <alignment vertical="center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6" fillId="69" borderId="116">
      <alignment vertical="center"/>
    </xf>
    <xf numFmtId="0" fontId="75" fillId="0" borderId="126">
      <alignment horizontal="left" vertical="center"/>
    </xf>
    <xf numFmtId="10" fontId="73" fillId="70" borderId="114"/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75" fillId="0" borderId="126">
      <alignment horizontal="left" vertical="center"/>
    </xf>
    <xf numFmtId="0" fontId="56" fillId="69" borderId="116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2" fillId="22" borderId="113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0" fontId="43" fillId="25" borderId="115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3" fillId="0" borderId="124">
      <protection locked="0"/>
    </xf>
    <xf numFmtId="214" fontId="90" fillId="0" borderId="129">
      <alignment horizontal="left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10" fontId="73" fillId="70" borderId="114"/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3" fillId="25" borderId="115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49" fillId="67" borderId="113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3" fillId="0" borderId="124">
      <protection locked="0"/>
    </xf>
    <xf numFmtId="0" fontId="62" fillId="22" borderId="113">
      <alignment vertical="center"/>
    </xf>
    <xf numFmtId="0" fontId="43" fillId="25" borderId="115">
      <alignment vertical="center"/>
    </xf>
    <xf numFmtId="0" fontId="44" fillId="0" borderId="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1" fontId="46" fillId="0" borderId="128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4" fillId="0" borderId="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1" fillId="0" borderId="120">
      <alignment vertical="center"/>
    </xf>
    <xf numFmtId="211" fontId="46" fillId="0" borderId="128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61" fillId="0" borderId="120">
      <alignment vertical="center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56" fillId="69" borderId="116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75" fillId="0" borderId="126">
      <alignment horizontal="left" vertical="center"/>
    </xf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0" fontId="73" fillId="70" borderId="114"/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0" fontId="73" fillId="70" borderId="114"/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53" fillId="0" borderId="124">
      <protection locked="0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3" fillId="0" borderId="124">
      <protection locked="0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6" fillId="69" borderId="116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44" fillId="0" borderId="0">
      <alignment vertical="center"/>
    </xf>
    <xf numFmtId="0" fontId="61" fillId="0" borderId="120">
      <alignment vertical="center"/>
    </xf>
    <xf numFmtId="0" fontId="44" fillId="0" borderId="0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3" fillId="25" borderId="115">
      <alignment vertical="center"/>
    </xf>
    <xf numFmtId="211" fontId="46" fillId="0" borderId="128">
      <protection locked="0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1" fontId="46" fillId="0" borderId="128">
      <protection locked="0"/>
    </xf>
    <xf numFmtId="0" fontId="43" fillId="25" borderId="115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9" fillId="67" borderId="113">
      <alignment vertical="center"/>
    </xf>
    <xf numFmtId="10" fontId="73" fillId="70" borderId="114"/>
    <xf numFmtId="10" fontId="73" fillId="70" borderId="114"/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9" fontId="44" fillId="0" borderId="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89" fillId="0" borderId="129">
      <alignment horizontal="right" wrapTex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214" fontId="90" fillId="0" borderId="129">
      <alignment horizontal="left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6" fillId="69" borderId="116">
      <alignment vertical="center"/>
    </xf>
    <xf numFmtId="0" fontId="75" fillId="0" borderId="126">
      <alignment horizontal="left" vertical="center"/>
    </xf>
    <xf numFmtId="10" fontId="73" fillId="70" borderId="114"/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75" fillId="0" borderId="126">
      <alignment horizontal="left" vertical="center"/>
    </xf>
    <xf numFmtId="0" fontId="56" fillId="69" borderId="116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2" fillId="22" borderId="113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0" fontId="43" fillId="25" borderId="115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3" fillId="0" borderId="124">
      <protection locked="0"/>
    </xf>
    <xf numFmtId="214" fontId="90" fillId="0" borderId="129">
      <alignment horizontal="left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10" fontId="73" fillId="70" borderId="114"/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3" fillId="25" borderId="115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49" fillId="67" borderId="113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3" fillId="0" borderId="124">
      <protection locked="0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1" fontId="46" fillId="0" borderId="128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1" fillId="0" borderId="120">
      <alignment vertical="center"/>
    </xf>
    <xf numFmtId="211" fontId="46" fillId="0" borderId="128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61" fillId="0" borderId="120">
      <alignment vertical="center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56" fillId="69" borderId="116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75" fillId="0" borderId="126">
      <alignment horizontal="left" vertical="center"/>
    </xf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0" fontId="73" fillId="70" borderId="114"/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0" fontId="73" fillId="70" borderId="114"/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53" fillId="0" borderId="124">
      <protection locked="0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3" fillId="0" borderId="124">
      <protection locked="0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6" fillId="69" borderId="116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3" fillId="25" borderId="115">
      <alignment vertical="center"/>
    </xf>
    <xf numFmtId="211" fontId="46" fillId="0" borderId="128">
      <protection locked="0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1" fontId="46" fillId="0" borderId="128">
      <protection locked="0"/>
    </xf>
    <xf numFmtId="0" fontId="43" fillId="25" borderId="115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9" fillId="67" borderId="113">
      <alignment vertical="center"/>
    </xf>
    <xf numFmtId="10" fontId="73" fillId="70" borderId="114"/>
    <xf numFmtId="10" fontId="73" fillId="70" borderId="114"/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9" fontId="44" fillId="0" borderId="0">
      <alignment vertical="center"/>
    </xf>
    <xf numFmtId="9" fontId="44" fillId="0" borderId="0">
      <alignment vertical="center"/>
    </xf>
    <xf numFmtId="41" fontId="44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92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93" fontId="43" fillId="0" borderId="0">
      <alignment horizontal="right" vertical="center" shrinkToFit="1"/>
    </xf>
    <xf numFmtId="0" fontId="43" fillId="0" borderId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alignment vertical="center"/>
    </xf>
    <xf numFmtId="9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94" fontId="43" fillId="0" borderId="0">
      <alignment vertical="center"/>
    </xf>
    <xf numFmtId="41" fontId="43" fillId="0" borderId="0">
      <alignment vertical="center"/>
    </xf>
    <xf numFmtId="41" fontId="43" fillId="0" borderId="0"/>
    <xf numFmtId="41" fontId="43" fillId="0" borderId="0"/>
    <xf numFmtId="41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" fontId="43" fillId="0" borderId="0">
      <protection locked="0"/>
    </xf>
    <xf numFmtId="195" fontId="43" fillId="0" borderId="0">
      <protection locked="0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196" fontId="43" fillId="0" borderId="0">
      <alignment vertical="center"/>
    </xf>
    <xf numFmtId="0" fontId="43" fillId="0" borderId="0">
      <alignment vertical="center"/>
    </xf>
    <xf numFmtId="197" fontId="43" fillId="0" borderId="0">
      <protection locked="0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protection locked="0"/>
    </xf>
    <xf numFmtId="198" fontId="43" fillId="0" borderId="0">
      <protection locked="0"/>
    </xf>
    <xf numFmtId="177" fontId="43" fillId="0" borderId="0">
      <protection locked="0"/>
    </xf>
    <xf numFmtId="0" fontId="43" fillId="0" borderId="0"/>
    <xf numFmtId="0" fontId="43" fillId="0" borderId="0"/>
    <xf numFmtId="0" fontId="43" fillId="0" borderId="0">
      <alignment vertical="top"/>
      <protection locked="0"/>
    </xf>
    <xf numFmtId="203" fontId="43" fillId="0" borderId="0"/>
    <xf numFmtId="0" fontId="43" fillId="0" borderId="0"/>
    <xf numFmtId="204" fontId="43" fillId="0" borderId="0"/>
    <xf numFmtId="38" fontId="43" fillId="0" borderId="0"/>
    <xf numFmtId="0" fontId="43" fillId="0" borderId="0">
      <alignment horizontal="left"/>
    </xf>
    <xf numFmtId="0" fontId="43" fillId="0" borderId="0">
      <alignment horizontal="left" vertical="center"/>
    </xf>
    <xf numFmtId="0" fontId="43" fillId="0" borderId="0">
      <alignment horizontal="left" vertical="center"/>
    </xf>
    <xf numFmtId="10" fontId="43" fillId="0" borderId="0"/>
    <xf numFmtId="0" fontId="43" fillId="0" borderId="0"/>
    <xf numFmtId="37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0" fontId="43" fillId="0" borderId="0"/>
    <xf numFmtId="0" fontId="43" fillId="0" borderId="0"/>
    <xf numFmtId="0" fontId="43" fillId="0" borderId="0"/>
    <xf numFmtId="38" fontId="43" fillId="0" borderId="0"/>
    <xf numFmtId="41" fontId="43" fillId="0" borderId="0">
      <alignment vertical="center"/>
    </xf>
    <xf numFmtId="0" fontId="43" fillId="0" borderId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0" fontId="43" fillId="0" borderId="0"/>
    <xf numFmtId="9" fontId="43" fillId="0" borderId="0"/>
    <xf numFmtId="0" fontId="43" fillId="0" borderId="0">
      <alignment horizontal="left"/>
    </xf>
    <xf numFmtId="209" fontId="43" fillId="0" borderId="0">
      <protection locked="0"/>
    </xf>
    <xf numFmtId="0" fontId="43" fillId="0" borderId="0">
      <alignment horizontal="left"/>
    </xf>
    <xf numFmtId="210" fontId="43" fillId="0" borderId="0">
      <protection locked="0"/>
    </xf>
    <xf numFmtId="211" fontId="43" fillId="0" borderId="0">
      <protection locked="0"/>
    </xf>
    <xf numFmtId="211" fontId="43" fillId="0" borderId="0">
      <protection locked="0"/>
    </xf>
    <xf numFmtId="30" fontId="43" fillId="0" borderId="0">
      <alignment horizontal="left"/>
    </xf>
    <xf numFmtId="40" fontId="43" fillId="0" borderId="0">
      <alignment horizontal="right"/>
    </xf>
    <xf numFmtId="211" fontId="43" fillId="0" borderId="0">
      <protection locked="0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9" fontId="43" fillId="0" borderId="0">
      <alignment vertical="center"/>
    </xf>
    <xf numFmtId="0" fontId="43" fillId="0" borderId="0">
      <alignment horizontal="center" vertical="top"/>
    </xf>
    <xf numFmtId="41" fontId="43" fillId="0" borderId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212" fontId="43" fillId="0" borderId="0"/>
    <xf numFmtId="213" fontId="43" fillId="0" borderId="0">
      <alignment horizontal="right" vertical="top"/>
    </xf>
    <xf numFmtId="0" fontId="43" fillId="0" borderId="0">
      <alignment horizontal="right" wrapText="1"/>
    </xf>
    <xf numFmtId="214" fontId="43" fillId="0" borderId="0">
      <alignment horizontal="left"/>
    </xf>
    <xf numFmtId="0" fontId="43" fillId="0" borderId="0">
      <alignment horizontal="left" vertical="top" wrapText="1"/>
    </xf>
    <xf numFmtId="215" fontId="43" fillId="0" borderId="0"/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198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0" fontId="45" fillId="0" borderId="112">
      <alignment vertical="center"/>
    </xf>
    <xf numFmtId="0" fontId="46" fillId="0" borderId="0"/>
    <xf numFmtId="0" fontId="46" fillId="0" borderId="0"/>
    <xf numFmtId="0" fontId="44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4" fillId="53" borderId="0">
      <alignment vertical="center"/>
    </xf>
    <xf numFmtId="0" fontId="44" fillId="54" borderId="0">
      <alignment vertical="center"/>
    </xf>
    <xf numFmtId="0" fontId="44" fillId="22" borderId="0">
      <alignment vertical="center"/>
    </xf>
    <xf numFmtId="0" fontId="44" fillId="55" borderId="0">
      <alignment vertical="center"/>
    </xf>
    <xf numFmtId="0" fontId="44" fillId="56" borderId="0">
      <alignment vertical="center"/>
    </xf>
    <xf numFmtId="0" fontId="44" fillId="57" borderId="0">
      <alignment vertical="center"/>
    </xf>
    <xf numFmtId="0" fontId="44" fillId="53" borderId="0">
      <alignment vertical="center"/>
    </xf>
    <xf numFmtId="0" fontId="44" fillId="55" borderId="0">
      <alignment vertical="center"/>
    </xf>
    <xf numFmtId="0" fontId="44" fillId="58" borderId="0">
      <alignment vertical="center"/>
    </xf>
    <xf numFmtId="0" fontId="47" fillId="59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2" borderId="0">
      <alignment vertical="center"/>
    </xf>
    <xf numFmtId="0" fontId="47" fillId="63" borderId="0">
      <alignment vertical="center"/>
    </xf>
    <xf numFmtId="0" fontId="47" fillId="64" borderId="0">
      <alignment vertical="center"/>
    </xf>
    <xf numFmtId="0" fontId="47" fillId="65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6" borderId="0">
      <alignment vertical="center"/>
    </xf>
    <xf numFmtId="0" fontId="48" fillId="0" borderId="0">
      <alignment vertical="center"/>
    </xf>
    <xf numFmtId="0" fontId="49" fillId="67" borderId="113">
      <alignment vertical="center"/>
    </xf>
    <xf numFmtId="192" fontId="50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193" fontId="43" fillId="0" borderId="114">
      <alignment horizontal="right" vertical="center" shrinkToFit="1"/>
    </xf>
    <xf numFmtId="0" fontId="52" fillId="51" borderId="0">
      <alignment vertical="center"/>
    </xf>
    <xf numFmtId="0" fontId="53" fillId="0" borderId="0">
      <protection locked="0"/>
    </xf>
    <xf numFmtId="0" fontId="53" fillId="0" borderId="0">
      <protection locked="0"/>
    </xf>
    <xf numFmtId="0" fontId="43" fillId="25" borderId="115">
      <alignment vertical="center"/>
    </xf>
    <xf numFmtId="0" fontId="54" fillId="68" borderId="0">
      <alignment vertical="center"/>
    </xf>
    <xf numFmtId="0" fontId="55" fillId="0" borderId="0">
      <alignment vertical="center"/>
    </xf>
    <xf numFmtId="0" fontId="56" fillId="69" borderId="116">
      <alignment vertical="center"/>
    </xf>
    <xf numFmtId="194" fontId="50" fillId="0" borderId="0">
      <alignment vertical="center"/>
    </xf>
    <xf numFmtId="41" fontId="57" fillId="0" borderId="0"/>
    <xf numFmtId="0" fontId="58" fillId="67" borderId="117">
      <alignment vertical="center"/>
    </xf>
    <xf numFmtId="0" fontId="59" fillId="0" borderId="118"/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4" fontId="53" fillId="0" borderId="0">
      <protection locked="0"/>
    </xf>
    <xf numFmtId="195" fontId="50" fillId="0" borderId="0">
      <protection locked="0"/>
    </xf>
    <xf numFmtId="0" fontId="63" fillId="0" borderId="0">
      <alignment vertical="center"/>
    </xf>
    <xf numFmtId="0" fontId="64" fillId="0" borderId="121">
      <alignment vertical="center"/>
    </xf>
    <xf numFmtId="0" fontId="65" fillId="0" borderId="122">
      <alignment vertical="center"/>
    </xf>
    <xf numFmtId="0" fontId="45" fillId="0" borderId="112">
      <alignment vertical="center"/>
    </xf>
    <xf numFmtId="0" fontId="45" fillId="0" borderId="0">
      <alignment vertical="center"/>
    </xf>
    <xf numFmtId="0" fontId="66" fillId="52" borderId="0">
      <alignment vertical="center"/>
    </xf>
    <xf numFmtId="0" fontId="67" fillId="0" borderId="0"/>
    <xf numFmtId="196" fontId="68" fillId="0" borderId="123">
      <alignment vertical="center"/>
    </xf>
    <xf numFmtId="0" fontId="58" fillId="67" borderId="117">
      <alignment vertical="center"/>
    </xf>
    <xf numFmtId="197" fontId="50" fillId="0" borderId="0">
      <protection locked="0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0" fillId="0" borderId="0">
      <protection locked="0"/>
    </xf>
    <xf numFmtId="0" fontId="53" fillId="0" borderId="124">
      <protection locked="0"/>
    </xf>
    <xf numFmtId="198" fontId="50" fillId="0" borderId="0">
      <protection locked="0"/>
    </xf>
    <xf numFmtId="177" fontId="50" fillId="0" borderId="0">
      <protection locked="0"/>
    </xf>
    <xf numFmtId="0" fontId="71" fillId="0" borderId="0"/>
    <xf numFmtId="0" fontId="72" fillId="0" borderId="0">
      <alignment vertical="top"/>
      <protection locked="0"/>
    </xf>
    <xf numFmtId="203" fontId="46" fillId="0" borderId="0"/>
    <xf numFmtId="204" fontId="46" fillId="0" borderId="0"/>
    <xf numFmtId="38" fontId="73" fillId="70" borderId="0"/>
    <xf numFmtId="0" fontId="74" fillId="0" borderId="0">
      <alignment horizontal="left"/>
    </xf>
    <xf numFmtId="0" fontId="75" fillId="0" borderId="125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37" fontId="77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10" fontId="79" fillId="0" borderId="0"/>
    <xf numFmtId="0" fontId="76" fillId="0" borderId="0"/>
    <xf numFmtId="0" fontId="44" fillId="0" borderId="0">
      <alignment vertical="center"/>
    </xf>
    <xf numFmtId="0" fontId="80" fillId="0" borderId="0"/>
    <xf numFmtId="38" fontId="70" fillId="0" borderId="0"/>
    <xf numFmtId="41" fontId="44" fillId="0" borderId="0">
      <alignment vertical="center"/>
    </xf>
    <xf numFmtId="0" fontId="81" fillId="0" borderId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60" fillId="0" borderId="119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82" fillId="0" borderId="0">
      <alignment horizontal="left"/>
    </xf>
    <xf numFmtId="209" fontId="46" fillId="0" borderId="0">
      <protection locked="0"/>
    </xf>
    <xf numFmtId="0" fontId="83" fillId="0" borderId="0">
      <alignment horizontal="left"/>
    </xf>
    <xf numFmtId="210" fontId="46" fillId="0" borderId="0">
      <protection locked="0"/>
    </xf>
    <xf numFmtId="211" fontId="46" fillId="0" borderId="0">
      <protection locked="0"/>
    </xf>
    <xf numFmtId="211" fontId="46" fillId="0" borderId="0">
      <protection locked="0"/>
    </xf>
    <xf numFmtId="30" fontId="84" fillId="0" borderId="0">
      <alignment horizontal="left"/>
    </xf>
    <xf numFmtId="40" fontId="85" fillId="0" borderId="0">
      <alignment horizontal="right"/>
    </xf>
    <xf numFmtId="211" fontId="46" fillId="0" borderId="128">
      <protection locked="0"/>
    </xf>
    <xf numFmtId="0" fontId="45" fillId="0" borderId="112">
      <alignment vertical="center"/>
    </xf>
    <xf numFmtId="9" fontId="86" fillId="0" borderId="0">
      <alignment vertical="center"/>
    </xf>
    <xf numFmtId="9" fontId="87" fillId="0" borderId="0">
      <alignment vertical="center"/>
    </xf>
    <xf numFmtId="9" fontId="44" fillId="0" borderId="0">
      <alignment vertical="center"/>
    </xf>
    <xf numFmtId="0" fontId="50" fillId="0" borderId="0">
      <alignment horizontal="center" vertical="top"/>
    </xf>
    <xf numFmtId="41" fontId="87" fillId="0" borderId="0">
      <alignment vertical="center"/>
    </xf>
    <xf numFmtId="41" fontId="44" fillId="0" borderId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86" fillId="0" borderId="0">
      <alignment vertical="center"/>
    </xf>
    <xf numFmtId="0" fontId="44" fillId="0" borderId="0">
      <alignment vertical="center"/>
    </xf>
    <xf numFmtId="213" fontId="88" fillId="0" borderId="0">
      <alignment horizontal="right" vertical="top"/>
    </xf>
    <xf numFmtId="0" fontId="89" fillId="0" borderId="129">
      <alignment horizontal="right" wrapText="1"/>
    </xf>
    <xf numFmtId="214" fontId="90" fillId="0" borderId="129">
      <alignment horizontal="left"/>
    </xf>
    <xf numFmtId="0" fontId="88" fillId="0" borderId="0">
      <alignment horizontal="left" vertical="top" wrapText="1"/>
    </xf>
    <xf numFmtId="215" fontId="79" fillId="0" borderId="0"/>
    <xf numFmtId="41" fontId="86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43" fillId="25" borderId="115">
      <alignment vertical="center"/>
    </xf>
    <xf numFmtId="0" fontId="70" fillId="0" borderId="0">
      <protection locked="0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70" fillId="0" borderId="0">
      <protection locked="0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70" fillId="0" borderId="0">
      <protection locked="0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70" fillId="0" borderId="0">
      <protection locked="0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0" fillId="0" borderId="0">
      <protection locked="0"/>
    </xf>
    <xf numFmtId="0" fontId="45" fillId="0" borderId="112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0" fontId="70" fillId="0" borderId="0">
      <protection locked="0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70" fillId="0" borderId="0">
      <protection locked="0"/>
    </xf>
    <xf numFmtId="0" fontId="70" fillId="0" borderId="0">
      <protection locked="0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0" fontId="70" fillId="0" borderId="0">
      <protection locked="0"/>
    </xf>
    <xf numFmtId="0" fontId="56" fillId="69" borderId="116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0" fillId="0" borderId="0">
      <protection locked="0"/>
    </xf>
    <xf numFmtId="0" fontId="60" fillId="0" borderId="119">
      <alignment vertical="center"/>
    </xf>
    <xf numFmtId="0" fontId="75" fillId="0" borderId="126">
      <alignment horizontal="left"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6" fillId="0" borderId="127"/>
    <xf numFmtId="0" fontId="70" fillId="0" borderId="0">
      <protection locked="0"/>
    </xf>
    <xf numFmtId="0" fontId="60" fillId="0" borderId="119">
      <alignment vertical="center"/>
    </xf>
    <xf numFmtId="0" fontId="43" fillId="25" borderId="115">
      <alignment vertical="center"/>
    </xf>
    <xf numFmtId="0" fontId="70" fillId="0" borderId="0">
      <protection locked="0"/>
    </xf>
    <xf numFmtId="193" fontId="43" fillId="0" borderId="114">
      <alignment horizontal="right" vertical="center" shrinkToFit="1"/>
    </xf>
    <xf numFmtId="0" fontId="70" fillId="0" borderId="0">
      <protection locked="0"/>
    </xf>
    <xf numFmtId="0" fontId="76" fillId="0" borderId="127"/>
    <xf numFmtId="0" fontId="70" fillId="0" borderId="0">
      <protection locked="0"/>
    </xf>
    <xf numFmtId="0" fontId="45" fillId="0" borderId="112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70" fillId="0" borderId="0">
      <protection locked="0"/>
    </xf>
    <xf numFmtId="10" fontId="73" fillId="70" borderId="114"/>
    <xf numFmtId="0" fontId="58" fillId="67" borderId="117">
      <alignment vertical="center"/>
    </xf>
    <xf numFmtId="0" fontId="70" fillId="0" borderId="0">
      <protection locked="0"/>
    </xf>
    <xf numFmtId="0" fontId="62" fillId="22" borderId="113">
      <alignment vertical="center"/>
    </xf>
    <xf numFmtId="0" fontId="70" fillId="0" borderId="0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70" fillId="0" borderId="0">
      <protection locked="0"/>
    </xf>
    <xf numFmtId="0" fontId="70" fillId="0" borderId="0">
      <protection locked="0"/>
    </xf>
    <xf numFmtId="0" fontId="49" fillId="67" borderId="113">
      <alignment vertical="center"/>
    </xf>
    <xf numFmtId="0" fontId="70" fillId="0" borderId="0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0" fillId="0" borderId="0">
      <protection locked="0"/>
    </xf>
    <xf numFmtId="0" fontId="61" fillId="0" borderId="120">
      <alignment vertical="center"/>
    </xf>
    <xf numFmtId="0" fontId="70" fillId="0" borderId="0">
      <protection locked="0"/>
    </xf>
    <xf numFmtId="0" fontId="58" fillId="67" borderId="117">
      <alignment vertical="center"/>
    </xf>
    <xf numFmtId="0" fontId="70" fillId="0" borderId="0">
      <protection locked="0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0" fontId="70" fillId="0" borderId="0">
      <protection locked="0"/>
    </xf>
    <xf numFmtId="10" fontId="73" fillId="70" borderId="114"/>
    <xf numFmtId="0" fontId="76" fillId="0" borderId="127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70" fillId="0" borderId="0">
      <protection locked="0"/>
    </xf>
    <xf numFmtId="0" fontId="45" fillId="0" borderId="112">
      <alignment vertical="center"/>
    </xf>
    <xf numFmtId="0" fontId="60" fillId="0" borderId="119">
      <alignment vertical="center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61" fillId="0" borderId="120">
      <alignment vertical="center"/>
    </xf>
    <xf numFmtId="0" fontId="43" fillId="25" borderId="115">
      <alignment vertical="center"/>
    </xf>
    <xf numFmtId="0" fontId="70" fillId="0" borderId="0">
      <protection locked="0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70" fillId="0" borderId="0">
      <protection locked="0"/>
    </xf>
    <xf numFmtId="0" fontId="70" fillId="0" borderId="0">
      <protection locked="0"/>
    </xf>
    <xf numFmtId="0" fontId="43" fillId="25" borderId="115">
      <alignment vertical="center"/>
    </xf>
    <xf numFmtId="0" fontId="61" fillId="0" borderId="120">
      <alignment vertical="center"/>
    </xf>
    <xf numFmtId="0" fontId="70" fillId="0" borderId="0">
      <protection locked="0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0" borderId="0"/>
    <xf numFmtId="0" fontId="44" fillId="0" borderId="0">
      <alignment vertical="center"/>
    </xf>
    <xf numFmtId="0" fontId="47" fillId="71" borderId="0">
      <alignment vertical="center"/>
    </xf>
    <xf numFmtId="0" fontId="91" fillId="21" borderId="0">
      <alignment vertical="center"/>
    </xf>
    <xf numFmtId="0" fontId="92" fillId="19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9" fontId="44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41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9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9" fontId="43" fillId="0" borderId="0"/>
    <xf numFmtId="0" fontId="45" fillId="0" borderId="112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5" fillId="0" borderId="112">
      <alignment vertical="center"/>
    </xf>
    <xf numFmtId="0" fontId="58" fillId="67" borderId="117">
      <alignment vertical="center"/>
    </xf>
    <xf numFmtId="0" fontId="53" fillId="0" borderId="124">
      <protection locked="0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0" fontId="44" fillId="0" borderId="0">
      <alignment vertical="center"/>
    </xf>
    <xf numFmtId="0" fontId="60" fillId="0" borderId="119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45" fillId="0" borderId="112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5" fillId="0" borderId="112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0" fillId="0" borderId="119">
      <alignment vertical="center"/>
    </xf>
    <xf numFmtId="0" fontId="75" fillId="0" borderId="126">
      <alignment horizontal="left" vertical="center"/>
    </xf>
    <xf numFmtId="0" fontId="76" fillId="0" borderId="127"/>
    <xf numFmtId="0" fontId="60" fillId="0" borderId="119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76" fillId="0" borderId="127"/>
    <xf numFmtId="0" fontId="45" fillId="0" borderId="112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9" fontId="44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41" fontId="44" fillId="0" borderId="0">
      <alignment vertical="center"/>
    </xf>
    <xf numFmtId="0" fontId="45" fillId="0" borderId="112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5" fillId="0" borderId="112">
      <alignment vertical="center"/>
    </xf>
    <xf numFmtId="0" fontId="58" fillId="67" borderId="117">
      <alignment vertical="center"/>
    </xf>
    <xf numFmtId="0" fontId="53" fillId="0" borderId="124">
      <protection locked="0"/>
    </xf>
    <xf numFmtId="0" fontId="75" fillId="0" borderId="126">
      <alignment horizontal="left" vertical="center"/>
    </xf>
    <xf numFmtId="10" fontId="73" fillId="70" borderId="114"/>
    <xf numFmtId="0" fontId="76" fillId="0" borderId="127"/>
    <xf numFmtId="0" fontId="44" fillId="0" borderId="0">
      <alignment vertical="center"/>
    </xf>
    <xf numFmtId="0" fontId="60" fillId="0" borderId="119">
      <alignment vertical="center"/>
    </xf>
    <xf numFmtId="0" fontId="44" fillId="0" borderId="0">
      <alignment vertical="center"/>
    </xf>
    <xf numFmtId="0" fontId="45" fillId="0" borderId="112">
      <alignment vertical="center"/>
    </xf>
    <xf numFmtId="0" fontId="45" fillId="0" borderId="112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6" fillId="0" borderId="127"/>
    <xf numFmtId="0" fontId="60" fillId="0" borderId="119">
      <alignment vertical="center"/>
    </xf>
    <xf numFmtId="0" fontId="49" fillId="67" borderId="113">
      <alignment vertical="center"/>
    </xf>
    <xf numFmtId="10" fontId="73" fillId="70" borderId="114"/>
    <xf numFmtId="0" fontId="45" fillId="0" borderId="112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45" fillId="0" borderId="112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5" fillId="0" borderId="112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0" fillId="0" borderId="119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76" fillId="0" borderId="127"/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0" fillId="0" borderId="119">
      <alignment vertical="center"/>
    </xf>
    <xf numFmtId="0" fontId="75" fillId="0" borderId="126">
      <alignment horizontal="left" vertical="center"/>
    </xf>
    <xf numFmtId="0" fontId="76" fillId="0" borderId="127"/>
    <xf numFmtId="0" fontId="60" fillId="0" borderId="119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76" fillId="0" borderId="127"/>
    <xf numFmtId="0" fontId="45" fillId="0" borderId="112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60" fillId="0" borderId="119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76" fillId="0" borderId="127"/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76" fillId="0" borderId="127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41" fontId="43" fillId="0" borderId="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69" fillId="0" borderId="0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44" fillId="0" borderId="0">
      <alignment vertical="center"/>
    </xf>
    <xf numFmtId="0" fontId="44" fillId="0" borderId="0">
      <alignment vertical="center"/>
    </xf>
    <xf numFmtId="0" fontId="44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4" fillId="53" borderId="0">
      <alignment vertical="center"/>
    </xf>
    <xf numFmtId="0" fontId="44" fillId="54" borderId="0">
      <alignment vertical="center"/>
    </xf>
    <xf numFmtId="0" fontId="44" fillId="22" borderId="0">
      <alignment vertical="center"/>
    </xf>
    <xf numFmtId="0" fontId="44" fillId="55" borderId="0">
      <alignment vertical="center"/>
    </xf>
    <xf numFmtId="0" fontId="44" fillId="56" borderId="0">
      <alignment vertical="center"/>
    </xf>
    <xf numFmtId="0" fontId="44" fillId="57" borderId="0">
      <alignment vertical="center"/>
    </xf>
    <xf numFmtId="0" fontId="44" fillId="53" borderId="0">
      <alignment vertical="center"/>
    </xf>
    <xf numFmtId="0" fontId="44" fillId="55" borderId="0">
      <alignment vertical="center"/>
    </xf>
    <xf numFmtId="0" fontId="44" fillId="58" borderId="0">
      <alignment vertical="center"/>
    </xf>
    <xf numFmtId="0" fontId="47" fillId="59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47" fillId="62" borderId="0">
      <alignment vertical="center"/>
    </xf>
    <xf numFmtId="0" fontId="43" fillId="0" borderId="0"/>
    <xf numFmtId="0" fontId="43" fillId="0" borderId="0"/>
    <xf numFmtId="212" fontId="4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9" fillId="0" borderId="129">
      <alignment horizontal="right" wrapText="1"/>
    </xf>
    <xf numFmtId="0" fontId="89" fillId="0" borderId="129">
      <alignment horizontal="right" wrapText="1"/>
    </xf>
    <xf numFmtId="0" fontId="89" fillId="0" borderId="129">
      <alignment horizontal="right" wrapText="1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14" fontId="90" fillId="0" borderId="129">
      <alignment horizontal="left"/>
    </xf>
    <xf numFmtId="214" fontId="90" fillId="0" borderId="129">
      <alignment horizontal="left"/>
    </xf>
    <xf numFmtId="214" fontId="90" fillId="0" borderId="129">
      <alignment horizontal="lef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0" fontId="73" fillId="70" borderId="114"/>
    <xf numFmtId="0" fontId="7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11" fontId="46" fillId="0" borderId="128">
      <protection locked="0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7" fillId="63" borderId="0">
      <alignment vertical="center"/>
    </xf>
    <xf numFmtId="0" fontId="47" fillId="64" borderId="0">
      <alignment vertical="center"/>
    </xf>
    <xf numFmtId="0" fontId="47" fillId="65" borderId="0">
      <alignment vertical="center"/>
    </xf>
    <xf numFmtId="0" fontId="47" fillId="61" borderId="0">
      <alignment vertical="center"/>
    </xf>
    <xf numFmtId="0" fontId="47" fillId="66" borderId="0">
      <alignment vertical="center"/>
    </xf>
    <xf numFmtId="0" fontId="48" fillId="0" borderId="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2" fillId="51" borderId="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9" fontId="69" fillId="0" borderId="0">
      <alignment vertical="center"/>
    </xf>
    <xf numFmtId="0" fontId="55" fillId="0" borderId="0">
      <alignment vertical="center"/>
    </xf>
    <xf numFmtId="41" fontId="44" fillId="0" borderId="0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0" fillId="0" borderId="119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4" fillId="0" borderId="121">
      <alignment vertical="center"/>
    </xf>
    <xf numFmtId="0" fontId="65" fillId="0" borderId="122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6" fillId="52" borderId="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44" fillId="0" borderId="0">
      <alignment vertical="center"/>
    </xf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4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3" fillId="0" borderId="0"/>
    <xf numFmtId="0" fontId="43" fillId="0" borderId="0">
      <alignment vertical="center"/>
    </xf>
    <xf numFmtId="0" fontId="69" fillId="0" borderId="0"/>
    <xf numFmtId="0" fontId="62" fillId="22" borderId="113">
      <alignment vertical="center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6" fillId="69" borderId="116">
      <alignment vertical="center"/>
    </xf>
    <xf numFmtId="0" fontId="75" fillId="0" borderId="126">
      <alignment horizontal="left" vertical="center"/>
    </xf>
    <xf numFmtId="10" fontId="73" fillId="70" borderId="114"/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75" fillId="0" borderId="126">
      <alignment horizontal="left" vertical="center"/>
    </xf>
    <xf numFmtId="0" fontId="56" fillId="69" borderId="116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2" fillId="22" borderId="113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0" fontId="43" fillId="25" borderId="115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3" fillId="0" borderId="124">
      <protection locked="0"/>
    </xf>
    <xf numFmtId="214" fontId="90" fillId="0" borderId="129">
      <alignment horizontal="left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10" fontId="73" fillId="70" borderId="114"/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3" fillId="25" borderId="115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49" fillId="67" borderId="113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3" fillId="0" borderId="124">
      <protection locked="0"/>
    </xf>
    <xf numFmtId="0" fontId="62" fillId="22" borderId="113">
      <alignment vertical="center"/>
    </xf>
    <xf numFmtId="0" fontId="43" fillId="25" borderId="115">
      <alignment vertical="center"/>
    </xf>
    <xf numFmtId="0" fontId="44" fillId="0" borderId="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1" fontId="46" fillId="0" borderId="128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4" fillId="0" borderId="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1" fillId="0" borderId="120">
      <alignment vertical="center"/>
    </xf>
    <xf numFmtId="211" fontId="46" fillId="0" borderId="128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10" fontId="73" fillId="70" borderId="114"/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61" fillId="0" borderId="120">
      <alignment vertical="center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56" fillId="69" borderId="116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75" fillId="0" borderId="126">
      <alignment horizontal="left" vertical="center"/>
    </xf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0" fontId="73" fillId="70" borderId="114"/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0" fontId="73" fillId="70" borderId="114"/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53" fillId="0" borderId="124">
      <protection locked="0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3" fillId="0" borderId="124">
      <protection locked="0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6" fillId="69" borderId="116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44" fillId="0" borderId="0">
      <alignment vertical="center"/>
    </xf>
    <xf numFmtId="0" fontId="61" fillId="0" borderId="120">
      <alignment vertical="center"/>
    </xf>
    <xf numFmtId="0" fontId="44" fillId="0" borderId="0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3" fillId="25" borderId="115">
      <alignment vertical="center"/>
    </xf>
    <xf numFmtId="211" fontId="46" fillId="0" borderId="128">
      <protection locked="0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1" fontId="46" fillId="0" borderId="128">
      <protection locked="0"/>
    </xf>
    <xf numFmtId="0" fontId="43" fillId="25" borderId="115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9" fillId="67" borderId="113">
      <alignment vertical="center"/>
    </xf>
    <xf numFmtId="10" fontId="73" fillId="70" borderId="114"/>
    <xf numFmtId="10" fontId="73" fillId="70" borderId="114"/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44" fillId="0" borderId="0">
      <alignment vertical="center"/>
    </xf>
    <xf numFmtId="0" fontId="44" fillId="0" borderId="0">
      <alignment vertical="center"/>
    </xf>
    <xf numFmtId="41" fontId="44" fillId="0" borderId="0">
      <alignment vertical="center"/>
    </xf>
    <xf numFmtId="9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9" fontId="44" fillId="0" borderId="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89" fillId="0" borderId="129">
      <alignment horizontal="right" wrapTex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214" fontId="90" fillId="0" borderId="129">
      <alignment horizontal="left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6" fillId="69" borderId="116">
      <alignment vertical="center"/>
    </xf>
    <xf numFmtId="0" fontId="75" fillId="0" borderId="126">
      <alignment horizontal="left" vertical="center"/>
    </xf>
    <xf numFmtId="10" fontId="73" fillId="70" borderId="114"/>
    <xf numFmtId="0" fontId="53" fillId="0" borderId="124">
      <protection locked="0"/>
    </xf>
    <xf numFmtId="0" fontId="58" fillId="67" borderId="117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2" fillId="22" borderId="113">
      <alignment vertical="center"/>
    </xf>
    <xf numFmtId="0" fontId="58" fillId="67" borderId="117">
      <alignment vertical="center"/>
    </xf>
    <xf numFmtId="10" fontId="73" fillId="70" borderId="114"/>
    <xf numFmtId="0" fontId="75" fillId="0" borderId="126">
      <alignment horizontal="left" vertical="center"/>
    </xf>
    <xf numFmtId="0" fontId="56" fillId="69" borderId="116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2" fillId="22" borderId="113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10" fontId="73" fillId="70" borderId="114"/>
    <xf numFmtId="0" fontId="58" fillId="67" borderId="117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0" fontId="43" fillId="25" borderId="115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3" fillId="0" borderId="124">
      <protection locked="0"/>
    </xf>
    <xf numFmtId="214" fontId="90" fillId="0" borderId="129">
      <alignment horizontal="left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10" fontId="73" fillId="70" borderId="114"/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10" fontId="73" fillId="70" borderId="114"/>
    <xf numFmtId="10" fontId="73" fillId="70" borderId="114"/>
    <xf numFmtId="193" fontId="43" fillId="0" borderId="114">
      <alignment horizontal="right" vertical="center" shrinkToFit="1"/>
    </xf>
    <xf numFmtId="10" fontId="73" fillId="70" borderId="114"/>
    <xf numFmtId="0" fontId="43" fillId="25" borderId="115">
      <alignment vertical="center"/>
    </xf>
    <xf numFmtId="0" fontId="49" fillId="67" borderId="113">
      <alignment vertical="center"/>
    </xf>
    <xf numFmtId="0" fontId="56" fillId="69" borderId="116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49" fillId="67" borderId="113">
      <alignment vertical="center"/>
    </xf>
    <xf numFmtId="0" fontId="75" fillId="0" borderId="126">
      <alignment horizontal="left"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3" fillId="0" borderId="124">
      <protection locked="0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1" fontId="46" fillId="0" borderId="128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61" fillId="0" borderId="120">
      <alignment vertical="center"/>
    </xf>
    <xf numFmtId="211" fontId="46" fillId="0" borderId="128">
      <protection locked="0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10" fontId="73" fillId="70" borderId="114"/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0" fontId="73" fillId="70" borderId="114"/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3" fillId="0" borderId="124">
      <protection locked="0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1" fontId="46" fillId="0" borderId="128">
      <protection locked="0"/>
    </xf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10" fontId="73" fillId="70" borderId="114"/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61" fillId="0" borderId="120">
      <alignment vertical="center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10" fontId="73" fillId="70" borderId="114"/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56" fillId="69" borderId="116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0" fontId="75" fillId="0" borderId="126">
      <alignment horizontal="left" vertical="center"/>
    </xf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75" fillId="0" borderId="126">
      <alignment horizontal="left" vertical="center"/>
    </xf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10" fontId="73" fillId="70" borderId="114"/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6" fillId="69" borderId="116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10" fontId="73" fillId="70" borderId="114"/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0" fontId="73" fillId="70" borderId="114"/>
    <xf numFmtId="0" fontId="62" fillId="22" borderId="113">
      <alignment vertical="center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93" fontId="43" fillId="0" borderId="114">
      <alignment horizontal="right" vertical="center" shrinkToFit="1"/>
    </xf>
    <xf numFmtId="10" fontId="73" fillId="70" borderId="114"/>
    <xf numFmtId="0" fontId="53" fillId="0" borderId="124">
      <protection locked="0"/>
    </xf>
    <xf numFmtId="0" fontId="49" fillId="67" borderId="113">
      <alignment vertical="center"/>
    </xf>
    <xf numFmtId="0" fontId="58" fillId="67" borderId="117">
      <alignment vertical="center"/>
    </xf>
    <xf numFmtId="10" fontId="73" fillId="70" borderId="114"/>
    <xf numFmtId="10" fontId="73" fillId="70" borderId="114"/>
    <xf numFmtId="0" fontId="75" fillId="0" borderId="126">
      <alignment horizontal="left"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3" fillId="0" borderId="124">
      <protection locked="0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53" fillId="0" borderId="124">
      <protection locked="0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10" fontId="73" fillId="70" borderId="114"/>
    <xf numFmtId="0" fontId="62" fillId="22" borderId="113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10" fontId="73" fillId="70" borderId="114"/>
    <xf numFmtId="0" fontId="58" fillId="67" borderId="117">
      <alignment vertical="center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89" fillId="0" borderId="129">
      <alignment horizontal="right" wrapText="1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53" fillId="0" borderId="124">
      <protection locked="0"/>
    </xf>
    <xf numFmtId="0" fontId="58" fillId="67" borderId="117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211" fontId="46" fillId="0" borderId="128">
      <protection locked="0"/>
    </xf>
    <xf numFmtId="0" fontId="49" fillId="67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214" fontId="90" fillId="0" borderId="129">
      <alignment horizontal="left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10" fontId="73" fillId="70" borderId="114"/>
    <xf numFmtId="0" fontId="43" fillId="25" borderId="115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10" fontId="73" fillId="70" borderId="114"/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10" fontId="73" fillId="70" borderId="114"/>
    <xf numFmtId="193" fontId="43" fillId="0" borderId="114">
      <alignment horizontal="right" vertical="center" shrinkToFi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89" fillId="0" borderId="129">
      <alignment horizontal="right" wrapText="1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53" fillId="0" borderId="124">
      <protection locked="0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9" fillId="67" borderId="113">
      <alignment vertical="center"/>
    </xf>
    <xf numFmtId="0" fontId="89" fillId="0" borderId="129">
      <alignment horizontal="right" wrapText="1"/>
    </xf>
    <xf numFmtId="10" fontId="73" fillId="70" borderId="114"/>
    <xf numFmtId="0" fontId="58" fillId="67" borderId="117">
      <alignment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214" fontId="90" fillId="0" borderId="129">
      <alignment horizontal="left"/>
    </xf>
    <xf numFmtId="10" fontId="73" fillId="70" borderId="114"/>
    <xf numFmtId="0" fontId="61" fillId="0" borderId="120">
      <alignment vertical="center"/>
    </xf>
    <xf numFmtId="0" fontId="58" fillId="67" borderId="117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62" fillId="22" borderId="113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0" fontId="75" fillId="0" borderId="126">
      <alignment horizontal="left" vertical="center"/>
    </xf>
    <xf numFmtId="0" fontId="61" fillId="0" borderId="120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49" fillId="67" borderId="113">
      <alignment vertical="center"/>
    </xf>
    <xf numFmtId="0" fontId="61" fillId="0" borderId="120">
      <alignment vertical="center"/>
    </xf>
    <xf numFmtId="10" fontId="73" fillId="70" borderId="114"/>
    <xf numFmtId="214" fontId="90" fillId="0" borderId="129">
      <alignment horizontal="left"/>
    </xf>
    <xf numFmtId="0" fontId="43" fillId="25" borderId="115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89" fillId="0" borderId="129">
      <alignment horizontal="right" wrapText="1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43" fillId="25" borderId="115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89" fillId="0" borderId="129">
      <alignment horizontal="right" wrapText="1"/>
    </xf>
    <xf numFmtId="0" fontId="58" fillId="67" borderId="117">
      <alignment vertical="center"/>
    </xf>
    <xf numFmtId="10" fontId="73" fillId="70" borderId="114"/>
    <xf numFmtId="0" fontId="89" fillId="0" borderId="129">
      <alignment horizontal="right" wrapText="1"/>
    </xf>
    <xf numFmtId="0" fontId="49" fillId="67" borderId="113">
      <alignment vertical="center"/>
    </xf>
    <xf numFmtId="0" fontId="58" fillId="67" borderId="117">
      <alignment vertical="center"/>
    </xf>
    <xf numFmtId="0" fontId="61" fillId="0" borderId="120">
      <alignment vertical="center"/>
    </xf>
    <xf numFmtId="214" fontId="90" fillId="0" borderId="129">
      <alignment horizontal="left"/>
    </xf>
    <xf numFmtId="0" fontId="75" fillId="0" borderId="126">
      <alignment horizontal="left" vertical="center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75" fillId="0" borderId="126">
      <alignment horizontal="left" vertical="center"/>
    </xf>
    <xf numFmtId="0" fontId="58" fillId="67" borderId="117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0" fontId="43" fillId="25" borderId="115">
      <alignment vertical="center"/>
    </xf>
    <xf numFmtId="0" fontId="62" fillId="22" borderId="113">
      <alignment vertical="center"/>
    </xf>
    <xf numFmtId="10" fontId="73" fillId="70" borderId="114"/>
    <xf numFmtId="0" fontId="75" fillId="0" borderId="126">
      <alignment horizontal="left" vertical="center"/>
    </xf>
    <xf numFmtId="0" fontId="49" fillId="67" borderId="113">
      <alignment vertical="center"/>
    </xf>
    <xf numFmtId="0" fontId="43" fillId="25" borderId="115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56" fillId="69" borderId="116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43" fillId="25" borderId="115">
      <alignment vertical="center"/>
    </xf>
    <xf numFmtId="0" fontId="58" fillId="67" borderId="117">
      <alignment vertical="center"/>
    </xf>
    <xf numFmtId="214" fontId="90" fillId="0" borderId="129">
      <alignment horizontal="left"/>
    </xf>
    <xf numFmtId="214" fontId="90" fillId="0" borderId="129">
      <alignment horizontal="left"/>
    </xf>
    <xf numFmtId="0" fontId="43" fillId="25" borderId="115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193" fontId="43" fillId="0" borderId="114">
      <alignment horizontal="right" vertical="center" shrinkToFit="1"/>
    </xf>
    <xf numFmtId="0" fontId="43" fillId="25" borderId="115">
      <alignment vertical="center"/>
    </xf>
    <xf numFmtId="0" fontId="49" fillId="67" borderId="113">
      <alignment vertical="center"/>
    </xf>
    <xf numFmtId="0" fontId="75" fillId="0" borderId="126">
      <alignment horizontal="left" vertical="center"/>
    </xf>
    <xf numFmtId="0" fontId="75" fillId="0" borderId="126">
      <alignment horizontal="left" vertical="center"/>
    </xf>
    <xf numFmtId="10" fontId="73" fillId="70" borderId="114"/>
    <xf numFmtId="0" fontId="61" fillId="0" borderId="120">
      <alignment vertical="center"/>
    </xf>
    <xf numFmtId="193" fontId="43" fillId="0" borderId="114">
      <alignment horizontal="right" vertical="center" shrinkToFit="1"/>
    </xf>
    <xf numFmtId="0" fontId="75" fillId="0" borderId="126">
      <alignment horizontal="left" vertical="center"/>
    </xf>
    <xf numFmtId="0" fontId="43" fillId="25" borderId="115">
      <alignment vertical="center"/>
    </xf>
    <xf numFmtId="211" fontId="46" fillId="0" borderId="128">
      <protection locked="0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49" fillId="67" borderId="113">
      <alignment vertical="center"/>
    </xf>
    <xf numFmtId="0" fontId="61" fillId="0" borderId="120">
      <alignment vertical="center"/>
    </xf>
    <xf numFmtId="0" fontId="61" fillId="0" borderId="120">
      <alignment vertical="center"/>
    </xf>
    <xf numFmtId="0" fontId="43" fillId="25" borderId="115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58" fillId="67" borderId="117">
      <alignment vertical="center"/>
    </xf>
    <xf numFmtId="211" fontId="46" fillId="0" borderId="128">
      <protection locked="0"/>
    </xf>
    <xf numFmtId="0" fontId="43" fillId="25" borderId="115">
      <alignment vertical="center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2" fillId="22" borderId="113">
      <alignment vertical="center"/>
    </xf>
    <xf numFmtId="0" fontId="56" fillId="69" borderId="116">
      <alignment vertical="center"/>
    </xf>
    <xf numFmtId="0" fontId="58" fillId="67" borderId="117">
      <alignment vertical="center"/>
    </xf>
    <xf numFmtId="0" fontId="56" fillId="69" borderId="116">
      <alignment vertical="center"/>
    </xf>
    <xf numFmtId="0" fontId="49" fillId="67" borderId="113">
      <alignment vertical="center"/>
    </xf>
    <xf numFmtId="193" fontId="43" fillId="0" borderId="114">
      <alignment horizontal="right" vertical="center" shrinkToFit="1"/>
    </xf>
    <xf numFmtId="0" fontId="58" fillId="67" borderId="117">
      <alignment vertical="center"/>
    </xf>
    <xf numFmtId="0" fontId="62" fillId="22" borderId="113">
      <alignment vertical="center"/>
    </xf>
    <xf numFmtId="0" fontId="61" fillId="0" borderId="120">
      <alignment vertical="center"/>
    </xf>
    <xf numFmtId="0" fontId="62" fillId="22" borderId="113">
      <alignment vertical="center"/>
    </xf>
    <xf numFmtId="0" fontId="49" fillId="67" borderId="113">
      <alignment vertical="center"/>
    </xf>
    <xf numFmtId="0" fontId="58" fillId="67" borderId="117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62" fillId="22" borderId="113">
      <alignment vertical="center"/>
    </xf>
    <xf numFmtId="193" fontId="43" fillId="0" borderId="114">
      <alignment horizontal="right" vertical="center" shrinkToFit="1"/>
    </xf>
    <xf numFmtId="0" fontId="61" fillId="0" borderId="120">
      <alignment vertical="center"/>
    </xf>
    <xf numFmtId="0" fontId="49" fillId="67" borderId="113">
      <alignment vertical="center"/>
    </xf>
    <xf numFmtId="10" fontId="73" fillId="70" borderId="114"/>
    <xf numFmtId="10" fontId="73" fillId="70" borderId="114"/>
    <xf numFmtId="10" fontId="73" fillId="70" borderId="114"/>
    <xf numFmtId="0" fontId="75" fillId="0" borderId="126">
      <alignment horizontal="left" vertical="center"/>
    </xf>
    <xf numFmtId="193" fontId="43" fillId="0" borderId="114">
      <alignment horizontal="right" vertical="center" shrinkToFit="1"/>
    </xf>
    <xf numFmtId="0" fontId="49" fillId="67" borderId="113">
      <alignment vertical="center"/>
    </xf>
    <xf numFmtId="0" fontId="58" fillId="67" borderId="117">
      <alignment vertical="center"/>
    </xf>
    <xf numFmtId="0" fontId="62" fillId="22" borderId="113">
      <alignment vertical="center"/>
    </xf>
    <xf numFmtId="214" fontId="90" fillId="0" borderId="129">
      <alignment horizontal="left"/>
    </xf>
    <xf numFmtId="0" fontId="49" fillId="67" borderId="113">
      <alignment vertical="center"/>
    </xf>
    <xf numFmtId="0" fontId="75" fillId="0" borderId="126">
      <alignment horizontal="left"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10" fontId="73" fillId="70" borderId="114"/>
    <xf numFmtId="0" fontId="43" fillId="25" borderId="115">
      <alignment vertical="center"/>
    </xf>
    <xf numFmtId="0" fontId="61" fillId="0" borderId="120">
      <alignment vertical="center"/>
    </xf>
    <xf numFmtId="10" fontId="73" fillId="70" borderId="114"/>
    <xf numFmtId="0" fontId="43" fillId="25" borderId="115">
      <alignment vertical="center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0" fontId="89" fillId="0" borderId="129">
      <alignment horizontal="right" wrapText="1"/>
    </xf>
    <xf numFmtId="214" fontId="90" fillId="0" borderId="129">
      <alignment horizontal="left"/>
    </xf>
    <xf numFmtId="41" fontId="44" fillId="0" borderId="0">
      <alignment vertical="center"/>
    </xf>
    <xf numFmtId="9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1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1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21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21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216" fontId="95" fillId="0" borderId="0" applyFont="0" applyFill="0" applyBorder="0" applyAlignment="0" applyProtection="0">
      <alignment vertical="center"/>
    </xf>
    <xf numFmtId="216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0" fontId="93" fillId="0" borderId="0"/>
    <xf numFmtId="0" fontId="93" fillId="0" borderId="0"/>
    <xf numFmtId="42" fontId="95" fillId="0" borderId="0" applyFont="0" applyFill="0" applyBorder="0" applyAlignment="0" applyProtection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94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4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0" fontId="99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24" fontId="101" fillId="0" borderId="0" applyFont="0" applyFill="0" applyBorder="0" applyAlignment="0" applyProtection="0"/>
    <xf numFmtId="189" fontId="19" fillId="0" borderId="0" applyNumberFormat="0" applyFont="0" applyFill="0" applyBorder="0" applyAlignment="0" applyProtection="0"/>
    <xf numFmtId="189" fontId="19" fillId="0" borderId="0" applyNumberFormat="0" applyFont="0" applyFill="0" applyBorder="0" applyAlignment="0" applyProtection="0"/>
    <xf numFmtId="217" fontId="19" fillId="0" borderId="0" applyNumberFormat="0" applyFont="0" applyFill="0" applyBorder="0" applyAlignment="0" applyProtection="0"/>
    <xf numFmtId="0" fontId="98" fillId="0" borderId="0"/>
    <xf numFmtId="0" fontId="98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2" fillId="0" borderId="0"/>
    <xf numFmtId="0" fontId="93" fillId="0" borderId="0">
      <alignment vertical="top"/>
    </xf>
    <xf numFmtId="0" fontId="103" fillId="27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95" fillId="72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95" fillId="73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0" fontId="95" fillId="74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95" fillId="75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95" fillId="76" borderId="0" applyNumberFormat="0" applyBorder="0" applyAlignment="0" applyProtection="0">
      <alignment vertical="center"/>
    </xf>
    <xf numFmtId="0" fontId="103" fillId="47" borderId="0" applyNumberFormat="0" applyBorder="0" applyAlignment="0" applyProtection="0">
      <alignment vertical="center"/>
    </xf>
    <xf numFmtId="0" fontId="103" fillId="47" borderId="0" applyNumberFormat="0" applyBorder="0" applyAlignment="0" applyProtection="0">
      <alignment vertical="center"/>
    </xf>
    <xf numFmtId="0" fontId="95" fillId="7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95" fillId="78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95" fillId="79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95" fillId="80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95" fillId="75" borderId="0" applyNumberFormat="0" applyBorder="0" applyAlignment="0" applyProtection="0">
      <alignment vertical="center"/>
    </xf>
    <xf numFmtId="0" fontId="103" fillId="44" borderId="0" applyNumberFormat="0" applyBorder="0" applyAlignment="0" applyProtection="0">
      <alignment vertical="center"/>
    </xf>
    <xf numFmtId="0" fontId="103" fillId="44" borderId="0" applyNumberFormat="0" applyBorder="0" applyAlignment="0" applyProtection="0">
      <alignment vertical="center"/>
    </xf>
    <xf numFmtId="0" fontId="95" fillId="78" borderId="0" applyNumberFormat="0" applyBorder="0" applyAlignment="0" applyProtection="0">
      <alignment vertical="center"/>
    </xf>
    <xf numFmtId="0" fontId="103" fillId="48" borderId="0" applyNumberFormat="0" applyBorder="0" applyAlignment="0" applyProtection="0">
      <alignment vertical="center"/>
    </xf>
    <xf numFmtId="0" fontId="103" fillId="48" borderId="0" applyNumberFormat="0" applyBorder="0" applyAlignment="0" applyProtection="0">
      <alignment vertical="center"/>
    </xf>
    <xf numFmtId="0" fontId="95" fillId="81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5" fillId="8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79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0" fontId="105" fillId="80" borderId="0" applyNumberFormat="0" applyBorder="0" applyAlignment="0" applyProtection="0">
      <alignment vertical="center"/>
    </xf>
    <xf numFmtId="0" fontId="104" fillId="41" borderId="0" applyNumberFormat="0" applyBorder="0" applyAlignment="0" applyProtection="0">
      <alignment vertical="center"/>
    </xf>
    <xf numFmtId="0" fontId="104" fillId="41" borderId="0" applyNumberFormat="0" applyBorder="0" applyAlignment="0" applyProtection="0">
      <alignment vertical="center"/>
    </xf>
    <xf numFmtId="0" fontId="105" fillId="83" borderId="0" applyNumberFormat="0" applyBorder="0" applyAlignment="0" applyProtection="0">
      <alignment vertical="center"/>
    </xf>
    <xf numFmtId="0" fontId="104" fillId="45" borderId="0" applyNumberFormat="0" applyBorder="0" applyAlignment="0" applyProtection="0">
      <alignment vertical="center"/>
    </xf>
    <xf numFmtId="0" fontId="104" fillId="45" borderId="0" applyNumberFormat="0" applyBorder="0" applyAlignment="0" applyProtection="0">
      <alignment vertical="center"/>
    </xf>
    <xf numFmtId="0" fontId="105" fillId="84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5" fillId="85" borderId="0" applyNumberFormat="0" applyBorder="0" applyAlignment="0" applyProtection="0">
      <alignment vertical="center"/>
    </xf>
    <xf numFmtId="0" fontId="108" fillId="0" borderId="0" applyFont="0" applyFill="0" applyBorder="0" applyAlignment="0" applyProtection="0"/>
    <xf numFmtId="0" fontId="111" fillId="0" borderId="0"/>
    <xf numFmtId="0" fontId="107" fillId="0" borderId="0"/>
    <xf numFmtId="0" fontId="112" fillId="0" borderId="0"/>
    <xf numFmtId="0" fontId="108" fillId="0" borderId="0"/>
    <xf numFmtId="0" fontId="110" fillId="0" borderId="0"/>
    <xf numFmtId="0" fontId="110" fillId="0" borderId="0"/>
    <xf numFmtId="0" fontId="108" fillId="0" borderId="0"/>
    <xf numFmtId="0" fontId="109" fillId="0" borderId="0"/>
    <xf numFmtId="0" fontId="19" fillId="0" borderId="0"/>
    <xf numFmtId="0" fontId="24" fillId="0" borderId="0"/>
    <xf numFmtId="0" fontId="108" fillId="0" borderId="0"/>
    <xf numFmtId="0" fontId="24" fillId="0" borderId="0"/>
    <xf numFmtId="0" fontId="19" fillId="0" borderId="0"/>
    <xf numFmtId="0" fontId="24" fillId="0" borderId="0"/>
    <xf numFmtId="0" fontId="108" fillId="0" borderId="0"/>
    <xf numFmtId="0" fontId="24" fillId="0" borderId="0"/>
    <xf numFmtId="0" fontId="108" fillId="0" borderId="0"/>
    <xf numFmtId="0" fontId="19" fillId="0" borderId="0"/>
    <xf numFmtId="0" fontId="109" fillId="0" borderId="0"/>
    <xf numFmtId="0" fontId="19" fillId="0" borderId="0"/>
    <xf numFmtId="0" fontId="24" fillId="0" borderId="0"/>
    <xf numFmtId="0" fontId="108" fillId="0" borderId="0"/>
    <xf numFmtId="0" fontId="24" fillId="0" borderId="0"/>
    <xf numFmtId="0" fontId="19" fillId="0" borderId="0"/>
    <xf numFmtId="0" fontId="24" fillId="0" borderId="0"/>
    <xf numFmtId="0" fontId="108" fillId="0" borderId="0"/>
    <xf numFmtId="0" fontId="19" fillId="0" borderId="0"/>
    <xf numFmtId="0" fontId="19" fillId="0" borderId="0"/>
    <xf numFmtId="0" fontId="24" fillId="0" borderId="0"/>
    <xf numFmtId="0" fontId="108" fillId="0" borderId="0"/>
    <xf numFmtId="0" fontId="19" fillId="0" borderId="0"/>
    <xf numFmtId="0" fontId="108" fillId="0" borderId="0"/>
    <xf numFmtId="0" fontId="19" fillId="0" borderId="0"/>
    <xf numFmtId="0" fontId="108" fillId="0" borderId="0"/>
    <xf numFmtId="0" fontId="109" fillId="0" borderId="0"/>
    <xf numFmtId="0" fontId="19" fillId="0" borderId="0"/>
    <xf numFmtId="0" fontId="24" fillId="0" borderId="0"/>
    <xf numFmtId="0" fontId="108" fillId="0" borderId="0"/>
    <xf numFmtId="0" fontId="24" fillId="0" borderId="0"/>
    <xf numFmtId="0" fontId="19" fillId="0" borderId="0"/>
    <xf numFmtId="0" fontId="24" fillId="0" borderId="0"/>
    <xf numFmtId="0" fontId="108" fillId="0" borderId="0"/>
    <xf numFmtId="0" fontId="19" fillId="0" borderId="0"/>
    <xf numFmtId="0" fontId="19" fillId="0" borderId="0"/>
    <xf numFmtId="0" fontId="24" fillId="0" borderId="0"/>
    <xf numFmtId="0" fontId="108" fillId="0" borderId="0"/>
    <xf numFmtId="0" fontId="19" fillId="0" borderId="0"/>
    <xf numFmtId="0" fontId="108" fillId="0" borderId="0"/>
    <xf numFmtId="0" fontId="19" fillId="0" borderId="0"/>
    <xf numFmtId="0" fontId="109" fillId="0" borderId="0"/>
    <xf numFmtId="0" fontId="113" fillId="0" borderId="0"/>
    <xf numFmtId="0" fontId="111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1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3" fillId="0" borderId="0"/>
    <xf numFmtId="0" fontId="111" fillId="0" borderId="0"/>
    <xf numFmtId="0" fontId="109" fillId="0" borderId="0"/>
    <xf numFmtId="0" fontId="19" fillId="0" borderId="0" applyFill="0" applyBorder="0" applyAlignment="0"/>
    <xf numFmtId="219" fontId="114" fillId="0" borderId="0" applyFill="0" applyBorder="0" applyAlignment="0"/>
    <xf numFmtId="0" fontId="115" fillId="0" borderId="0"/>
    <xf numFmtId="0" fontId="116" fillId="0" borderId="0" applyNumberFormat="0" applyFill="0" applyBorder="0" applyAlignment="0" applyProtection="0">
      <alignment vertical="top"/>
      <protection locked="0"/>
    </xf>
    <xf numFmtId="4" fontId="117" fillId="0" borderId="0">
      <protection locked="0"/>
    </xf>
    <xf numFmtId="220" fontId="19" fillId="0" borderId="0"/>
    <xf numFmtId="221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1" fontId="19" fillId="0" borderId="0"/>
    <xf numFmtId="221" fontId="19" fillId="0" borderId="0"/>
    <xf numFmtId="3" fontId="93" fillId="0" borderId="0" applyFont="0" applyFill="0" applyBorder="0" applyAlignment="0" applyProtection="0"/>
    <xf numFmtId="0" fontId="118" fillId="0" borderId="0" applyNumberFormat="0" applyAlignment="0">
      <alignment horizontal="left"/>
    </xf>
    <xf numFmtId="0" fontId="119" fillId="0" borderId="0" applyFont="0" applyFill="0" applyBorder="0" applyAlignment="0" applyProtection="0"/>
    <xf numFmtId="222" fontId="117" fillId="0" borderId="0">
      <protection locked="0"/>
    </xf>
    <xf numFmtId="223" fontId="120" fillId="0" borderId="0" applyFont="0" applyFill="0" applyBorder="0" applyAlignment="0" applyProtection="0"/>
    <xf numFmtId="0" fontId="98" fillId="0" borderId="0"/>
    <xf numFmtId="224" fontId="19" fillId="0" borderId="0"/>
    <xf numFmtId="220" fontId="19" fillId="0" borderId="0"/>
    <xf numFmtId="224" fontId="19" fillId="0" borderId="0"/>
    <xf numFmtId="220" fontId="19" fillId="0" borderId="0"/>
    <xf numFmtId="220" fontId="19" fillId="0" borderId="0"/>
    <xf numFmtId="224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0" fontId="19" fillId="0" borderId="0"/>
    <xf numFmtId="224" fontId="19" fillId="0" borderId="0"/>
    <xf numFmtId="224" fontId="19" fillId="0" borderId="0"/>
    <xf numFmtId="0" fontId="98" fillId="0" borderId="0"/>
    <xf numFmtId="0" fontId="98" fillId="0" borderId="0"/>
    <xf numFmtId="225" fontId="19" fillId="0" borderId="0" applyFont="0" applyFill="0" applyBorder="0" applyAlignment="0" applyProtection="0"/>
    <xf numFmtId="225" fontId="19" fillId="0" borderId="0" applyFont="0" applyFill="0" applyBorder="0" applyAlignment="0" applyProtection="0"/>
    <xf numFmtId="226" fontId="121" fillId="0" borderId="0" applyFont="0" applyFill="0" applyBorder="0" applyAlignment="0" applyProtection="0"/>
    <xf numFmtId="226" fontId="121" fillId="0" borderId="0" applyFont="0" applyFill="0" applyBorder="0" applyAlignment="0" applyProtection="0"/>
    <xf numFmtId="225" fontId="19" fillId="0" borderId="0" applyFont="0" applyFill="0" applyBorder="0" applyAlignment="0" applyProtection="0"/>
    <xf numFmtId="227" fontId="19" fillId="0" borderId="0"/>
    <xf numFmtId="228" fontId="19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7" fontId="19" fillId="0" borderId="0"/>
    <xf numFmtId="228" fontId="19" fillId="0" borderId="0"/>
    <xf numFmtId="228" fontId="19" fillId="0" borderId="0"/>
    <xf numFmtId="0" fontId="122" fillId="0" borderId="0" applyNumberFormat="0" applyAlignment="0">
      <alignment horizontal="left"/>
    </xf>
    <xf numFmtId="229" fontId="117" fillId="0" borderId="0">
      <protection locked="0"/>
    </xf>
    <xf numFmtId="2" fontId="123" fillId="0" borderId="0" applyFill="0" applyBorder="0" applyAlignment="0" applyProtection="0"/>
    <xf numFmtId="229" fontId="117" fillId="0" borderId="0">
      <protection locked="0"/>
    </xf>
    <xf numFmtId="229" fontId="117" fillId="0" borderId="0">
      <protection locked="0"/>
    </xf>
    <xf numFmtId="229" fontId="117" fillId="0" borderId="0">
      <protection locked="0"/>
    </xf>
    <xf numFmtId="229" fontId="117" fillId="0" borderId="0">
      <protection locked="0"/>
    </xf>
    <xf numFmtId="229" fontId="117" fillId="0" borderId="0">
      <protection locked="0"/>
    </xf>
    <xf numFmtId="229" fontId="117" fillId="0" borderId="0">
      <protection locked="0"/>
    </xf>
    <xf numFmtId="2" fontId="123" fillId="0" borderId="0" applyFill="0" applyBorder="0" applyAlignment="0" applyProtection="0"/>
    <xf numFmtId="2" fontId="123" fillId="0" borderId="0" applyFill="0" applyBorder="0" applyAlignment="0" applyProtection="0"/>
    <xf numFmtId="38" fontId="124" fillId="3" borderId="0" applyNumberFormat="0" applyBorder="0" applyAlignment="0" applyProtection="0"/>
    <xf numFmtId="38" fontId="124" fillId="86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3" borderId="0" applyNumberFormat="0" applyBorder="0" applyAlignment="0" applyProtection="0"/>
    <xf numFmtId="38" fontId="124" fillId="86" borderId="0" applyNumberFormat="0" applyBorder="0" applyAlignment="0" applyProtection="0"/>
    <xf numFmtId="38" fontId="124" fillId="86" borderId="0" applyNumberFormat="0" applyBorder="0" applyAlignment="0" applyProtection="0"/>
    <xf numFmtId="0" fontId="125" fillId="0" borderId="0">
      <alignment horizontal="left"/>
    </xf>
    <xf numFmtId="0" fontId="126" fillId="0" borderId="90" applyNumberFormat="0" applyAlignment="0" applyProtection="0">
      <alignment horizontal="left" vertical="center"/>
    </xf>
    <xf numFmtId="0" fontId="126" fillId="0" borderId="28">
      <alignment horizontal="left" vertical="center"/>
    </xf>
    <xf numFmtId="0" fontId="127" fillId="0" borderId="0" applyNumberFormat="0" applyFill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8" fillId="0" borderId="28" applyNumberFormat="0">
      <alignment horizontal="right" wrapText="1"/>
    </xf>
    <xf numFmtId="230" fontId="129" fillId="0" borderId="0">
      <protection locked="0"/>
    </xf>
    <xf numFmtId="0" fontId="126" fillId="0" borderId="0" applyNumberFormat="0" applyFill="0" applyBorder="0" applyAlignment="0" applyProtection="0"/>
    <xf numFmtId="230" fontId="129" fillId="0" borderId="0">
      <protection locked="0"/>
    </xf>
    <xf numFmtId="230" fontId="129" fillId="0" borderId="0">
      <protection locked="0"/>
    </xf>
    <xf numFmtId="230" fontId="129" fillId="0" borderId="0">
      <protection locked="0"/>
    </xf>
    <xf numFmtId="230" fontId="129" fillId="0" borderId="0">
      <protection locked="0"/>
    </xf>
    <xf numFmtId="230" fontId="129" fillId="0" borderId="0">
      <protection locked="0"/>
    </xf>
    <xf numFmtId="230" fontId="129" fillId="0" borderId="0">
      <protection locked="0"/>
    </xf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10" fontId="124" fillId="87" borderId="26" applyNumberFormat="0" applyBorder="0" applyAlignment="0" applyProtection="0"/>
    <xf numFmtId="10" fontId="124" fillId="87" borderId="26" applyNumberFormat="0" applyBorder="0" applyAlignment="0" applyProtection="0"/>
    <xf numFmtId="10" fontId="124" fillId="86" borderId="26" applyNumberFormat="0" applyBorder="0" applyAlignment="0" applyProtection="0"/>
    <xf numFmtId="10" fontId="124" fillId="87" borderId="26" applyNumberFormat="0" applyBorder="0" applyAlignment="0" applyProtection="0"/>
    <xf numFmtId="10" fontId="124" fillId="87" borderId="26" applyNumberFormat="0" applyBorder="0" applyAlignment="0" applyProtection="0"/>
    <xf numFmtId="10" fontId="124" fillId="86" borderId="26" applyNumberFormat="0" applyBorder="0" applyAlignment="0" applyProtection="0"/>
    <xf numFmtId="10" fontId="124" fillId="87" borderId="26" applyNumberFormat="0" applyBorder="0" applyAlignment="0" applyProtection="0"/>
    <xf numFmtId="10" fontId="124" fillId="87" borderId="26" applyNumberFormat="0" applyBorder="0" applyAlignment="0" applyProtection="0"/>
    <xf numFmtId="0" fontId="131" fillId="0" borderId="47"/>
    <xf numFmtId="0" fontId="131" fillId="0" borderId="47"/>
    <xf numFmtId="0" fontId="131" fillId="0" borderId="47"/>
    <xf numFmtId="231" fontId="98" fillId="0" borderId="0"/>
    <xf numFmtId="231" fontId="98" fillId="0" borderId="0"/>
    <xf numFmtId="232" fontId="98" fillId="0" borderId="0"/>
    <xf numFmtId="233" fontId="114" fillId="0" borderId="0"/>
    <xf numFmtId="232" fontId="98" fillId="0" borderId="0"/>
    <xf numFmtId="233" fontId="114" fillId="0" borderId="0"/>
    <xf numFmtId="233" fontId="114" fillId="0" borderId="0"/>
    <xf numFmtId="232" fontId="98" fillId="0" borderId="0"/>
    <xf numFmtId="233" fontId="114" fillId="0" borderId="0"/>
    <xf numFmtId="233" fontId="114" fillId="0" borderId="0"/>
    <xf numFmtId="234" fontId="98" fillId="0" borderId="0"/>
    <xf numFmtId="234" fontId="98" fillId="0" borderId="0"/>
    <xf numFmtId="234" fontId="98" fillId="0" borderId="0"/>
    <xf numFmtId="234" fontId="98" fillId="0" borderId="0"/>
    <xf numFmtId="234" fontId="98" fillId="0" borderId="0"/>
    <xf numFmtId="234" fontId="98" fillId="0" borderId="0"/>
    <xf numFmtId="232" fontId="98" fillId="0" borderId="0"/>
    <xf numFmtId="232" fontId="98" fillId="0" borderId="0"/>
    <xf numFmtId="231" fontId="98" fillId="0" borderId="0"/>
    <xf numFmtId="235" fontId="117" fillId="0" borderId="0">
      <protection locked="0"/>
    </xf>
    <xf numFmtId="10" fontId="93" fillId="0" borderId="0" applyFont="0" applyFill="0" applyBorder="0" applyAlignment="0" applyProtection="0"/>
    <xf numFmtId="30" fontId="132" fillId="0" borderId="0" applyNumberFormat="0" applyFill="0" applyBorder="0" applyAlignment="0" applyProtection="0">
      <alignment horizontal="left"/>
    </xf>
    <xf numFmtId="0" fontId="19" fillId="0" borderId="0"/>
    <xf numFmtId="0" fontId="1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1" fillId="0" borderId="0"/>
    <xf numFmtId="0" fontId="131" fillId="0" borderId="0"/>
    <xf numFmtId="40" fontId="133" fillId="0" borderId="0" applyBorder="0">
      <alignment horizontal="right"/>
    </xf>
    <xf numFmtId="236" fontId="19" fillId="0" borderId="0" applyFont="0" applyFill="0" applyBorder="0" applyAlignment="0" applyProtection="0"/>
    <xf numFmtId="236" fontId="19" fillId="0" borderId="0" applyFont="0" applyFill="0" applyBorder="0" applyAlignment="0" applyProtection="0"/>
    <xf numFmtId="237" fontId="93" fillId="0" borderId="0" applyFont="0" applyFill="0" applyBorder="0" applyAlignment="0" applyProtection="0"/>
    <xf numFmtId="237" fontId="93" fillId="0" borderId="0" applyFont="0" applyFill="0" applyBorder="0" applyAlignment="0" applyProtection="0"/>
    <xf numFmtId="236" fontId="19" fillId="0" borderId="0" applyFont="0" applyFill="0" applyBorder="0" applyAlignment="0" applyProtection="0"/>
    <xf numFmtId="0" fontId="134" fillId="0" borderId="0" applyFill="0" applyBorder="0" applyProtection="0">
      <alignment horizontal="centerContinuous" vertical="center"/>
    </xf>
    <xf numFmtId="0" fontId="135" fillId="86" borderId="0" applyFill="0" applyBorder="0" applyProtection="0">
      <alignment horizontal="center" vertical="center"/>
    </xf>
    <xf numFmtId="230" fontId="117" fillId="0" borderId="130">
      <protection locked="0"/>
    </xf>
    <xf numFmtId="0" fontId="123" fillId="0" borderId="130" applyNumberFormat="0" applyFill="0" applyAlignment="0" applyProtection="0"/>
    <xf numFmtId="230" fontId="117" fillId="0" borderId="130">
      <protection locked="0"/>
    </xf>
    <xf numFmtId="230" fontId="117" fillId="0" borderId="130">
      <protection locked="0"/>
    </xf>
    <xf numFmtId="230" fontId="117" fillId="0" borderId="130">
      <protection locked="0"/>
    </xf>
    <xf numFmtId="230" fontId="117" fillId="0" borderId="130">
      <protection locked="0"/>
    </xf>
    <xf numFmtId="230" fontId="117" fillId="0" borderId="130">
      <protection locked="0"/>
    </xf>
    <xf numFmtId="230" fontId="117" fillId="0" borderId="130">
      <protection locked="0"/>
    </xf>
    <xf numFmtId="0" fontId="123" fillId="0" borderId="130" applyNumberFormat="0" applyFill="0" applyAlignment="0" applyProtection="0"/>
    <xf numFmtId="0" fontId="123" fillId="0" borderId="130" applyNumberFormat="0" applyFill="0" applyAlignment="0" applyProtection="0"/>
    <xf numFmtId="9" fontId="136" fillId="0" borderId="0" applyNumberFormat="0" applyFill="0" applyBorder="0" applyAlignment="0"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104" fillId="26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5" fillId="88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5" fillId="89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5" fillId="90" borderId="0" applyNumberFormat="0" applyBorder="0" applyAlignment="0" applyProtection="0">
      <alignment vertical="center"/>
    </xf>
    <xf numFmtId="0" fontId="104" fillId="38" borderId="0" applyNumberFormat="0" applyBorder="0" applyAlignment="0" applyProtection="0">
      <alignment vertical="center"/>
    </xf>
    <xf numFmtId="0" fontId="104" fillId="38" borderId="0" applyNumberFormat="0" applyBorder="0" applyAlignment="0" applyProtection="0">
      <alignment vertical="center"/>
    </xf>
    <xf numFmtId="0" fontId="105" fillId="83" borderId="0" applyNumberFormat="0" applyBorder="0" applyAlignment="0" applyProtection="0">
      <alignment vertical="center"/>
    </xf>
    <xf numFmtId="0" fontId="104" fillId="42" borderId="0" applyNumberFormat="0" applyBorder="0" applyAlignment="0" applyProtection="0">
      <alignment vertical="center"/>
    </xf>
    <xf numFmtId="0" fontId="104" fillId="42" borderId="0" applyNumberFormat="0" applyBorder="0" applyAlignment="0" applyProtection="0">
      <alignment vertical="center"/>
    </xf>
    <xf numFmtId="0" fontId="105" fillId="84" borderId="0" applyNumberFormat="0" applyBorder="0" applyAlignment="0" applyProtection="0">
      <alignment vertical="center"/>
    </xf>
    <xf numFmtId="0" fontId="104" fillId="46" borderId="0" applyNumberFormat="0" applyBorder="0" applyAlignment="0" applyProtection="0">
      <alignment vertical="center"/>
    </xf>
    <xf numFmtId="0" fontId="104" fillId="46" borderId="0" applyNumberFormat="0" applyBorder="0" applyAlignment="0" applyProtection="0">
      <alignment vertical="center"/>
    </xf>
    <xf numFmtId="0" fontId="105" fillId="91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23" borderId="105" applyNumberFormat="0" applyAlignment="0" applyProtection="0">
      <alignment vertical="center"/>
    </xf>
    <xf numFmtId="0" fontId="140" fillId="23" borderId="105" applyNumberFormat="0" applyAlignment="0" applyProtection="0">
      <alignment vertical="center"/>
    </xf>
    <xf numFmtId="0" fontId="141" fillId="92" borderId="131" applyNumberFormat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5" fillId="25" borderId="109" applyNumberFormat="0" applyFont="0" applyAlignment="0" applyProtection="0">
      <alignment vertical="center"/>
    </xf>
    <xf numFmtId="0" fontId="145" fillId="25" borderId="109" applyNumberFormat="0" applyFont="0" applyAlignment="0" applyProtection="0">
      <alignment vertical="center"/>
    </xf>
    <xf numFmtId="0" fontId="19" fillId="93" borderId="132" applyNumberFormat="0" applyFont="0" applyAlignment="0" applyProtection="0">
      <alignment vertical="center"/>
    </xf>
    <xf numFmtId="9" fontId="120" fillId="86" borderId="0" applyFill="0" applyBorder="0" applyProtection="0">
      <alignment horizontal="right"/>
    </xf>
    <xf numFmtId="10" fontId="120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9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46" fillId="21" borderId="0" applyNumberFormat="0" applyBorder="0" applyAlignment="0" applyProtection="0">
      <alignment vertical="center"/>
    </xf>
    <xf numFmtId="0" fontId="146" fillId="21" borderId="0" applyNumberFormat="0" applyBorder="0" applyAlignment="0" applyProtection="0">
      <alignment vertical="center"/>
    </xf>
    <xf numFmtId="0" fontId="147" fillId="94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24" borderId="108" applyNumberFormat="0" applyAlignment="0" applyProtection="0">
      <alignment vertical="center"/>
    </xf>
    <xf numFmtId="0" fontId="150" fillId="24" borderId="108" applyNumberFormat="0" applyAlignment="0" applyProtection="0">
      <alignment vertical="center"/>
    </xf>
    <xf numFmtId="0" fontId="151" fillId="95" borderId="133" applyNumberFormat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0" fillId="0" borderId="0" applyFont="0" applyFill="0" applyBorder="0" applyAlignment="0" applyProtection="0"/>
    <xf numFmtId="41" fontId="120" fillId="0" borderId="0" applyFont="0" applyFill="0" applyBorder="0" applyAlignment="0" applyProtection="0"/>
    <xf numFmtId="41" fontId="120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2" fillId="0" borderId="10"/>
    <xf numFmtId="0" fontId="153" fillId="0" borderId="107" applyNumberFormat="0" applyFill="0" applyAlignment="0" applyProtection="0">
      <alignment vertical="center"/>
    </xf>
    <xf numFmtId="0" fontId="153" fillId="0" borderId="107" applyNumberFormat="0" applyFill="0" applyAlignment="0" applyProtection="0">
      <alignment vertical="center"/>
    </xf>
    <xf numFmtId="0" fontId="154" fillId="0" borderId="134" applyNumberFormat="0" applyFill="0" applyAlignment="0" applyProtection="0">
      <alignment vertical="center"/>
    </xf>
    <xf numFmtId="0" fontId="155" fillId="0" borderId="110" applyNumberFormat="0" applyFill="0" applyAlignment="0" applyProtection="0">
      <alignment vertical="center"/>
    </xf>
    <xf numFmtId="0" fontId="155" fillId="0" borderId="110" applyNumberFormat="0" applyFill="0" applyAlignment="0" applyProtection="0">
      <alignment vertical="center"/>
    </xf>
    <xf numFmtId="0" fontId="156" fillId="0" borderId="135" applyNumberFormat="0" applyFill="0" applyAlignment="0" applyProtection="0">
      <alignment vertical="center"/>
    </xf>
    <xf numFmtId="232" fontId="98" fillId="0" borderId="0" applyFont="0" applyFill="0" applyBorder="0" applyAlignment="0" applyProtection="0"/>
    <xf numFmtId="238" fontId="19" fillId="0" borderId="0" applyFont="0" applyFill="0" applyBorder="0" applyAlignment="0" applyProtection="0"/>
    <xf numFmtId="0" fontId="157" fillId="0" borderId="0">
      <alignment vertical="center"/>
    </xf>
    <xf numFmtId="0" fontId="158" fillId="22" borderId="105" applyNumberFormat="0" applyAlignment="0" applyProtection="0">
      <alignment vertical="center"/>
    </xf>
    <xf numFmtId="0" fontId="158" fillId="22" borderId="105" applyNumberFormat="0" applyAlignment="0" applyProtection="0">
      <alignment vertical="center"/>
    </xf>
    <xf numFmtId="0" fontId="159" fillId="77" borderId="131" applyNumberFormat="0" applyAlignment="0" applyProtection="0">
      <alignment vertical="center"/>
    </xf>
    <xf numFmtId="4" fontId="160" fillId="0" borderId="0" applyFont="0" applyFill="0" applyBorder="0" applyAlignment="0" applyProtection="0"/>
    <xf numFmtId="3" fontId="160" fillId="0" borderId="0" applyFont="0" applyFill="0" applyBorder="0" applyAlignment="0" applyProtection="0"/>
    <xf numFmtId="0" fontId="161" fillId="0" borderId="102" applyNumberFormat="0" applyFill="0" applyAlignment="0" applyProtection="0">
      <alignment vertical="center"/>
    </xf>
    <xf numFmtId="0" fontId="161" fillId="0" borderId="102" applyNumberFormat="0" applyFill="0" applyAlignment="0" applyProtection="0">
      <alignment vertical="center"/>
    </xf>
    <xf numFmtId="0" fontId="162" fillId="0" borderId="136" applyNumberFormat="0" applyFill="0" applyAlignment="0" applyProtection="0">
      <alignment vertical="center"/>
    </xf>
    <xf numFmtId="0" fontId="163" fillId="0" borderId="103" applyNumberFormat="0" applyFill="0" applyAlignment="0" applyProtection="0">
      <alignment vertical="center"/>
    </xf>
    <xf numFmtId="0" fontId="163" fillId="0" borderId="103" applyNumberFormat="0" applyFill="0" applyAlignment="0" applyProtection="0">
      <alignment vertical="center"/>
    </xf>
    <xf numFmtId="0" fontId="164" fillId="0" borderId="137" applyNumberFormat="0" applyFill="0" applyAlignment="0" applyProtection="0">
      <alignment vertical="center"/>
    </xf>
    <xf numFmtId="0" fontId="165" fillId="0" borderId="104" applyNumberFormat="0" applyFill="0" applyAlignment="0" applyProtection="0">
      <alignment vertical="center"/>
    </xf>
    <xf numFmtId="0" fontId="165" fillId="0" borderId="104" applyNumberFormat="0" applyFill="0" applyAlignment="0" applyProtection="0">
      <alignment vertical="center"/>
    </xf>
    <xf numFmtId="0" fontId="166" fillId="0" borderId="138" applyNumberFormat="0" applyFill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70" fillId="74" borderId="0" applyNumberFormat="0" applyBorder="0" applyAlignment="0" applyProtection="0">
      <alignment vertical="center"/>
    </xf>
    <xf numFmtId="0" fontId="98" fillId="0" borderId="0"/>
    <xf numFmtId="0" fontId="171" fillId="23" borderId="106" applyNumberFormat="0" applyAlignment="0" applyProtection="0">
      <alignment vertical="center"/>
    </xf>
    <xf numFmtId="0" fontId="171" fillId="23" borderId="106" applyNumberFormat="0" applyAlignment="0" applyProtection="0">
      <alignment vertical="center"/>
    </xf>
    <xf numFmtId="0" fontId="172" fillId="92" borderId="139" applyNumberFormat="0" applyAlignment="0" applyProtection="0">
      <alignment vertical="center"/>
    </xf>
    <xf numFmtId="239" fontId="19" fillId="86" borderId="0" applyFill="0" applyBorder="0" applyProtection="0">
      <alignment horizontal="right"/>
    </xf>
    <xf numFmtId="9" fontId="160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0" fillId="0" borderId="0">
      <alignment vertical="center"/>
    </xf>
    <xf numFmtId="0" fontId="100" fillId="0" borderId="0">
      <alignment vertical="center"/>
    </xf>
    <xf numFmtId="0" fontId="24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97" fillId="0" borderId="0"/>
    <xf numFmtId="0" fontId="19" fillId="0" borderId="0"/>
    <xf numFmtId="0" fontId="1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5" fillId="0" borderId="0">
      <alignment vertical="center"/>
    </xf>
    <xf numFmtId="0" fontId="95" fillId="0" borderId="0">
      <alignment vertical="center"/>
    </xf>
    <xf numFmtId="0" fontId="18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9" fillId="0" borderId="0"/>
    <xf numFmtId="0" fontId="173" fillId="0" borderId="0" applyNumberFormat="0" applyFill="0" applyBorder="0" applyAlignment="0" applyProtection="0">
      <alignment vertical="top"/>
      <protection locked="0"/>
    </xf>
    <xf numFmtId="240" fontId="160" fillId="0" borderId="0" applyFont="0" applyFill="0" applyBorder="0" applyAlignment="0" applyProtection="0"/>
    <xf numFmtId="240" fontId="160" fillId="0" borderId="0" applyFont="0" applyFill="0" applyBorder="0" applyAlignment="0" applyProtection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9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208" fontId="18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14" fillId="0" borderId="0"/>
    <xf numFmtId="0" fontId="93" fillId="0" borderId="0"/>
    <xf numFmtId="0" fontId="93" fillId="0" borderId="0"/>
    <xf numFmtId="242" fontId="21" fillId="3" borderId="0" applyFont="0" applyFill="0" applyBorder="0" applyAlignment="0" applyProtection="0">
      <alignment horizontal="center"/>
    </xf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35" fillId="0" borderId="0"/>
    <xf numFmtId="0" fontId="175" fillId="0" borderId="0"/>
    <xf numFmtId="0" fontId="98" fillId="0" borderId="0"/>
    <xf numFmtId="0" fontId="93" fillId="0" borderId="0"/>
    <xf numFmtId="0" fontId="176" fillId="0" borderId="0"/>
    <xf numFmtId="0" fontId="93" fillId="0" borderId="0"/>
    <xf numFmtId="0" fontId="93" fillId="0" borderId="0"/>
    <xf numFmtId="0" fontId="93" fillId="0" borderId="0"/>
    <xf numFmtId="0" fontId="176" fillId="0" borderId="0"/>
    <xf numFmtId="0" fontId="98" fillId="0" borderId="0"/>
    <xf numFmtId="0" fontId="98" fillId="0" borderId="0"/>
    <xf numFmtId="243" fontId="19" fillId="0" borderId="0" applyFont="0" applyFill="0" applyBorder="0" applyAlignment="0" applyProtection="0"/>
    <xf numFmtId="0" fontId="93" fillId="0" borderId="0"/>
    <xf numFmtId="0" fontId="93" fillId="0" borderId="0"/>
    <xf numFmtId="0" fontId="176" fillId="0" borderId="0"/>
    <xf numFmtId="0" fontId="93" fillId="0" borderId="0"/>
    <xf numFmtId="0" fontId="93" fillId="0" borderId="0"/>
    <xf numFmtId="0" fontId="176" fillId="0" borderId="0"/>
    <xf numFmtId="0" fontId="176" fillId="0" borderId="0"/>
    <xf numFmtId="0" fontId="176" fillId="0" borderId="0"/>
    <xf numFmtId="0" fontId="93" fillId="0" borderId="0"/>
    <xf numFmtId="243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0" fontId="93" fillId="0" borderId="0"/>
    <xf numFmtId="0" fontId="176" fillId="0" borderId="0"/>
    <xf numFmtId="243" fontId="98" fillId="0" borderId="0" applyFont="0" applyFill="0" applyBorder="0" applyAlignment="0" applyProtection="0"/>
    <xf numFmtId="218" fontId="19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43" fontId="93" fillId="0" borderId="0" applyFont="0" applyFill="0" applyBorder="0" applyAlignment="0" applyProtection="0"/>
    <xf numFmtId="0" fontId="93" fillId="0" borderId="0"/>
    <xf numFmtId="0" fontId="93" fillId="0" borderId="0"/>
    <xf numFmtId="0" fontId="123" fillId="0" borderId="0"/>
    <xf numFmtId="0" fontId="93" fillId="0" borderId="0"/>
    <xf numFmtId="243" fontId="98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176" fillId="0" borderId="0"/>
    <xf numFmtId="0" fontId="93" fillId="0" borderId="0"/>
    <xf numFmtId="0" fontId="93" fillId="0" borderId="0"/>
    <xf numFmtId="0" fontId="176" fillId="0" borderId="0"/>
    <xf numFmtId="0" fontId="176" fillId="0" borderId="0"/>
    <xf numFmtId="0" fontId="176" fillId="0" borderId="0"/>
    <xf numFmtId="0" fontId="93" fillId="0" borderId="0"/>
    <xf numFmtId="0" fontId="93" fillId="0" borderId="0"/>
    <xf numFmtId="0" fontId="93" fillId="0" borderId="0"/>
    <xf numFmtId="0" fontId="123" fillId="0" borderId="0"/>
    <xf numFmtId="0" fontId="93" fillId="0" borderId="0"/>
    <xf numFmtId="243" fontId="98" fillId="0" borderId="0" applyFont="0" applyFill="0" applyBorder="0" applyAlignment="0" applyProtection="0"/>
    <xf numFmtId="218" fontId="19" fillId="0" borderId="0" applyFont="0" applyFill="0" applyBorder="0" applyAlignment="0" applyProtection="0"/>
    <xf numFmtId="243" fontId="19" fillId="0" borderId="0" applyFont="0" applyFill="0" applyBorder="0" applyAlignment="0" applyProtection="0"/>
    <xf numFmtId="0" fontId="93" fillId="0" borderId="0"/>
    <xf numFmtId="0" fontId="93" fillId="0" borderId="0"/>
    <xf numFmtId="0" fontId="176" fillId="0" borderId="0"/>
    <xf numFmtId="0" fontId="123" fillId="0" borderId="0"/>
    <xf numFmtId="0" fontId="93" fillId="0" borderId="0"/>
    <xf numFmtId="0" fontId="176" fillId="0" borderId="0"/>
    <xf numFmtId="0" fontId="176" fillId="0" borderId="0"/>
    <xf numFmtId="0" fontId="123" fillId="0" borderId="0"/>
    <xf numFmtId="0" fontId="176" fillId="0" borderId="0"/>
    <xf numFmtId="0" fontId="93" fillId="0" borderId="0"/>
    <xf numFmtId="0" fontId="93" fillId="0" borderId="0"/>
    <xf numFmtId="0" fontId="93" fillId="0" borderId="0"/>
    <xf numFmtId="0" fontId="176" fillId="0" borderId="0"/>
    <xf numFmtId="0" fontId="176" fillId="0" borderId="0"/>
    <xf numFmtId="0" fontId="93" fillId="0" borderId="0"/>
    <xf numFmtId="0" fontId="93" fillId="0" borderId="0"/>
    <xf numFmtId="243" fontId="19" fillId="0" borderId="0" applyFont="0" applyFill="0" applyBorder="0" applyAlignment="0" applyProtection="0"/>
    <xf numFmtId="0" fontId="176" fillId="0" borderId="0"/>
    <xf numFmtId="0" fontId="176" fillId="0" borderId="0"/>
    <xf numFmtId="0" fontId="176" fillId="0" borderId="0"/>
    <xf numFmtId="0" fontId="176" fillId="0" borderId="0"/>
    <xf numFmtId="0" fontId="93" fillId="0" borderId="0"/>
    <xf numFmtId="0" fontId="176" fillId="0" borderId="0"/>
    <xf numFmtId="0" fontId="93" fillId="0" borderId="0"/>
    <xf numFmtId="0" fontId="93" fillId="0" borderId="0"/>
    <xf numFmtId="0" fontId="176" fillId="0" borderId="0"/>
    <xf numFmtId="0" fontId="93" fillId="0" borderId="0"/>
    <xf numFmtId="0" fontId="93" fillId="0" borderId="0"/>
    <xf numFmtId="0" fontId="93" fillId="0" borderId="0"/>
    <xf numFmtId="0" fontId="176" fillId="0" borderId="0"/>
    <xf numFmtId="243" fontId="98" fillId="0" borderId="0" applyFont="0" applyFill="0" applyBorder="0" applyAlignment="0" applyProtection="0"/>
    <xf numFmtId="243" fontId="19" fillId="0" borderId="0" applyFont="0" applyFill="0" applyBorder="0" applyAlignment="0" applyProtection="0"/>
    <xf numFmtId="0" fontId="123" fillId="0" borderId="0"/>
    <xf numFmtId="0" fontId="176" fillId="0" borderId="0"/>
    <xf numFmtId="0" fontId="176" fillId="0" borderId="0"/>
    <xf numFmtId="0" fontId="93" fillId="0" borderId="0"/>
    <xf numFmtId="40" fontId="101" fillId="0" borderId="0" applyFont="0" applyFill="0" applyBorder="0" applyAlignment="0" applyProtection="0"/>
    <xf numFmtId="0" fontId="93" fillId="0" borderId="0"/>
    <xf numFmtId="0" fontId="93" fillId="0" borderId="0"/>
    <xf numFmtId="0" fontId="176" fillId="0" borderId="0"/>
    <xf numFmtId="0" fontId="176" fillId="0" borderId="0"/>
    <xf numFmtId="41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1" fontId="114" fillId="0" borderId="97">
      <alignment horizontal="center" vertical="center"/>
    </xf>
    <xf numFmtId="244" fontId="177" fillId="0" borderId="14">
      <alignment horizontal="center"/>
    </xf>
    <xf numFmtId="0" fontId="98" fillId="0" borderId="0"/>
    <xf numFmtId="9" fontId="109" fillId="0" borderId="0" applyFont="0" applyFill="0" applyBorder="0" applyAlignment="0" applyProtection="0"/>
    <xf numFmtId="0" fontId="95" fillId="72" borderId="0" applyNumberFormat="0" applyBorder="0" applyAlignment="0" applyProtection="0">
      <alignment vertical="center"/>
    </xf>
    <xf numFmtId="0" fontId="95" fillId="73" borderId="0" applyNumberFormat="0" applyBorder="0" applyAlignment="0" applyProtection="0">
      <alignment vertical="center"/>
    </xf>
    <xf numFmtId="0" fontId="95" fillId="74" borderId="0" applyNumberFormat="0" applyBorder="0" applyAlignment="0" applyProtection="0">
      <alignment vertical="center"/>
    </xf>
    <xf numFmtId="0" fontId="95" fillId="75" borderId="0" applyNumberFormat="0" applyBorder="0" applyAlignment="0" applyProtection="0">
      <alignment vertical="center"/>
    </xf>
    <xf numFmtId="0" fontId="95" fillId="76" borderId="0" applyNumberFormat="0" applyBorder="0" applyAlignment="0" applyProtection="0">
      <alignment vertical="center"/>
    </xf>
    <xf numFmtId="0" fontId="95" fillId="77" borderId="0" applyNumberFormat="0" applyBorder="0" applyAlignment="0" applyProtection="0">
      <alignment vertical="center"/>
    </xf>
    <xf numFmtId="245" fontId="98" fillId="0" borderId="0" applyFont="0" applyFill="0" applyBorder="0" applyAlignment="0" applyProtection="0"/>
    <xf numFmtId="246" fontId="98" fillId="0" borderId="0" applyFont="0" applyFill="0" applyBorder="0" applyAlignment="0" applyProtection="0"/>
    <xf numFmtId="0" fontId="95" fillId="78" borderId="0" applyNumberFormat="0" applyBorder="0" applyAlignment="0" applyProtection="0">
      <alignment vertical="center"/>
    </xf>
    <xf numFmtId="0" fontId="95" fillId="79" borderId="0" applyNumberFormat="0" applyBorder="0" applyAlignment="0" applyProtection="0">
      <alignment vertical="center"/>
    </xf>
    <xf numFmtId="0" fontId="95" fillId="80" borderId="0" applyNumberFormat="0" applyBorder="0" applyAlignment="0" applyProtection="0">
      <alignment vertical="center"/>
    </xf>
    <xf numFmtId="0" fontId="95" fillId="75" borderId="0" applyNumberFormat="0" applyBorder="0" applyAlignment="0" applyProtection="0">
      <alignment vertical="center"/>
    </xf>
    <xf numFmtId="0" fontId="95" fillId="78" borderId="0" applyNumberFormat="0" applyBorder="0" applyAlignment="0" applyProtection="0">
      <alignment vertical="center"/>
    </xf>
    <xf numFmtId="0" fontId="95" fillId="81" borderId="0" applyNumberFormat="0" applyBorder="0" applyAlignment="0" applyProtection="0">
      <alignment vertical="center"/>
    </xf>
    <xf numFmtId="9" fontId="98" fillId="0" borderId="0">
      <protection locked="0"/>
    </xf>
    <xf numFmtId="0" fontId="105" fillId="82" borderId="0" applyNumberFormat="0" applyBorder="0" applyAlignment="0" applyProtection="0">
      <alignment vertical="center"/>
    </xf>
    <xf numFmtId="0" fontId="105" fillId="79" borderId="0" applyNumberFormat="0" applyBorder="0" applyAlignment="0" applyProtection="0">
      <alignment vertical="center"/>
    </xf>
    <xf numFmtId="0" fontId="105" fillId="80" borderId="0" applyNumberFormat="0" applyBorder="0" applyAlignment="0" applyProtection="0">
      <alignment vertical="center"/>
    </xf>
    <xf numFmtId="0" fontId="105" fillId="83" borderId="0" applyNumberFormat="0" applyBorder="0" applyAlignment="0" applyProtection="0">
      <alignment vertical="center"/>
    </xf>
    <xf numFmtId="0" fontId="105" fillId="84" borderId="0" applyNumberFormat="0" applyBorder="0" applyAlignment="0" applyProtection="0">
      <alignment vertical="center"/>
    </xf>
    <xf numFmtId="0" fontId="105" fillId="85" borderId="0" applyNumberFormat="0" applyBorder="0" applyAlignment="0" applyProtection="0">
      <alignment vertical="center"/>
    </xf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0" fillId="0" borderId="0" applyFont="0" applyFill="0" applyBorder="0" applyAlignment="0" applyProtection="0"/>
    <xf numFmtId="207" fontId="183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3" fillId="0" borderId="0" applyFont="0" applyFill="0" applyBorder="0" applyAlignment="0" applyProtection="0"/>
    <xf numFmtId="41" fontId="185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2" fillId="0" borderId="0" applyFont="0" applyFill="0" applyBorder="0" applyAlignment="0" applyProtection="0"/>
    <xf numFmtId="0" fontId="181" fillId="0" borderId="0" applyFont="0" applyFill="0" applyBorder="0" applyAlignment="0" applyProtection="0"/>
    <xf numFmtId="0" fontId="180" fillId="0" borderId="0" applyFont="0" applyFill="0" applyBorder="0" applyAlignment="0" applyProtection="0"/>
    <xf numFmtId="208" fontId="183" fillId="0" borderId="0" applyFont="0" applyFill="0" applyBorder="0" applyAlignment="0" applyProtection="0"/>
    <xf numFmtId="208" fontId="186" fillId="0" borderId="0" applyFont="0" applyFill="0" applyBorder="0" applyAlignment="0" applyProtection="0"/>
    <xf numFmtId="0" fontId="183" fillId="0" borderId="0" applyFont="0" applyFill="0" applyBorder="0" applyAlignment="0" applyProtection="0"/>
    <xf numFmtId="43" fontId="185" fillId="0" borderId="0" applyFont="0" applyFill="0" applyBorder="0" applyAlignment="0" applyProtection="0"/>
    <xf numFmtId="207" fontId="187" fillId="0" borderId="0" applyFont="0" applyFill="0" applyBorder="0" applyAlignment="0" applyProtection="0"/>
    <xf numFmtId="208" fontId="187" fillId="0" borderId="0" applyFont="0" applyFill="0" applyBorder="0" applyAlignment="0" applyProtection="0"/>
    <xf numFmtId="0" fontId="105" fillId="88" borderId="0" applyNumberFormat="0" applyBorder="0" applyAlignment="0" applyProtection="0">
      <alignment vertical="center"/>
    </xf>
    <xf numFmtId="0" fontId="105" fillId="89" borderId="0" applyNumberFormat="0" applyBorder="0" applyAlignment="0" applyProtection="0">
      <alignment vertical="center"/>
    </xf>
    <xf numFmtId="0" fontId="105" fillId="90" borderId="0" applyNumberFormat="0" applyBorder="0" applyAlignment="0" applyProtection="0">
      <alignment vertical="center"/>
    </xf>
    <xf numFmtId="0" fontId="105" fillId="83" borderId="0" applyNumberFormat="0" applyBorder="0" applyAlignment="0" applyProtection="0">
      <alignment vertical="center"/>
    </xf>
    <xf numFmtId="0" fontId="105" fillId="84" borderId="0" applyNumberFormat="0" applyBorder="0" applyAlignment="0" applyProtection="0">
      <alignment vertical="center"/>
    </xf>
    <xf numFmtId="0" fontId="105" fillId="91" borderId="0" applyNumberFormat="0" applyBorder="0" applyAlignment="0" applyProtection="0">
      <alignment vertical="center"/>
    </xf>
    <xf numFmtId="0" fontId="117" fillId="0" borderId="0">
      <protection locked="0"/>
    </xf>
    <xf numFmtId="246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247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90" fillId="0" borderId="0" applyFont="0" applyFill="0" applyBorder="0" applyAlignment="0" applyProtection="0"/>
    <xf numFmtId="0" fontId="189" fillId="0" borderId="0" applyFont="0" applyFill="0" applyBorder="0" applyAlignment="0" applyProtection="0"/>
    <xf numFmtId="42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42" fontId="192" fillId="0" borderId="0" applyFont="0" applyFill="0" applyBorder="0" applyAlignment="0" applyProtection="0"/>
    <xf numFmtId="42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243" fontId="108" fillId="0" borderId="0" applyFont="0" applyFill="0" applyBorder="0" applyAlignment="0" applyProtection="0"/>
    <xf numFmtId="243" fontId="188" fillId="0" borderId="0" applyFont="0" applyFill="0" applyBorder="0" applyAlignment="0" applyProtection="0"/>
    <xf numFmtId="248" fontId="93" fillId="0" borderId="0" applyFont="0" applyFill="0" applyBorder="0" applyAlignment="0" applyProtection="0"/>
    <xf numFmtId="248" fontId="93" fillId="0" borderId="0" applyFont="0" applyFill="0" applyBorder="0" applyAlignment="0" applyProtection="0"/>
    <xf numFmtId="42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249" fontId="108" fillId="0" borderId="0" applyFont="0" applyFill="0" applyBorder="0" applyAlignment="0" applyProtection="0"/>
    <xf numFmtId="0" fontId="113" fillId="0" borderId="0" applyFont="0" applyFill="0" applyBorder="0" applyAlignment="0" applyProtection="0"/>
    <xf numFmtId="25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44" fontId="192" fillId="0" borderId="0" applyFont="0" applyFill="0" applyBorder="0" applyAlignment="0" applyProtection="0"/>
    <xf numFmtId="44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44" fontId="192" fillId="0" borderId="0" applyFont="0" applyFill="0" applyBorder="0" applyAlignment="0" applyProtection="0"/>
    <xf numFmtId="44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218" fontId="108" fillId="0" borderId="0" applyFont="0" applyFill="0" applyBorder="0" applyAlignment="0" applyProtection="0"/>
    <xf numFmtId="251" fontId="93" fillId="0" borderId="0" applyFont="0" applyFill="0" applyBorder="0" applyAlignment="0" applyProtection="0"/>
    <xf numFmtId="44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0" fillId="0" borderId="0" applyFont="0" applyFill="0" applyBorder="0" applyAlignment="0" applyProtection="0"/>
    <xf numFmtId="243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243" fontId="187" fillId="0" borderId="0" applyFont="0" applyFill="0" applyBorder="0" applyAlignment="0" applyProtection="0"/>
    <xf numFmtId="218" fontId="187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01" fillId="0" borderId="0"/>
    <xf numFmtId="1" fontId="193" fillId="97" borderId="0" applyBorder="0" applyAlignment="0">
      <protection locked="0"/>
    </xf>
    <xf numFmtId="2" fontId="194" fillId="97" borderId="0" applyBorder="0" applyAlignment="0">
      <protection locked="0"/>
    </xf>
    <xf numFmtId="2" fontId="194" fillId="97" borderId="0" applyBorder="0" applyAlignment="0">
      <protection locked="0"/>
    </xf>
    <xf numFmtId="252" fontId="194" fillId="97" borderId="0" applyBorder="0" applyAlignment="0">
      <protection locked="0"/>
    </xf>
    <xf numFmtId="9" fontId="194" fillId="97" borderId="0" applyBorder="0" applyAlignment="0">
      <protection locked="0"/>
    </xf>
    <xf numFmtId="177" fontId="194" fillId="97" borderId="0" applyBorder="0" applyAlignment="0">
      <protection locked="0"/>
    </xf>
    <xf numFmtId="1" fontId="195" fillId="97" borderId="0" applyBorder="0" applyAlignment="0">
      <protection locked="0"/>
    </xf>
    <xf numFmtId="216" fontId="108" fillId="0" borderId="0" applyFont="0" applyFill="0" applyBorder="0" applyAlignment="0" applyProtection="0"/>
    <xf numFmtId="0" fontId="113" fillId="0" borderId="0" applyFont="0" applyFill="0" applyBorder="0" applyAlignment="0" applyProtection="0"/>
    <xf numFmtId="38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41" fontId="192" fillId="0" borderId="0" applyFont="0" applyFill="0" applyBorder="0" applyAlignment="0" applyProtection="0"/>
    <xf numFmtId="41" fontId="191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41" fontId="192" fillId="0" borderId="0" applyFont="0" applyFill="0" applyBorder="0" applyAlignment="0" applyProtection="0"/>
    <xf numFmtId="41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96" fillId="0" borderId="0" applyFont="0" applyFill="0" applyBorder="0" applyAlignment="0" applyProtection="0"/>
    <xf numFmtId="0" fontId="197" fillId="0" borderId="0" applyFont="0" applyFill="0" applyBorder="0" applyAlignment="0" applyProtection="0"/>
    <xf numFmtId="207" fontId="108" fillId="0" borderId="0" applyFont="0" applyFill="0" applyBorder="0" applyAlignment="0" applyProtection="0"/>
    <xf numFmtId="207" fontId="188" fillId="0" borderId="0" applyFont="0" applyFill="0" applyBorder="0" applyAlignment="0" applyProtection="0"/>
    <xf numFmtId="41" fontId="192" fillId="0" borderId="0" applyFont="0" applyFill="0" applyBorder="0" applyAlignment="0" applyProtection="0"/>
    <xf numFmtId="41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253" fontId="108" fillId="0" borderId="0" applyFont="0" applyFill="0" applyBorder="0" applyAlignment="0" applyProtection="0"/>
    <xf numFmtId="0" fontId="113" fillId="0" borderId="0" applyFont="0" applyFill="0" applyBorder="0" applyAlignment="0" applyProtection="0"/>
    <xf numFmtId="4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43" fontId="192" fillId="0" borderId="0" applyFont="0" applyFill="0" applyBorder="0" applyAlignment="0" applyProtection="0"/>
    <xf numFmtId="43" fontId="191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88" fillId="0" borderId="0" applyFont="0" applyFill="0" applyBorder="0" applyAlignment="0" applyProtection="0"/>
    <xf numFmtId="43" fontId="192" fillId="0" borderId="0" applyFont="0" applyFill="0" applyBorder="0" applyAlignment="0" applyProtection="0"/>
    <xf numFmtId="43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91" fillId="0" borderId="0" applyFont="0" applyFill="0" applyBorder="0" applyAlignment="0" applyProtection="0"/>
    <xf numFmtId="208" fontId="108" fillId="0" borderId="0" applyFont="0" applyFill="0" applyBorder="0" applyAlignment="0" applyProtection="0"/>
    <xf numFmtId="208" fontId="188" fillId="0" borderId="0" applyFont="0" applyFill="0" applyBorder="0" applyAlignment="0" applyProtection="0"/>
    <xf numFmtId="43" fontId="192" fillId="0" borderId="0" applyFont="0" applyFill="0" applyBorder="0" applyAlignment="0" applyProtection="0"/>
    <xf numFmtId="43" fontId="191" fillId="0" borderId="0" applyFont="0" applyFill="0" applyBorder="0" applyAlignment="0" applyProtection="0"/>
    <xf numFmtId="0" fontId="189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93" fillId="0" borderId="0"/>
    <xf numFmtId="254" fontId="93" fillId="0" borderId="0"/>
    <xf numFmtId="255" fontId="93" fillId="0" borderId="0"/>
    <xf numFmtId="256" fontId="93" fillId="0" borderId="0"/>
    <xf numFmtId="0" fontId="143" fillId="73" borderId="0" applyNumberFormat="0" applyBorder="0" applyAlignment="0" applyProtection="0">
      <alignment vertical="center"/>
    </xf>
    <xf numFmtId="257" fontId="19" fillId="0" borderId="0"/>
    <xf numFmtId="257" fontId="19" fillId="0" borderId="0"/>
    <xf numFmtId="0" fontId="191" fillId="0" borderId="0"/>
    <xf numFmtId="0" fontId="198" fillId="0" borderId="0"/>
    <xf numFmtId="0" fontId="179" fillId="0" borderId="0"/>
    <xf numFmtId="0" fontId="180" fillId="0" borderId="0"/>
    <xf numFmtId="0" fontId="199" fillId="0" borderId="0"/>
    <xf numFmtId="0" fontId="200" fillId="0" borderId="0"/>
    <xf numFmtId="0" fontId="179" fillId="0" borderId="0"/>
    <xf numFmtId="0" fontId="182" fillId="0" borderId="0"/>
    <xf numFmtId="0" fontId="179" fillId="0" borderId="0"/>
    <xf numFmtId="0" fontId="201" fillId="0" borderId="0"/>
    <xf numFmtId="0" fontId="202" fillId="0" borderId="0"/>
    <xf numFmtId="0" fontId="201" fillId="0" borderId="0"/>
    <xf numFmtId="0" fontId="202" fillId="0" borderId="0"/>
    <xf numFmtId="0" fontId="186" fillId="0" borderId="0"/>
    <xf numFmtId="0" fontId="203" fillId="0" borderId="0"/>
    <xf numFmtId="0" fontId="182" fillId="0" borderId="0"/>
    <xf numFmtId="0" fontId="179" fillId="0" borderId="0"/>
    <xf numFmtId="0" fontId="184" fillId="0" borderId="0"/>
    <xf numFmtId="0" fontId="204" fillId="0" borderId="0"/>
    <xf numFmtId="0" fontId="205" fillId="0" borderId="0"/>
    <xf numFmtId="0" fontId="204" fillId="0" borderId="0"/>
    <xf numFmtId="0" fontId="182" fillId="0" borderId="0"/>
    <xf numFmtId="0" fontId="93" fillId="0" borderId="0"/>
    <xf numFmtId="0" fontId="93" fillId="0" borderId="0"/>
    <xf numFmtId="0" fontId="93" fillId="0" borderId="0"/>
    <xf numFmtId="0" fontId="205" fillId="0" borderId="0"/>
    <xf numFmtId="0" fontId="206" fillId="0" borderId="0"/>
    <xf numFmtId="0" fontId="93" fillId="0" borderId="0"/>
    <xf numFmtId="0" fontId="206" fillId="0" borderId="0"/>
    <xf numFmtId="0" fontId="190" fillId="0" borderId="0"/>
    <xf numFmtId="0" fontId="206" fillId="0" borderId="0"/>
    <xf numFmtId="0" fontId="184" fillId="0" borderId="0"/>
    <xf numFmtId="0" fontId="202" fillId="0" borderId="0"/>
    <xf numFmtId="0" fontId="180" fillId="0" borderId="0"/>
    <xf numFmtId="0" fontId="207" fillId="0" borderId="0"/>
    <xf numFmtId="0" fontId="108" fillId="0" borderId="0"/>
    <xf numFmtId="0" fontId="113" fillId="0" borderId="0"/>
    <xf numFmtId="0" fontId="208" fillId="0" borderId="0"/>
    <xf numFmtId="0" fontId="192" fillId="0" borderId="0"/>
    <xf numFmtId="0" fontId="209" fillId="0" borderId="0"/>
    <xf numFmtId="0" fontId="189" fillId="0" borderId="0"/>
    <xf numFmtId="0" fontId="188" fillId="0" borderId="0"/>
    <xf numFmtId="0" fontId="192" fillId="0" borderId="0"/>
    <xf numFmtId="0" fontId="209" fillId="0" borderId="0"/>
    <xf numFmtId="0" fontId="93" fillId="0" borderId="0"/>
    <xf numFmtId="0" fontId="93" fillId="0" borderId="0"/>
    <xf numFmtId="0" fontId="93" fillId="0" borderId="0"/>
    <xf numFmtId="0" fontId="210" fillId="0" borderId="0"/>
    <xf numFmtId="0" fontId="189" fillId="0" borderId="0"/>
    <xf numFmtId="0" fontId="188" fillId="0" borderId="0"/>
    <xf numFmtId="0" fontId="211" fillId="0" borderId="0"/>
    <xf numFmtId="0" fontId="188" fillId="0" borderId="0"/>
    <xf numFmtId="0" fontId="189" fillId="0" borderId="0"/>
    <xf numFmtId="0" fontId="188" fillId="0" borderId="0"/>
    <xf numFmtId="0" fontId="211" fillId="0" borderId="0"/>
    <xf numFmtId="37" fontId="189" fillId="0" borderId="0"/>
    <xf numFmtId="37" fontId="188" fillId="0" borderId="0"/>
    <xf numFmtId="0" fontId="192" fillId="0" borderId="0"/>
    <xf numFmtId="0" fontId="188" fillId="0" borderId="0"/>
    <xf numFmtId="0" fontId="189" fillId="0" borderId="0"/>
    <xf numFmtId="0" fontId="188" fillId="0" borderId="0"/>
    <xf numFmtId="0" fontId="189" fillId="0" borderId="0"/>
    <xf numFmtId="0" fontId="188" fillId="0" borderId="0"/>
    <xf numFmtId="0" fontId="212" fillId="0" borderId="0"/>
    <xf numFmtId="0" fontId="208" fillId="0" borderId="0"/>
    <xf numFmtId="0" fontId="212" fillId="0" borderId="0"/>
    <xf numFmtId="0" fontId="208" fillId="0" borderId="0"/>
    <xf numFmtId="0" fontId="213" fillId="0" borderId="0"/>
    <xf numFmtId="0" fontId="214" fillId="0" borderId="0"/>
    <xf numFmtId="0" fontId="189" fillId="0" borderId="0"/>
    <xf numFmtId="0" fontId="188" fillId="0" borderId="0"/>
    <xf numFmtId="0" fontId="108" fillId="0" borderId="0"/>
    <xf numFmtId="0" fontId="188" fillId="0" borderId="0"/>
    <xf numFmtId="0" fontId="189" fillId="0" borderId="0"/>
    <xf numFmtId="0" fontId="215" fillId="0" borderId="0"/>
    <xf numFmtId="0" fontId="123" fillId="0" borderId="0"/>
    <xf numFmtId="0" fontId="189" fillId="0" borderId="0"/>
    <xf numFmtId="0" fontId="188" fillId="0" borderId="0"/>
    <xf numFmtId="0" fontId="189" fillId="0" borderId="0"/>
    <xf numFmtId="0" fontId="188" fillId="0" borderId="0"/>
    <xf numFmtId="0" fontId="216" fillId="0" borderId="0"/>
    <xf numFmtId="3" fontId="209" fillId="0" borderId="0"/>
    <xf numFmtId="0" fontId="213" fillId="0" borderId="0"/>
    <xf numFmtId="0" fontId="214" fillId="0" borderId="0"/>
    <xf numFmtId="0" fontId="217" fillId="0" borderId="0"/>
    <xf numFmtId="0" fontId="188" fillId="0" borderId="0"/>
    <xf numFmtId="0" fontId="214" fillId="0" borderId="0"/>
    <xf numFmtId="0" fontId="217" fillId="0" borderId="0"/>
    <xf numFmtId="0" fontId="211" fillId="0" borderId="0"/>
    <xf numFmtId="258" fontId="218" fillId="0" borderId="0" applyFill="0" applyBorder="0" applyAlignment="0"/>
    <xf numFmtId="259" fontId="219" fillId="0" borderId="0" applyFill="0" applyBorder="0" applyAlignment="0"/>
    <xf numFmtId="260" fontId="218" fillId="0" borderId="0" applyFill="0" applyBorder="0" applyAlignment="0"/>
    <xf numFmtId="261" fontId="218" fillId="0" borderId="0" applyFill="0" applyBorder="0" applyAlignment="0"/>
    <xf numFmtId="262" fontId="218" fillId="0" borderId="0" applyFill="0" applyBorder="0" applyAlignment="0"/>
    <xf numFmtId="263" fontId="218" fillId="0" borderId="0" applyFill="0" applyBorder="0" applyAlignment="0"/>
    <xf numFmtId="258" fontId="218" fillId="0" borderId="0" applyFill="0" applyBorder="0" applyAlignment="0"/>
    <xf numFmtId="0" fontId="141" fillId="92" borderId="152" applyNumberFormat="0" applyAlignment="0" applyProtection="0">
      <alignment vertical="center"/>
    </xf>
    <xf numFmtId="0" fontId="151" fillId="95" borderId="133" applyNumberFormat="0" applyAlignment="0" applyProtection="0">
      <alignment vertical="center"/>
    </xf>
    <xf numFmtId="9" fontId="106" fillId="0" borderId="0" applyFont="0" applyFill="0" applyBorder="0" applyAlignment="0" applyProtection="0"/>
    <xf numFmtId="3" fontId="101" fillId="0" borderId="0" applyFont="0" applyFill="0" applyBorder="0" applyAlignment="0" applyProtection="0"/>
    <xf numFmtId="3" fontId="101" fillId="0" borderId="0" applyFont="0" applyFill="0" applyBorder="0" applyAlignment="0" applyProtection="0"/>
    <xf numFmtId="0" fontId="20" fillId="0" borderId="0" applyFont="0" applyFill="0" applyBorder="0" applyAlignment="0" applyProtection="0"/>
    <xf numFmtId="262" fontId="21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4" fillId="0" borderId="0" applyFont="0" applyFill="0" applyBorder="0" applyAlignment="0" applyProtection="0"/>
    <xf numFmtId="258" fontId="218" fillId="0" borderId="0" applyFont="0" applyFill="0" applyBorder="0" applyAlignment="0" applyProtection="0"/>
    <xf numFmtId="264" fontId="98" fillId="0" borderId="153" applyFill="0" applyBorder="0" applyAlignment="0"/>
    <xf numFmtId="0" fontId="121" fillId="86" borderId="154" applyNumberFormat="0" applyFill="0" applyAlignment="0" applyProtection="0">
      <alignment horizontal="right" shrinkToFit="1"/>
    </xf>
    <xf numFmtId="14" fontId="220" fillId="0" borderId="0" applyFill="0" applyBorder="0" applyAlignment="0"/>
    <xf numFmtId="265" fontId="19" fillId="0" borderId="0">
      <protection locked="0"/>
    </xf>
    <xf numFmtId="38" fontId="101" fillId="0" borderId="155">
      <alignment vertical="center"/>
    </xf>
    <xf numFmtId="38" fontId="101" fillId="0" borderId="0" applyFont="0" applyFill="0" applyBorder="0" applyAlignment="0" applyProtection="0"/>
    <xf numFmtId="40" fontId="101" fillId="0" borderId="0" applyFont="0" applyFill="0" applyBorder="0" applyAlignment="0" applyProtection="0"/>
    <xf numFmtId="262" fontId="218" fillId="0" borderId="0" applyFill="0" applyBorder="0" applyAlignment="0"/>
    <xf numFmtId="258" fontId="218" fillId="0" borderId="0" applyFill="0" applyBorder="0" applyAlignment="0"/>
    <xf numFmtId="262" fontId="218" fillId="0" borderId="0" applyFill="0" applyBorder="0" applyAlignment="0"/>
    <xf numFmtId="263" fontId="218" fillId="0" borderId="0" applyFill="0" applyBorder="0" applyAlignment="0"/>
    <xf numFmtId="258" fontId="218" fillId="0" borderId="0" applyFill="0" applyBorder="0" applyAlignment="0"/>
    <xf numFmtId="0" fontId="149" fillId="0" borderId="0" applyNumberFormat="0" applyFill="0" applyBorder="0" applyAlignment="0" applyProtection="0">
      <alignment vertical="center"/>
    </xf>
    <xf numFmtId="0" fontId="117" fillId="0" borderId="0">
      <protection locked="0"/>
    </xf>
    <xf numFmtId="0" fontId="117" fillId="0" borderId="0">
      <protection locked="0"/>
    </xf>
    <xf numFmtId="0" fontId="22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21" fillId="0" borderId="0">
      <protection locked="0"/>
    </xf>
    <xf numFmtId="1" fontId="93" fillId="0" borderId="0">
      <alignment horizontal="right"/>
    </xf>
    <xf numFmtId="244" fontId="222" fillId="0" borderId="0">
      <alignment horizontal="right"/>
    </xf>
    <xf numFmtId="179" fontId="19" fillId="0" borderId="0"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266" fontId="124" fillId="0" borderId="0">
      <alignment horizontal="left"/>
    </xf>
    <xf numFmtId="0" fontId="170" fillId="74" borderId="0" applyNumberFormat="0" applyBorder="0" applyAlignment="0" applyProtection="0">
      <alignment vertical="center"/>
    </xf>
    <xf numFmtId="267" fontId="19" fillId="0" borderId="0" applyFont="0"/>
    <xf numFmtId="0" fontId="93" fillId="0" borderId="0">
      <alignment wrapText="1"/>
    </xf>
    <xf numFmtId="0" fontId="162" fillId="0" borderId="136" applyNumberFormat="0" applyFill="0" applyAlignment="0" applyProtection="0">
      <alignment vertical="center"/>
    </xf>
    <xf numFmtId="0" fontId="223" fillId="0" borderId="0" applyNumberFormat="0" applyFill="0" applyBorder="0" applyAlignment="0" applyProtection="0"/>
    <xf numFmtId="0" fontId="224" fillId="0" borderId="0">
      <alignment horizontal="center"/>
    </xf>
    <xf numFmtId="0" fontId="164" fillId="0" borderId="137" applyNumberFormat="0" applyFill="0" applyAlignment="0" applyProtection="0">
      <alignment vertical="center"/>
    </xf>
    <xf numFmtId="0" fontId="126" fillId="0" borderId="0" applyNumberFormat="0" applyFill="0" applyBorder="0" applyAlignment="0" applyProtection="0"/>
    <xf numFmtId="0" fontId="225" fillId="0" borderId="0">
      <alignment horizontal="center"/>
    </xf>
    <xf numFmtId="0" fontId="166" fillId="0" borderId="138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226" fillId="0" borderId="0"/>
    <xf numFmtId="0" fontId="227" fillId="0" borderId="0">
      <alignment horizontal="left"/>
    </xf>
    <xf numFmtId="0" fontId="11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218" fontId="98" fillId="0" borderId="0" applyFont="0" applyFill="0" applyBorder="0" applyAlignment="0" applyProtection="0"/>
    <xf numFmtId="0" fontId="159" fillId="77" borderId="152" applyNumberFormat="0" applyAlignment="0" applyProtection="0">
      <alignment vertical="center"/>
    </xf>
    <xf numFmtId="0" fontId="135" fillId="0" borderId="0" applyFont="0" applyFill="0" applyBorder="0" applyAlignment="0" applyProtection="0"/>
    <xf numFmtId="0" fontId="98" fillId="0" borderId="0">
      <alignment vertical="center"/>
    </xf>
    <xf numFmtId="1" fontId="228" fillId="0" borderId="0" applyProtection="0">
      <protection locked="0"/>
    </xf>
    <xf numFmtId="243" fontId="98" fillId="0" borderId="0" applyFont="0" applyFill="0" applyBorder="0" applyAlignment="0" applyProtection="0"/>
    <xf numFmtId="262" fontId="218" fillId="0" borderId="0" applyFill="0" applyBorder="0" applyAlignment="0"/>
    <xf numFmtId="258" fontId="218" fillId="0" borderId="0" applyFill="0" applyBorder="0" applyAlignment="0"/>
    <xf numFmtId="262" fontId="218" fillId="0" borderId="0" applyFill="0" applyBorder="0" applyAlignment="0"/>
    <xf numFmtId="263" fontId="218" fillId="0" borderId="0" applyFill="0" applyBorder="0" applyAlignment="0"/>
    <xf numFmtId="258" fontId="218" fillId="0" borderId="0" applyFill="0" applyBorder="0" applyAlignment="0"/>
    <xf numFmtId="0" fontId="154" fillId="0" borderId="134" applyNumberFormat="0" applyFill="0" applyAlignment="0" applyProtection="0">
      <alignment vertical="center"/>
    </xf>
    <xf numFmtId="43" fontId="93" fillId="0" borderId="0" applyFont="0" applyFill="0" applyBorder="0" applyAlignment="0" applyProtection="0"/>
    <xf numFmtId="208" fontId="93" fillId="0" borderId="0" applyFont="0" applyFill="0" applyBorder="0" applyAlignment="0" applyProtection="0"/>
    <xf numFmtId="38" fontId="101" fillId="0" borderId="0" applyFont="0" applyFill="0" applyBorder="0" applyAlignment="0" applyProtection="0"/>
    <xf numFmtId="40" fontId="101" fillId="0" borderId="0" applyFont="0" applyFill="0" applyBorder="0" applyAlignment="0" applyProtection="0"/>
    <xf numFmtId="268" fontId="101" fillId="0" borderId="0" applyFont="0" applyFill="0" applyBorder="0" applyAlignment="0" applyProtection="0"/>
    <xf numFmtId="247" fontId="93" fillId="0" borderId="0" applyFont="0" applyFill="0" applyBorder="0" applyAlignment="0" applyProtection="0"/>
    <xf numFmtId="0" fontId="147" fillId="94" borderId="0" applyNumberFormat="0" applyBorder="0" applyAlignment="0" applyProtection="0">
      <alignment vertical="center"/>
    </xf>
    <xf numFmtId="0" fontId="229" fillId="0" borderId="111" applyNumberFormat="0" applyFont="0" applyBorder="0" applyProtection="0">
      <alignment horizontal="center" vertical="center"/>
    </xf>
    <xf numFmtId="0" fontId="93" fillId="0" borderId="0"/>
    <xf numFmtId="0" fontId="121" fillId="0" borderId="0" applyFont="0" applyFill="0" applyBorder="0" applyAlignment="0" applyProtection="0">
      <alignment horizontal="centerContinuous"/>
    </xf>
    <xf numFmtId="0" fontId="121" fillId="0" borderId="0" applyFont="0" applyFill="0" applyBorder="0" applyAlignment="0" applyProtection="0">
      <alignment horizontal="centerContinuous"/>
    </xf>
    <xf numFmtId="0" fontId="121" fillId="0" borderId="0" applyFont="0" applyFill="0" applyBorder="0" applyAlignment="0" applyProtection="0">
      <alignment horizontal="centerContinuous"/>
    </xf>
    <xf numFmtId="0" fontId="121" fillId="0" borderId="0" applyFont="0" applyFill="0" applyBorder="0" applyAlignment="0" applyProtection="0">
      <alignment horizontal="centerContinuous"/>
    </xf>
    <xf numFmtId="269" fontId="230" fillId="0" borderId="0"/>
    <xf numFmtId="0" fontId="19" fillId="93" borderId="156" applyNumberFormat="0" applyFont="0" applyAlignment="0" applyProtection="0">
      <alignment vertical="center"/>
    </xf>
    <xf numFmtId="270" fontId="93" fillId="0" borderId="0" applyBorder="0" applyAlignment="0"/>
    <xf numFmtId="0" fontId="121" fillId="0" borderId="0"/>
    <xf numFmtId="0" fontId="172" fillId="92" borderId="157" applyNumberFormat="0" applyAlignment="0" applyProtection="0">
      <alignment vertical="center"/>
    </xf>
    <xf numFmtId="40" fontId="231" fillId="86" borderId="0">
      <alignment horizontal="right"/>
    </xf>
    <xf numFmtId="0" fontId="232" fillId="86" borderId="0">
      <alignment horizontal="right"/>
    </xf>
    <xf numFmtId="0" fontId="233" fillId="86" borderId="18"/>
    <xf numFmtId="0" fontId="233" fillId="0" borderId="0" applyBorder="0">
      <alignment horizontal="centerContinuous"/>
    </xf>
    <xf numFmtId="0" fontId="234" fillId="0" borderId="0" applyBorder="0">
      <alignment horizontal="centerContinuous"/>
    </xf>
    <xf numFmtId="261" fontId="218" fillId="0" borderId="0" applyFont="0" applyFill="0" applyBorder="0" applyAlignment="0" applyProtection="0"/>
    <xf numFmtId="199" fontId="218" fillId="0" borderId="0" applyFont="0" applyFill="0" applyBorder="0" applyAlignment="0" applyProtection="0"/>
    <xf numFmtId="177" fontId="93" fillId="0" borderId="0"/>
    <xf numFmtId="271" fontId="218" fillId="0" borderId="0" applyFont="0" applyFill="0" applyBorder="0" applyAlignment="0" applyProtection="0"/>
    <xf numFmtId="9" fontId="101" fillId="0" borderId="37" applyNumberFormat="0" applyBorder="0"/>
    <xf numFmtId="257" fontId="19" fillId="0" borderId="0"/>
    <xf numFmtId="262" fontId="218" fillId="0" borderId="0" applyFill="0" applyBorder="0" applyAlignment="0"/>
    <xf numFmtId="258" fontId="218" fillId="0" borderId="0" applyFill="0" applyBorder="0" applyAlignment="0"/>
    <xf numFmtId="262" fontId="218" fillId="0" borderId="0" applyFill="0" applyBorder="0" applyAlignment="0"/>
    <xf numFmtId="263" fontId="218" fillId="0" borderId="0" applyFill="0" applyBorder="0" applyAlignment="0"/>
    <xf numFmtId="258" fontId="218" fillId="0" borderId="0" applyFill="0" applyBorder="0" applyAlignment="0"/>
    <xf numFmtId="0" fontId="101" fillId="0" borderId="0" applyNumberFormat="0" applyFont="0" applyFill="0" applyBorder="0" applyAlignment="0" applyProtection="0">
      <alignment horizontal="left"/>
    </xf>
    <xf numFmtId="15" fontId="101" fillId="0" borderId="0" applyFont="0" applyFill="0" applyBorder="0" applyAlignment="0" applyProtection="0"/>
    <xf numFmtId="4" fontId="101" fillId="0" borderId="0" applyFont="0" applyFill="0" applyBorder="0" applyAlignment="0" applyProtection="0"/>
    <xf numFmtId="0" fontId="235" fillId="0" borderId="151">
      <alignment horizontal="center"/>
    </xf>
    <xf numFmtId="3" fontId="101" fillId="0" borderId="0" applyFont="0" applyFill="0" applyBorder="0" applyAlignment="0" applyProtection="0"/>
    <xf numFmtId="0" fontId="101" fillId="98" borderId="0" applyNumberFormat="0" applyFont="0" applyBorder="0" applyAlignment="0" applyProtection="0"/>
    <xf numFmtId="208" fontId="98" fillId="0" borderId="0" applyFont="0" applyFill="0" applyBorder="0" applyAlignment="0" applyProtection="0"/>
    <xf numFmtId="4" fontId="236" fillId="94" borderId="158" applyNumberFormat="0" applyProtection="0">
      <alignment vertical="center"/>
    </xf>
    <xf numFmtId="4" fontId="237" fillId="2" borderId="158" applyNumberFormat="0" applyProtection="0">
      <alignment vertical="center"/>
    </xf>
    <xf numFmtId="4" fontId="236" fillId="2" borderId="158" applyNumberFormat="0" applyProtection="0">
      <alignment horizontal="left" vertical="center" indent="1"/>
    </xf>
    <xf numFmtId="0" fontId="236" fillId="2" borderId="158" applyNumberFormat="0" applyProtection="0">
      <alignment horizontal="left" vertical="top" indent="1"/>
    </xf>
    <xf numFmtId="4" fontId="236" fillId="99" borderId="0" applyNumberFormat="0" applyProtection="0">
      <alignment horizontal="left" vertical="center" indent="1"/>
    </xf>
    <xf numFmtId="4" fontId="220" fillId="73" borderId="158" applyNumberFormat="0" applyProtection="0">
      <alignment horizontal="right" vertical="center"/>
    </xf>
    <xf numFmtId="4" fontId="220" fillId="79" borderId="158" applyNumberFormat="0" applyProtection="0">
      <alignment horizontal="right" vertical="center"/>
    </xf>
    <xf numFmtId="4" fontId="220" fillId="89" borderId="158" applyNumberFormat="0" applyProtection="0">
      <alignment horizontal="right" vertical="center"/>
    </xf>
    <xf numFmtId="4" fontId="220" fillId="81" borderId="158" applyNumberFormat="0" applyProtection="0">
      <alignment horizontal="right" vertical="center"/>
    </xf>
    <xf numFmtId="4" fontId="220" fillId="85" borderId="158" applyNumberFormat="0" applyProtection="0">
      <alignment horizontal="right" vertical="center"/>
    </xf>
    <xf numFmtId="4" fontId="220" fillId="91" borderId="158" applyNumberFormat="0" applyProtection="0">
      <alignment horizontal="right" vertical="center"/>
    </xf>
    <xf numFmtId="4" fontId="220" fillId="90" borderId="158" applyNumberFormat="0" applyProtection="0">
      <alignment horizontal="right" vertical="center"/>
    </xf>
    <xf numFmtId="4" fontId="220" fillId="100" borderId="158" applyNumberFormat="0" applyProtection="0">
      <alignment horizontal="right" vertical="center"/>
    </xf>
    <xf numFmtId="4" fontId="220" fillId="80" borderId="158" applyNumberFormat="0" applyProtection="0">
      <alignment horizontal="right" vertical="center"/>
    </xf>
    <xf numFmtId="4" fontId="236" fillId="101" borderId="159" applyNumberFormat="0" applyProtection="0">
      <alignment horizontal="left" vertical="center" indent="1"/>
    </xf>
    <xf numFmtId="4" fontId="220" fillId="102" borderId="0" applyNumberFormat="0" applyProtection="0">
      <alignment horizontal="left" vertical="center" indent="1"/>
    </xf>
    <xf numFmtId="4" fontId="226" fillId="103" borderId="0" applyNumberFormat="0" applyProtection="0">
      <alignment horizontal="left" vertical="center" indent="1"/>
    </xf>
    <xf numFmtId="4" fontId="220" fillId="104" borderId="158" applyNumberFormat="0" applyProtection="0">
      <alignment horizontal="right" vertical="center"/>
    </xf>
    <xf numFmtId="4" fontId="220" fillId="102" borderId="0" applyNumberFormat="0" applyProtection="0">
      <alignment horizontal="left" vertical="center" indent="1"/>
    </xf>
    <xf numFmtId="4" fontId="220" fillId="99" borderId="0" applyNumberFormat="0" applyProtection="0">
      <alignment horizontal="left" vertical="center" indent="1"/>
    </xf>
    <xf numFmtId="0" fontId="93" fillId="103" borderId="158" applyNumberFormat="0" applyProtection="0">
      <alignment horizontal="left" vertical="center" indent="1"/>
    </xf>
    <xf numFmtId="0" fontId="93" fillId="103" borderId="158" applyNumberFormat="0" applyProtection="0">
      <alignment horizontal="left" vertical="top" indent="1"/>
    </xf>
    <xf numFmtId="0" fontId="93" fillId="99" borderId="158" applyNumberFormat="0" applyProtection="0">
      <alignment horizontal="left" vertical="center" indent="1"/>
    </xf>
    <xf numFmtId="0" fontId="93" fillId="99" borderId="158" applyNumberFormat="0" applyProtection="0">
      <alignment horizontal="left" vertical="top" indent="1"/>
    </xf>
    <xf numFmtId="0" fontId="93" fillId="105" borderId="158" applyNumberFormat="0" applyProtection="0">
      <alignment horizontal="left" vertical="center" indent="1"/>
    </xf>
    <xf numFmtId="0" fontId="93" fillId="105" borderId="158" applyNumberFormat="0" applyProtection="0">
      <alignment horizontal="left" vertical="top" indent="1"/>
    </xf>
    <xf numFmtId="0" fontId="93" fillId="106" borderId="158" applyNumberFormat="0" applyProtection="0">
      <alignment horizontal="left" vertical="center" indent="1"/>
    </xf>
    <xf numFmtId="0" fontId="93" fillId="106" borderId="158" applyNumberFormat="0" applyProtection="0">
      <alignment horizontal="left" vertical="top" indent="1"/>
    </xf>
    <xf numFmtId="4" fontId="220" fillId="87" borderId="158" applyNumberFormat="0" applyProtection="0">
      <alignment vertical="center"/>
    </xf>
    <xf numFmtId="4" fontId="238" fillId="87" borderId="158" applyNumberFormat="0" applyProtection="0">
      <alignment vertical="center"/>
    </xf>
    <xf numFmtId="4" fontId="220" fillId="87" borderId="158" applyNumberFormat="0" applyProtection="0">
      <alignment horizontal="left" vertical="center" indent="1"/>
    </xf>
    <xf numFmtId="0" fontId="220" fillId="87" borderId="158" applyNumberFormat="0" applyProtection="0">
      <alignment horizontal="left" vertical="top" indent="1"/>
    </xf>
    <xf numFmtId="4" fontId="220" fillId="102" borderId="158" applyNumberFormat="0" applyProtection="0">
      <alignment horizontal="right" vertical="center"/>
    </xf>
    <xf numFmtId="4" fontId="238" fillId="102" borderId="158" applyNumberFormat="0" applyProtection="0">
      <alignment horizontal="right" vertical="center"/>
    </xf>
    <xf numFmtId="4" fontId="220" fillId="104" borderId="158" applyNumberFormat="0" applyProtection="0">
      <alignment horizontal="left" vertical="center" indent="1"/>
    </xf>
    <xf numFmtId="0" fontId="220" fillId="99" borderId="158" applyNumberFormat="0" applyProtection="0">
      <alignment horizontal="left" vertical="top" indent="1"/>
    </xf>
    <xf numFmtId="4" fontId="239" fillId="107" borderId="0" applyNumberFormat="0" applyProtection="0">
      <alignment horizontal="left" vertical="center" indent="1"/>
    </xf>
    <xf numFmtId="4" fontId="240" fillId="102" borderId="158" applyNumberFormat="0" applyProtection="0">
      <alignment horizontal="right" vertical="center"/>
    </xf>
    <xf numFmtId="3" fontId="195" fillId="108" borderId="37">
      <alignment horizontal="center"/>
      <protection locked="0"/>
    </xf>
    <xf numFmtId="243" fontId="135" fillId="0" borderId="0" applyFont="0" applyFill="0" applyBorder="0" applyAlignment="0" applyProtection="0"/>
    <xf numFmtId="0" fontId="101" fillId="0" borderId="0"/>
    <xf numFmtId="0" fontId="241" fillId="0" borderId="0"/>
    <xf numFmtId="0" fontId="93" fillId="0" borderId="0" applyNumberFormat="0" applyFont="0" applyFill="0" applyBorder="0" applyAlignment="0" applyProtection="0"/>
    <xf numFmtId="0" fontId="242" fillId="97" borderId="160" applyNumberFormat="0" applyProtection="0">
      <alignment horizontal="right"/>
    </xf>
    <xf numFmtId="0" fontId="242" fillId="97" borderId="161" applyNumberFormat="0" applyProtection="0">
      <alignment horizontal="right"/>
    </xf>
    <xf numFmtId="0" fontId="242" fillId="97" borderId="162" applyNumberFormat="0" applyProtection="0">
      <alignment horizontal="right"/>
    </xf>
    <xf numFmtId="0" fontId="93" fillId="0" borderId="153" applyNumberFormat="0" applyFont="0" applyFill="0" applyProtection="0">
      <alignment horizontal="center"/>
    </xf>
    <xf numFmtId="0" fontId="242" fillId="97" borderId="156" applyNumberFormat="0" applyAlignment="0" applyProtection="0"/>
    <xf numFmtId="0" fontId="127" fillId="0" borderId="160" applyNumberFormat="0" applyFill="0" applyProtection="0">
      <alignment horizontal="right"/>
    </xf>
    <xf numFmtId="0" fontId="127" fillId="0" borderId="161" applyNumberFormat="0" applyFill="0" applyProtection="0">
      <alignment horizontal="right"/>
    </xf>
    <xf numFmtId="0" fontId="127" fillId="0" borderId="162" applyNumberFormat="0" applyFill="0" applyProtection="0">
      <alignment horizontal="right"/>
    </xf>
    <xf numFmtId="272" fontId="93" fillId="86" borderId="163" applyFont="0" applyAlignment="0" applyProtection="0"/>
    <xf numFmtId="272" fontId="93" fillId="86" borderId="0" applyBorder="0" applyAlignment="0" applyProtection="0"/>
    <xf numFmtId="272" fontId="93" fillId="86" borderId="164" applyFont="0" applyAlignment="0" applyProtection="0"/>
    <xf numFmtId="272" fontId="93" fillId="109" borderId="163" applyFont="0" applyAlignment="0" applyProtection="0"/>
    <xf numFmtId="272" fontId="93" fillId="109" borderId="0" applyBorder="0" applyAlignment="0" applyProtection="0"/>
    <xf numFmtId="272" fontId="93" fillId="109" borderId="164" applyFont="0" applyAlignment="0" applyProtection="0"/>
    <xf numFmtId="273" fontId="93" fillId="86" borderId="164" applyFont="0" applyAlignment="0" applyProtection="0"/>
    <xf numFmtId="273" fontId="93" fillId="86" borderId="0" applyBorder="0" applyAlignment="0" applyProtection="0"/>
    <xf numFmtId="273" fontId="93" fillId="109" borderId="0" applyBorder="0" applyAlignment="0" applyProtection="0"/>
    <xf numFmtId="273" fontId="93" fillId="109" borderId="164" applyFont="0" applyAlignment="0" applyProtection="0"/>
    <xf numFmtId="273" fontId="93" fillId="109" borderId="163" applyFont="0" applyAlignment="0" applyProtection="0"/>
    <xf numFmtId="273" fontId="93" fillId="86" borderId="163" applyFont="0" applyAlignment="0" applyProtection="0"/>
    <xf numFmtId="0" fontId="93" fillId="0" borderId="0" applyNumberFormat="0" applyFont="0" applyFill="0" applyBorder="0" applyAlignment="0" applyProtection="0"/>
    <xf numFmtId="0" fontId="242" fillId="97" borderId="160" applyNumberFormat="0" applyProtection="0">
      <alignment horizontal="right"/>
    </xf>
    <xf numFmtId="0" fontId="242" fillId="97" borderId="161" applyNumberFormat="0" applyProtection="0">
      <alignment horizontal="right"/>
    </xf>
    <xf numFmtId="0" fontId="242" fillId="97" borderId="162" applyNumberFormat="0" applyProtection="0">
      <alignment horizontal="right"/>
    </xf>
    <xf numFmtId="0" fontId="93" fillId="0" borderId="153" applyNumberFormat="0" applyFont="0" applyFill="0" applyProtection="0">
      <alignment horizontal="center"/>
    </xf>
    <xf numFmtId="0" fontId="242" fillId="97" borderId="156" applyNumberFormat="0" applyAlignment="0" applyProtection="0"/>
    <xf numFmtId="0" fontId="127" fillId="0" borderId="160" applyNumberFormat="0" applyFill="0" applyProtection="0">
      <alignment horizontal="right"/>
    </xf>
    <xf numFmtId="0" fontId="127" fillId="0" borderId="161" applyNumberFormat="0" applyFill="0" applyProtection="0">
      <alignment horizontal="right"/>
    </xf>
    <xf numFmtId="0" fontId="127" fillId="0" borderId="162" applyNumberFormat="0" applyFill="0" applyProtection="0">
      <alignment horizontal="right"/>
    </xf>
    <xf numFmtId="272" fontId="93" fillId="0" borderId="163" applyFont="0" applyFill="0" applyAlignment="0" applyProtection="0"/>
    <xf numFmtId="272" fontId="93" fillId="0" borderId="0" applyFill="0" applyBorder="0" applyAlignment="0" applyProtection="0"/>
    <xf numFmtId="272" fontId="93" fillId="0" borderId="164" applyFont="0" applyFill="0" applyAlignment="0" applyProtection="0"/>
    <xf numFmtId="272" fontId="93" fillId="109" borderId="163" applyFont="0" applyAlignment="0" applyProtection="0"/>
    <xf numFmtId="272" fontId="93" fillId="109" borderId="0" applyBorder="0" applyAlignment="0" applyProtection="0"/>
    <xf numFmtId="272" fontId="93" fillId="109" borderId="164" applyFont="0" applyAlignment="0" applyProtection="0"/>
    <xf numFmtId="273" fontId="93" fillId="0" borderId="164" applyFont="0" applyFill="0" applyAlignment="0" applyProtection="0"/>
    <xf numFmtId="273" fontId="93" fillId="0" borderId="0" applyFill="0" applyBorder="0" applyAlignment="0" applyProtection="0"/>
    <xf numFmtId="273" fontId="93" fillId="109" borderId="0" applyBorder="0" applyAlignment="0" applyProtection="0"/>
    <xf numFmtId="273" fontId="93" fillId="109" borderId="164" applyFont="0" applyAlignment="0" applyProtection="0"/>
    <xf numFmtId="273" fontId="93" fillId="109" borderId="163" applyFont="0" applyAlignment="0" applyProtection="0"/>
    <xf numFmtId="273" fontId="93" fillId="0" borderId="163" applyFont="0" applyFill="0" applyAlignment="0" applyProtection="0"/>
    <xf numFmtId="274" fontId="93" fillId="0" borderId="164" applyFont="0" applyFill="0" applyAlignment="0" applyProtection="0"/>
    <xf numFmtId="274" fontId="93" fillId="0" borderId="0" applyFill="0" applyBorder="0" applyAlignment="0" applyProtection="0"/>
    <xf numFmtId="274" fontId="93" fillId="109" borderId="0" applyBorder="0" applyAlignment="0" applyProtection="0"/>
    <xf numFmtId="274" fontId="93" fillId="109" borderId="164" applyFont="0" applyAlignment="0" applyProtection="0"/>
    <xf numFmtId="274" fontId="93" fillId="109" borderId="163" applyFont="0" applyAlignment="0" applyProtection="0"/>
    <xf numFmtId="274" fontId="93" fillId="0" borderId="163" applyFont="0" applyFill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0" fontId="93" fillId="0" borderId="165" applyNumberFormat="0" applyFont="0" applyFill="0" applyAlignment="0" applyProtection="0"/>
    <xf numFmtId="273" fontId="243" fillId="0" borderId="166" applyFill="0" applyAlignment="0" applyProtection="0"/>
    <xf numFmtId="273" fontId="243" fillId="0" borderId="166" applyFill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275" fontId="127" fillId="0" borderId="163" applyFill="0" applyProtection="0">
      <alignment horizontal="right"/>
    </xf>
    <xf numFmtId="275" fontId="127" fillId="109" borderId="163" applyProtection="0">
      <alignment horizontal="right"/>
    </xf>
    <xf numFmtId="273" fontId="93" fillId="0" borderId="163" applyFont="0" applyFill="0" applyAlignment="0" applyProtection="0"/>
    <xf numFmtId="273" fontId="93" fillId="109" borderId="163" applyFont="0" applyAlignment="0" applyProtection="0"/>
    <xf numFmtId="274" fontId="93" fillId="0" borderId="164" applyFont="0" applyFill="0" applyAlignment="0" applyProtection="0"/>
    <xf numFmtId="274" fontId="93" fillId="109" borderId="164" applyFont="0" applyAlignment="0" applyProtection="0"/>
    <xf numFmtId="276" fontId="93" fillId="0" borderId="163" applyFont="0" applyFill="0" applyAlignment="0" applyProtection="0"/>
    <xf numFmtId="272" fontId="93" fillId="109" borderId="163" applyFont="0" applyAlignment="0" applyProtection="0"/>
    <xf numFmtId="276" fontId="93" fillId="0" borderId="164" applyFont="0" applyFill="0" applyAlignment="0" applyProtection="0"/>
    <xf numFmtId="276" fontId="93" fillId="109" borderId="164" applyFont="0" applyAlignment="0" applyProtection="0"/>
    <xf numFmtId="0" fontId="93" fillId="0" borderId="165" applyNumberFormat="0" applyFont="0" applyFill="0" applyAlignment="0" applyProtection="0"/>
    <xf numFmtId="272" fontId="93" fillId="0" borderId="160" applyFill="0" applyAlignment="0" applyProtection="0"/>
    <xf numFmtId="272" fontId="93" fillId="0" borderId="161" applyFont="0" applyFill="0" applyAlignment="0" applyProtection="0"/>
    <xf numFmtId="272" fontId="93" fillId="0" borderId="162" applyFont="0" applyFill="0" applyAlignment="0" applyProtection="0"/>
    <xf numFmtId="273" fontId="93" fillId="0" borderId="160" applyFill="0" applyAlignment="0" applyProtection="0"/>
    <xf numFmtId="273" fontId="93" fillId="0" borderId="161" applyFont="0" applyFill="0" applyAlignment="0" applyProtection="0"/>
    <xf numFmtId="273" fontId="93" fillId="0" borderId="162" applyFont="0" applyFill="0" applyAlignment="0" applyProtection="0"/>
    <xf numFmtId="274" fontId="93" fillId="0" borderId="160" applyFill="0" applyAlignment="0" applyProtection="0"/>
    <xf numFmtId="274" fontId="93" fillId="0" borderId="161" applyFont="0" applyFill="0" applyAlignment="0" applyProtection="0"/>
    <xf numFmtId="274" fontId="93" fillId="0" borderId="162" applyFont="0" applyFill="0" applyAlignment="0" applyProtection="0"/>
    <xf numFmtId="274" fontId="93" fillId="0" borderId="163" applyFont="0" applyFill="0" applyAlignment="0" applyProtection="0"/>
    <xf numFmtId="274" fontId="93" fillId="109" borderId="163" applyFont="0" applyAlignment="0" applyProtection="0"/>
    <xf numFmtId="274" fontId="193" fillId="110" borderId="163" applyAlignment="0" applyProtection="0"/>
    <xf numFmtId="274" fontId="193" fillId="110" borderId="164" applyAlignment="0" applyProtection="0"/>
    <xf numFmtId="273" fontId="193" fillId="110" borderId="163" applyAlignment="0" applyProtection="0"/>
    <xf numFmtId="272" fontId="193" fillId="110" borderId="163" applyAlignment="0" applyProtection="0"/>
    <xf numFmtId="272" fontId="193" fillId="110" borderId="164" applyAlignment="0" applyProtection="0"/>
    <xf numFmtId="0" fontId="193" fillId="110" borderId="163" applyNumberFormat="0" applyProtection="0">
      <alignment horizontal="right"/>
    </xf>
    <xf numFmtId="0" fontId="93" fillId="0" borderId="0" applyNumberFormat="0" applyBorder="0"/>
    <xf numFmtId="0" fontId="242" fillId="97" borderId="156" applyNumberFormat="0"/>
    <xf numFmtId="0" fontId="127" fillId="0" borderId="160" applyNumberFormat="0">
      <alignment horizontal="right"/>
    </xf>
    <xf numFmtId="0" fontId="127" fillId="0" borderId="161" applyNumberFormat="0">
      <alignment horizontal="right"/>
    </xf>
    <xf numFmtId="0" fontId="127" fillId="0" borderId="162" applyNumberFormat="0">
      <alignment horizontal="right"/>
    </xf>
    <xf numFmtId="274" fontId="93" fillId="0" borderId="164"/>
    <xf numFmtId="274" fontId="93" fillId="0" borderId="0" applyBorder="0"/>
    <xf numFmtId="274" fontId="93" fillId="109" borderId="0" applyBorder="0"/>
    <xf numFmtId="274" fontId="93" fillId="109" borderId="164"/>
    <xf numFmtId="274" fontId="93" fillId="109" borderId="163"/>
    <xf numFmtId="274" fontId="93" fillId="0" borderId="163"/>
    <xf numFmtId="0" fontId="127" fillId="0" borderId="163" applyNumberFormat="0">
      <alignment horizontal="right"/>
    </xf>
    <xf numFmtId="0" fontId="127" fillId="109" borderId="163" applyNumberFormat="0">
      <alignment horizontal="right"/>
    </xf>
    <xf numFmtId="274" fontId="93" fillId="0" borderId="160"/>
    <xf numFmtId="274" fontId="93" fillId="0" borderId="161"/>
    <xf numFmtId="274" fontId="93" fillId="0" borderId="162"/>
    <xf numFmtId="0" fontId="93" fillId="0" borderId="0" applyNumberFormat="0" applyBorder="0"/>
    <xf numFmtId="0" fontId="242" fillId="97" borderId="160" applyNumberFormat="0">
      <alignment horizontal="right"/>
    </xf>
    <xf numFmtId="0" fontId="242" fillId="97" borderId="161" applyNumberFormat="0">
      <alignment horizontal="right"/>
    </xf>
    <xf numFmtId="0" fontId="242" fillId="97" borderId="162" applyNumberFormat="0">
      <alignment horizontal="right"/>
    </xf>
    <xf numFmtId="0" fontId="242" fillId="97" borderId="156" applyNumberFormat="0"/>
    <xf numFmtId="274" fontId="93" fillId="0" borderId="164"/>
    <xf numFmtId="274" fontId="93" fillId="0" borderId="0" applyBorder="0"/>
    <xf numFmtId="274" fontId="93" fillId="109" borderId="0" applyBorder="0"/>
    <xf numFmtId="274" fontId="93" fillId="109" borderId="164"/>
    <xf numFmtId="274" fontId="93" fillId="109" borderId="163"/>
    <xf numFmtId="274" fontId="93" fillId="0" borderId="163"/>
    <xf numFmtId="0" fontId="127" fillId="0" borderId="163" applyNumberFormat="0">
      <alignment horizontal="right"/>
    </xf>
    <xf numFmtId="0" fontId="127" fillId="109" borderId="163" applyNumberFormat="0">
      <alignment horizontal="right"/>
    </xf>
    <xf numFmtId="0" fontId="93" fillId="0" borderId="165" applyNumberFormat="0"/>
    <xf numFmtId="272" fontId="93" fillId="0" borderId="164" applyFont="0" applyFill="0" applyAlignment="0" applyProtection="0"/>
    <xf numFmtId="272" fontId="93" fillId="109" borderId="163" applyFont="0" applyAlignment="0" applyProtection="0"/>
    <xf numFmtId="272" fontId="93" fillId="109" borderId="0" applyFont="0" applyBorder="0" applyAlignment="0" applyProtection="0"/>
    <xf numFmtId="272" fontId="93" fillId="109" borderId="164" applyFont="0" applyAlignment="0" applyProtection="0"/>
    <xf numFmtId="273" fontId="93" fillId="0" borderId="164" applyFont="0" applyFill="0" applyAlignment="0" applyProtection="0"/>
    <xf numFmtId="273" fontId="93" fillId="0" borderId="0" applyFont="0" applyFill="0" applyBorder="0" applyAlignment="0" applyProtection="0"/>
    <xf numFmtId="273" fontId="93" fillId="109" borderId="0" applyFont="0" applyBorder="0" applyAlignment="0" applyProtection="0"/>
    <xf numFmtId="273" fontId="93" fillId="109" borderId="164" applyFont="0" applyAlignment="0" applyProtection="0"/>
    <xf numFmtId="273" fontId="93" fillId="109" borderId="163" applyFont="0" applyAlignment="0" applyProtection="0"/>
    <xf numFmtId="273" fontId="93" fillId="0" borderId="163" applyFont="0" applyFill="0" applyAlignment="0" applyProtection="0"/>
    <xf numFmtId="0" fontId="93" fillId="86" borderId="163" applyNumberFormat="0">
      <alignment horizontal="left"/>
    </xf>
    <xf numFmtId="0" fontId="93" fillId="109" borderId="163" applyNumberFormat="0">
      <alignment horizontal="left"/>
    </xf>
    <xf numFmtId="0" fontId="93" fillId="86" borderId="163" applyNumberFormat="0">
      <alignment horizontal="right"/>
    </xf>
    <xf numFmtId="0" fontId="93" fillId="109" borderId="163" applyNumberFormat="0">
      <alignment horizontal="right"/>
    </xf>
    <xf numFmtId="0" fontId="93" fillId="86" borderId="163" applyNumberFormat="0">
      <alignment horizontal="center"/>
    </xf>
    <xf numFmtId="0" fontId="93" fillId="109" borderId="163" applyNumberFormat="0">
      <alignment horizontal="center"/>
    </xf>
    <xf numFmtId="0" fontId="93" fillId="110" borderId="0" applyNumberFormat="0" applyBorder="0"/>
    <xf numFmtId="0" fontId="93" fillId="0" borderId="165" applyNumberFormat="0"/>
    <xf numFmtId="0" fontId="93" fillId="0" borderId="163" applyNumberFormat="0"/>
    <xf numFmtId="272" fontId="93" fillId="0" borderId="161" applyFont="0" applyFill="0" applyAlignment="0" applyProtection="0"/>
    <xf numFmtId="272" fontId="93" fillId="0" borderId="162" applyFont="0" applyFill="0" applyAlignment="0" applyProtection="0"/>
    <xf numFmtId="273" fontId="93" fillId="0" borderId="160" applyFill="0" applyAlignment="0" applyProtection="0"/>
    <xf numFmtId="273" fontId="93" fillId="0" borderId="161" applyFont="0" applyFill="0" applyAlignment="0" applyProtection="0"/>
    <xf numFmtId="273" fontId="93" fillId="0" borderId="162" applyFont="0" applyFill="0" applyAlignment="0" applyProtection="0"/>
    <xf numFmtId="274" fontId="93" fillId="0" borderId="160" applyFill="0" applyAlignment="0" applyProtection="0"/>
    <xf numFmtId="0" fontId="93" fillId="0" borderId="0" applyNumberFormat="0" applyBorder="0"/>
    <xf numFmtId="0" fontId="93" fillId="0" borderId="153" applyNumberFormat="0">
      <alignment horizontal="center"/>
    </xf>
    <xf numFmtId="0" fontId="242" fillId="97" borderId="156" applyNumberFormat="0"/>
    <xf numFmtId="0" fontId="127" fillId="0" borderId="160" applyNumberFormat="0">
      <alignment horizontal="right"/>
    </xf>
    <xf numFmtId="0" fontId="93" fillId="0" borderId="167" applyNumberFormat="0"/>
    <xf numFmtId="0" fontId="93" fillId="0" borderId="168" applyNumberFormat="0"/>
    <xf numFmtId="0" fontId="93" fillId="0" borderId="163" applyNumberFormat="0"/>
    <xf numFmtId="0" fontId="93" fillId="0" borderId="164" applyNumberFormat="0"/>
    <xf numFmtId="0" fontId="93" fillId="0" borderId="169" applyNumberFormat="0"/>
    <xf numFmtId="0" fontId="93" fillId="0" borderId="170" applyNumberFormat="0"/>
    <xf numFmtId="273" fontId="93" fillId="0" borderId="164"/>
    <xf numFmtId="273" fontId="93" fillId="0" borderId="0" applyBorder="0"/>
    <xf numFmtId="273" fontId="93" fillId="109" borderId="0" applyBorder="0"/>
    <xf numFmtId="273" fontId="93" fillId="109" borderId="164"/>
    <xf numFmtId="274" fontId="93" fillId="0" borderId="164"/>
    <xf numFmtId="274" fontId="93" fillId="0" borderId="0" applyBorder="0"/>
    <xf numFmtId="274" fontId="93" fillId="109" borderId="0" applyBorder="0"/>
    <xf numFmtId="274" fontId="93" fillId="109" borderId="164"/>
    <xf numFmtId="0" fontId="127" fillId="0" borderId="163" applyNumberFormat="0">
      <alignment horizontal="right"/>
    </xf>
    <xf numFmtId="0" fontId="127" fillId="109" borderId="163" applyNumberFormat="0">
      <alignment horizontal="right"/>
    </xf>
    <xf numFmtId="0" fontId="93" fillId="0" borderId="165" applyNumberFormat="0"/>
    <xf numFmtId="0" fontId="93" fillId="110" borderId="0" applyNumberFormat="0" applyBorder="0"/>
    <xf numFmtId="0" fontId="93" fillId="0" borderId="0" applyNumberFormat="0" applyFont="0" applyFill="0" applyBorder="0" applyAlignment="0" applyProtection="0"/>
    <xf numFmtId="0" fontId="242" fillId="97" borderId="156" applyNumberFormat="0" applyAlignment="0" applyProtection="0"/>
    <xf numFmtId="0" fontId="127" fillId="0" borderId="160" applyNumberFormat="0" applyFill="0" applyProtection="0">
      <alignment horizontal="right"/>
    </xf>
    <xf numFmtId="0" fontId="127" fillId="0" borderId="161" applyNumberFormat="0" applyFill="0" applyProtection="0">
      <alignment horizontal="right"/>
    </xf>
    <xf numFmtId="0" fontId="127" fillId="0" borderId="162" applyNumberFormat="0" applyFill="0" applyProtection="0">
      <alignment horizontal="right"/>
    </xf>
    <xf numFmtId="274" fontId="93" fillId="0" borderId="164" applyFont="0" applyFill="0" applyAlignment="0" applyProtection="0"/>
    <xf numFmtId="274" fontId="93" fillId="0" borderId="0" applyFont="0" applyFill="0" applyBorder="0" applyAlignment="0" applyProtection="0"/>
    <xf numFmtId="274" fontId="93" fillId="109" borderId="0" applyFont="0" applyBorder="0" applyAlignment="0" applyProtection="0"/>
    <xf numFmtId="274" fontId="93" fillId="109" borderId="164" applyFont="0" applyAlignment="0" applyProtection="0"/>
    <xf numFmtId="274" fontId="93" fillId="109" borderId="163" applyFont="0" applyAlignment="0" applyProtection="0"/>
    <xf numFmtId="274" fontId="93" fillId="0" borderId="163" applyFont="0" applyFill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274" fontId="93" fillId="0" borderId="160" applyFill="0" applyAlignment="0" applyProtection="0"/>
    <xf numFmtId="274" fontId="93" fillId="0" borderId="161" applyFont="0" applyFill="0" applyAlignment="0" applyProtection="0"/>
    <xf numFmtId="274" fontId="93" fillId="0" borderId="162" applyFont="0" applyFill="0" applyAlignment="0" applyProtection="0"/>
    <xf numFmtId="274" fontId="93" fillId="0" borderId="162" applyFont="0" applyFill="0" applyAlignment="0" applyProtection="0"/>
    <xf numFmtId="275" fontId="127" fillId="0" borderId="163">
      <alignment horizontal="right"/>
    </xf>
    <xf numFmtId="275" fontId="127" fillId="109" borderId="163">
      <alignment horizontal="right"/>
    </xf>
    <xf numFmtId="273" fontId="93" fillId="0" borderId="163"/>
    <xf numFmtId="273" fontId="93" fillId="109" borderId="163"/>
    <xf numFmtId="274" fontId="93" fillId="0" borderId="164"/>
    <xf numFmtId="274" fontId="93" fillId="109" borderId="164"/>
    <xf numFmtId="276" fontId="93" fillId="0" borderId="163"/>
    <xf numFmtId="272" fontId="93" fillId="109" borderId="163"/>
    <xf numFmtId="276" fontId="93" fillId="0" borderId="164"/>
    <xf numFmtId="276" fontId="93" fillId="109" borderId="164"/>
    <xf numFmtId="0" fontId="93" fillId="0" borderId="165" applyNumberFormat="0"/>
    <xf numFmtId="0" fontId="93" fillId="111" borderId="163" applyNumberFormat="0" applyFont="0" applyProtection="0">
      <alignment horizontal="right"/>
    </xf>
    <xf numFmtId="274" fontId="93" fillId="0" borderId="163"/>
    <xf numFmtId="274" fontId="93" fillId="109" borderId="163"/>
    <xf numFmtId="0" fontId="93" fillId="86" borderId="163" applyNumberFormat="0" applyFont="0" applyProtection="0">
      <alignment horizontal="center"/>
    </xf>
    <xf numFmtId="0" fontId="93" fillId="0" borderId="0" applyNumberFormat="0" applyFont="0" applyFill="0" applyBorder="0" applyAlignment="0" applyProtection="0"/>
    <xf numFmtId="0" fontId="242" fillId="97" borderId="160" applyNumberFormat="0" applyProtection="0">
      <alignment horizontal="right"/>
    </xf>
    <xf numFmtId="0" fontId="242" fillId="97" borderId="161" applyNumberFormat="0" applyProtection="0">
      <alignment horizontal="right"/>
    </xf>
    <xf numFmtId="0" fontId="242" fillId="97" borderId="162" applyNumberFormat="0" applyProtection="0">
      <alignment horizontal="right"/>
    </xf>
    <xf numFmtId="0" fontId="127" fillId="0" borderId="163" applyNumberFormat="0">
      <alignment horizontal="right"/>
    </xf>
    <xf numFmtId="0" fontId="127" fillId="109" borderId="163" applyNumberFormat="0">
      <alignment horizontal="right"/>
    </xf>
    <xf numFmtId="273" fontId="93" fillId="0" borderId="163"/>
    <xf numFmtId="273" fontId="93" fillId="109" borderId="163"/>
    <xf numFmtId="0" fontId="93" fillId="111" borderId="163" applyNumberFormat="0" applyFont="0" applyProtection="0">
      <alignment horizontal="center"/>
    </xf>
    <xf numFmtId="274" fontId="93" fillId="0" borderId="164"/>
    <xf numFmtId="274" fontId="93" fillId="109" borderId="164"/>
    <xf numFmtId="276" fontId="93" fillId="0" borderId="163"/>
    <xf numFmtId="272" fontId="93" fillId="109" borderId="163"/>
    <xf numFmtId="276" fontId="93" fillId="0" borderId="164"/>
    <xf numFmtId="276" fontId="93" fillId="109" borderId="164"/>
    <xf numFmtId="0" fontId="93" fillId="0" borderId="165" applyNumberFormat="0"/>
    <xf numFmtId="274" fontId="93" fillId="0" borderId="163"/>
    <xf numFmtId="274" fontId="93" fillId="109" borderId="163"/>
    <xf numFmtId="274" fontId="193" fillId="110" borderId="163"/>
    <xf numFmtId="0" fontId="93" fillId="0" borderId="165" applyNumberFormat="0" applyFont="0" applyFill="0" applyAlignment="0" applyProtection="0"/>
    <xf numFmtId="274" fontId="193" fillId="110" borderId="164"/>
    <xf numFmtId="273" fontId="193" fillId="110" borderId="163"/>
    <xf numFmtId="272" fontId="193" fillId="110" borderId="163"/>
    <xf numFmtId="272" fontId="193" fillId="110" borderId="164"/>
    <xf numFmtId="0" fontId="193" fillId="110" borderId="163" applyNumberFormat="0">
      <alignment horizontal="right"/>
    </xf>
    <xf numFmtId="0" fontId="93" fillId="0" borderId="0" applyNumberFormat="0" applyFont="0" applyFill="0" applyBorder="0" applyAlignment="0" applyProtection="0"/>
    <xf numFmtId="0" fontId="93" fillId="0" borderId="153" applyNumberFormat="0" applyFont="0" applyFill="0" applyProtection="0">
      <alignment horizontal="center"/>
    </xf>
    <xf numFmtId="0" fontId="242" fillId="97" borderId="156" applyNumberFormat="0" applyAlignment="0" applyProtection="0"/>
    <xf numFmtId="0" fontId="127" fillId="0" borderId="160" applyNumberFormat="0" applyFill="0" applyProtection="0">
      <alignment horizontal="right"/>
    </xf>
    <xf numFmtId="0" fontId="93" fillId="0" borderId="0" applyNumberFormat="0" applyFont="0" applyFill="0" applyBorder="0" applyAlignment="0" applyProtection="0"/>
    <xf numFmtId="0" fontId="93" fillId="0" borderId="153" applyNumberFormat="0" applyFont="0" applyFill="0" applyProtection="0">
      <alignment horizontal="center"/>
    </xf>
    <xf numFmtId="0" fontId="242" fillId="97" borderId="156" applyNumberFormat="0" applyAlignment="0" applyProtection="0"/>
    <xf numFmtId="0" fontId="127" fillId="0" borderId="160" applyNumberFormat="0" applyFill="0" applyProtection="0">
      <alignment horizontal="right"/>
    </xf>
    <xf numFmtId="0" fontId="93" fillId="86" borderId="163" applyNumberFormat="0">
      <alignment horizontal="left"/>
    </xf>
    <xf numFmtId="0" fontId="93" fillId="109" borderId="163" applyNumberFormat="0">
      <alignment horizontal="left"/>
    </xf>
    <xf numFmtId="0" fontId="93" fillId="86" borderId="163" applyNumberFormat="0">
      <alignment horizontal="right"/>
    </xf>
    <xf numFmtId="0" fontId="93" fillId="109" borderId="163" applyNumberFormat="0">
      <alignment horizontal="right"/>
    </xf>
    <xf numFmtId="0" fontId="93" fillId="86" borderId="163" applyNumberFormat="0">
      <alignment horizontal="center"/>
    </xf>
    <xf numFmtId="0" fontId="93" fillId="109" borderId="163" applyNumberFormat="0">
      <alignment horizontal="center"/>
    </xf>
    <xf numFmtId="0" fontId="93" fillId="0" borderId="165" applyNumberFormat="0"/>
    <xf numFmtId="0" fontId="93" fillId="0" borderId="163" applyNumberFormat="0"/>
    <xf numFmtId="0" fontId="93" fillId="0" borderId="160" applyNumberFormat="0"/>
    <xf numFmtId="0" fontId="93" fillId="0" borderId="161" applyNumberFormat="0"/>
    <xf numFmtId="277" fontId="93" fillId="109" borderId="163">
      <alignment horizontal="left"/>
    </xf>
    <xf numFmtId="277" fontId="93" fillId="86" borderId="163">
      <alignment horizontal="left"/>
    </xf>
    <xf numFmtId="274" fontId="93" fillId="109" borderId="0" applyBorder="0" applyAlignment="0" applyProtection="0"/>
    <xf numFmtId="274" fontId="93" fillId="109" borderId="164" applyFont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0" fontId="93" fillId="0" borderId="165" applyNumberFormat="0" applyFont="0" applyFill="0" applyAlignment="0" applyProtection="0"/>
    <xf numFmtId="0" fontId="93" fillId="0" borderId="165" applyNumberFormat="0" applyFont="0" applyFill="0" applyAlignment="0" applyProtection="0"/>
    <xf numFmtId="275" fontId="127" fillId="0" borderId="163" applyFill="0" applyProtection="0">
      <alignment horizontal="right"/>
    </xf>
    <xf numFmtId="275" fontId="127" fillId="109" borderId="163" applyProtection="0">
      <alignment horizontal="right"/>
    </xf>
    <xf numFmtId="273" fontId="93" fillId="0" borderId="163" applyFont="0" applyFill="0" applyAlignment="0" applyProtection="0"/>
    <xf numFmtId="273" fontId="93" fillId="109" borderId="163" applyFont="0" applyAlignment="0" applyProtection="0"/>
    <xf numFmtId="275" fontId="127" fillId="0" borderId="163" applyFill="0" applyProtection="0">
      <alignment horizontal="right"/>
    </xf>
    <xf numFmtId="275" fontId="127" fillId="109" borderId="163" applyProtection="0">
      <alignment horizontal="right"/>
    </xf>
    <xf numFmtId="0" fontId="93" fillId="0" borderId="165" applyNumberFormat="0"/>
    <xf numFmtId="0" fontId="93" fillId="0" borderId="0" applyNumberFormat="0"/>
    <xf numFmtId="0" fontId="93" fillId="0" borderId="167" applyNumberFormat="0"/>
    <xf numFmtId="0" fontId="93" fillId="0" borderId="168" applyNumberFormat="0"/>
    <xf numFmtId="0" fontId="93" fillId="0" borderId="163" applyNumberFormat="0"/>
    <xf numFmtId="0" fontId="93" fillId="0" borderId="164" applyNumberFormat="0"/>
    <xf numFmtId="0" fontId="93" fillId="0" borderId="169" applyNumberFormat="0"/>
    <xf numFmtId="0" fontId="93" fillId="0" borderId="170" applyNumberFormat="0"/>
    <xf numFmtId="0" fontId="93" fillId="0" borderId="165" applyNumberFormat="0" applyFont="0" applyFill="0" applyAlignment="0" applyProtection="0"/>
    <xf numFmtId="274" fontId="93" fillId="0" borderId="163" applyFont="0" applyFill="0" applyAlignment="0" applyProtection="0"/>
    <xf numFmtId="274" fontId="93" fillId="109" borderId="163" applyFont="0" applyAlignment="0" applyProtection="0"/>
    <xf numFmtId="274" fontId="93" fillId="109" borderId="163" applyFont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273" fontId="93" fillId="0" borderId="163" applyFont="0" applyFill="0" applyAlignment="0" applyProtection="0"/>
    <xf numFmtId="273" fontId="93" fillId="109" borderId="163" applyFont="0" applyAlignment="0" applyProtection="0"/>
    <xf numFmtId="0" fontId="127" fillId="0" borderId="163" applyNumberFormat="0" applyFill="0" applyProtection="0">
      <alignment horizontal="right"/>
    </xf>
    <xf numFmtId="0" fontId="127" fillId="109" borderId="163" applyNumberFormat="0" applyProtection="0">
      <alignment horizontal="right"/>
    </xf>
    <xf numFmtId="273" fontId="93" fillId="0" borderId="163" applyFont="0" applyFill="0" applyAlignment="0" applyProtection="0"/>
    <xf numFmtId="273" fontId="93" fillId="109" borderId="163" applyFont="0" applyAlignment="0" applyProtection="0"/>
    <xf numFmtId="274" fontId="93" fillId="0" borderId="164" applyFont="0" applyFill="0" applyAlignment="0" applyProtection="0"/>
    <xf numFmtId="274" fontId="93" fillId="109" borderId="164" applyFont="0" applyAlignment="0" applyProtection="0"/>
    <xf numFmtId="276" fontId="93" fillId="0" borderId="163" applyFont="0" applyFill="0" applyAlignment="0" applyProtection="0"/>
    <xf numFmtId="272" fontId="93" fillId="109" borderId="163" applyFont="0" applyAlignment="0" applyProtection="0"/>
    <xf numFmtId="276" fontId="93" fillId="0" borderId="164" applyFont="0" applyFill="0" applyAlignment="0" applyProtection="0"/>
    <xf numFmtId="276" fontId="93" fillId="109" borderId="164" applyFont="0" applyAlignment="0" applyProtection="0"/>
    <xf numFmtId="0" fontId="93" fillId="0" borderId="165" applyNumberFormat="0" applyFont="0" applyFill="0" applyAlignment="0" applyProtection="0"/>
    <xf numFmtId="274" fontId="93" fillId="0" borderId="163" applyFont="0" applyFill="0" applyAlignment="0" applyProtection="0"/>
    <xf numFmtId="274" fontId="93" fillId="109" borderId="163" applyFont="0" applyAlignment="0" applyProtection="0"/>
    <xf numFmtId="274" fontId="193" fillId="110" borderId="163" applyAlignment="0" applyProtection="0"/>
    <xf numFmtId="274" fontId="193" fillId="110" borderId="164" applyAlignment="0" applyProtection="0"/>
    <xf numFmtId="273" fontId="193" fillId="110" borderId="163" applyAlignment="0" applyProtection="0"/>
    <xf numFmtId="272" fontId="193" fillId="110" borderId="163" applyAlignment="0" applyProtection="0"/>
    <xf numFmtId="272" fontId="193" fillId="110" borderId="164" applyAlignment="0" applyProtection="0"/>
    <xf numFmtId="0" fontId="193" fillId="110" borderId="163" applyNumberFormat="0" applyProtection="0">
      <alignment horizontal="right"/>
    </xf>
    <xf numFmtId="0" fontId="193" fillId="110" borderId="163" applyNumberFormat="0" applyProtection="0">
      <alignment horizontal="right"/>
    </xf>
    <xf numFmtId="0" fontId="93" fillId="86" borderId="163" applyNumberFormat="0" applyFont="0" applyProtection="0">
      <alignment horizontal="left"/>
    </xf>
    <xf numFmtId="0" fontId="93" fillId="109" borderId="163" applyNumberFormat="0" applyFont="0" applyProtection="0">
      <alignment horizontal="left"/>
    </xf>
    <xf numFmtId="0" fontId="93" fillId="86" borderId="163" applyNumberFormat="0" applyFont="0" applyProtection="0">
      <alignment horizontal="right"/>
    </xf>
    <xf numFmtId="0" fontId="93" fillId="109" borderId="163" applyNumberFormat="0" applyFont="0" applyProtection="0">
      <alignment horizontal="right"/>
    </xf>
    <xf numFmtId="0" fontId="93" fillId="86" borderId="163" applyNumberFormat="0" applyFont="0" applyProtection="0">
      <alignment horizontal="left"/>
    </xf>
    <xf numFmtId="0" fontId="93" fillId="109" borderId="163" applyNumberFormat="0" applyFont="0" applyProtection="0">
      <alignment horizontal="left"/>
    </xf>
    <xf numFmtId="0" fontId="93" fillId="86" borderId="163" applyNumberFormat="0" applyFont="0" applyProtection="0">
      <alignment horizontal="right"/>
    </xf>
    <xf numFmtId="0" fontId="93" fillId="109" borderId="163" applyNumberFormat="0" applyFont="0" applyProtection="0">
      <alignment horizontal="right"/>
    </xf>
    <xf numFmtId="0" fontId="93" fillId="86" borderId="163" applyNumberFormat="0" applyFont="0" applyProtection="0">
      <alignment horizontal="center"/>
    </xf>
    <xf numFmtId="0" fontId="93" fillId="109" borderId="163" applyNumberFormat="0" applyFont="0" applyProtection="0">
      <alignment horizontal="center"/>
    </xf>
    <xf numFmtId="0" fontId="93" fillId="0" borderId="165" applyNumberFormat="0" applyFont="0" applyFill="0" applyAlignment="0" applyProtection="0"/>
    <xf numFmtId="0" fontId="93" fillId="0" borderId="163" applyNumberFormat="0" applyFont="0" applyFill="0" applyAlignment="0" applyProtection="0"/>
    <xf numFmtId="0" fontId="93" fillId="0" borderId="160" applyNumberFormat="0" applyFont="0" applyFill="0" applyAlignment="0" applyProtection="0"/>
    <xf numFmtId="0" fontId="93" fillId="0" borderId="161" applyNumberFormat="0" applyFont="0" applyFill="0" applyAlignment="0" applyProtection="0"/>
    <xf numFmtId="277" fontId="93" fillId="109" borderId="163" applyFont="0" applyProtection="0">
      <alignment horizontal="left"/>
    </xf>
    <xf numFmtId="277" fontId="93" fillId="86" borderId="163" applyFont="0" applyProtection="0">
      <alignment horizontal="left"/>
    </xf>
    <xf numFmtId="277" fontId="93" fillId="86" borderId="163" applyFont="0" applyProtection="0">
      <alignment horizontal="left"/>
    </xf>
    <xf numFmtId="0" fontId="93" fillId="0" borderId="165" applyNumberFormat="0" applyFont="0" applyFill="0" applyAlignment="0" applyProtection="0"/>
    <xf numFmtId="0" fontId="93" fillId="0" borderId="165" applyNumberFormat="0" applyFont="0" applyFill="0" applyAlignment="0" applyProtection="0"/>
    <xf numFmtId="0" fontId="93" fillId="0" borderId="0" applyNumberFormat="0" applyFont="0" applyFill="0" applyAlignment="0" applyProtection="0"/>
    <xf numFmtId="0" fontId="93" fillId="0" borderId="165" applyNumberFormat="0" applyFont="0" applyFill="0" applyAlignment="0" applyProtection="0"/>
    <xf numFmtId="0" fontId="93" fillId="0" borderId="0" applyNumberFormat="0" applyFont="0" applyFill="0" applyAlignment="0" applyProtection="0"/>
    <xf numFmtId="0" fontId="93" fillId="0" borderId="167" applyNumberFormat="0" applyFont="0" applyFill="0" applyAlignment="0" applyProtection="0"/>
    <xf numFmtId="0" fontId="93" fillId="0" borderId="168" applyNumberFormat="0" applyFont="0" applyFill="0" applyAlignment="0" applyProtection="0"/>
    <xf numFmtId="0" fontId="93" fillId="0" borderId="163" applyNumberFormat="0" applyFont="0" applyFill="0" applyAlignment="0" applyProtection="0"/>
    <xf numFmtId="0" fontId="93" fillId="0" borderId="164" applyNumberFormat="0" applyFont="0" applyFill="0" applyAlignment="0" applyProtection="0"/>
    <xf numFmtId="0" fontId="93" fillId="0" borderId="169" applyNumberFormat="0" applyFont="0" applyFill="0" applyAlignment="0" applyProtection="0"/>
    <xf numFmtId="0" fontId="93" fillId="0" borderId="170" applyNumberFormat="0" applyFont="0" applyFill="0" applyAlignment="0" applyProtection="0"/>
    <xf numFmtId="0" fontId="93" fillId="0" borderId="168" applyNumberFormat="0" applyFont="0" applyFill="0" applyAlignment="0" applyProtection="0"/>
    <xf numFmtId="0" fontId="93" fillId="0" borderId="163" applyNumberFormat="0" applyFont="0" applyFill="0" applyAlignment="0" applyProtection="0"/>
    <xf numFmtId="0" fontId="93" fillId="0" borderId="164" applyNumberFormat="0" applyFont="0" applyFill="0" applyAlignment="0" applyProtection="0"/>
    <xf numFmtId="0" fontId="93" fillId="0" borderId="169" applyNumberFormat="0" applyFont="0" applyFill="0" applyAlignment="0" applyProtection="0"/>
    <xf numFmtId="0" fontId="93" fillId="0" borderId="170" applyNumberFormat="0" applyFont="0" applyFill="0" applyAlignment="0" applyProtection="0"/>
    <xf numFmtId="0" fontId="93" fillId="0" borderId="165" applyNumberFormat="0" applyFont="0" applyFill="0" applyAlignment="0" applyProtection="0"/>
    <xf numFmtId="0" fontId="93" fillId="0" borderId="0" applyNumberFormat="0" applyFont="0" applyFill="0" applyAlignment="0" applyProtection="0"/>
    <xf numFmtId="0" fontId="93" fillId="0" borderId="167" applyNumberFormat="0" applyFont="0" applyFill="0" applyAlignment="0" applyProtection="0"/>
    <xf numFmtId="0" fontId="93" fillId="0" borderId="168" applyNumberFormat="0" applyFont="0" applyFill="0" applyAlignment="0" applyProtection="0"/>
    <xf numFmtId="0" fontId="93" fillId="0" borderId="163" applyNumberFormat="0" applyFont="0" applyFill="0" applyAlignment="0" applyProtection="0"/>
    <xf numFmtId="0" fontId="93" fillId="0" borderId="164" applyNumberFormat="0" applyFont="0" applyFill="0" applyAlignment="0" applyProtection="0"/>
    <xf numFmtId="0" fontId="93" fillId="0" borderId="169" applyNumberFormat="0" applyFont="0" applyFill="0" applyAlignment="0" applyProtection="0"/>
    <xf numFmtId="0" fontId="93" fillId="0" borderId="170" applyNumberFormat="0" applyFont="0" applyFill="0" applyAlignment="0" applyProtection="0"/>
    <xf numFmtId="0" fontId="220" fillId="0" borderId="0" applyNumberFormat="0" applyBorder="0" applyAlignment="0"/>
    <xf numFmtId="49" fontId="220" fillId="0" borderId="0" applyFill="0" applyBorder="0" applyAlignment="0"/>
    <xf numFmtId="271" fontId="218" fillId="0" borderId="0" applyFill="0" applyBorder="0" applyAlignment="0"/>
    <xf numFmtId="278" fontId="218" fillId="0" borderId="0" applyFill="0" applyBorder="0" applyAlignment="0"/>
    <xf numFmtId="40" fontId="244" fillId="0" borderId="0"/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245" fillId="0" borderId="0" applyBorder="0"/>
    <xf numFmtId="0" fontId="101" fillId="0" borderId="0" applyFont="0" applyFill="0" applyBorder="0" applyAlignment="0" applyProtection="0"/>
    <xf numFmtId="247" fontId="98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center"/>
    </xf>
    <xf numFmtId="218" fontId="98" fillId="0" borderId="0" applyFont="0" applyFill="0" applyBorder="0" applyAlignment="0" applyProtection="0"/>
    <xf numFmtId="1" fontId="243" fillId="0" borderId="37"/>
    <xf numFmtId="279" fontId="19" fillId="0" borderId="0" applyFont="0" applyFill="0" applyBorder="0" applyAlignment="0" applyProtection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0" fontId="246" fillId="0" borderId="0"/>
    <xf numFmtId="177" fontId="19" fillId="0" borderId="0" applyNumberFormat="0" applyFill="0" applyBorder="0" applyAlignment="0" applyProtection="0">
      <alignment vertical="center"/>
    </xf>
    <xf numFmtId="0" fontId="247" fillId="0" borderId="0" applyFill="0" applyBorder="0" applyAlignment="0" applyProtection="0">
      <alignment horizontal="center" vertical="center"/>
    </xf>
    <xf numFmtId="0" fontId="248" fillId="0" borderId="154">
      <alignment horizontal="center" vertical="center"/>
    </xf>
    <xf numFmtId="252" fontId="19" fillId="0" borderId="0" applyFont="0" applyFill="0" applyBorder="0" applyAlignment="0" applyProtection="0">
      <alignment horizontal="right" vertical="center"/>
    </xf>
    <xf numFmtId="177" fontId="19" fillId="0" borderId="0" applyFill="0" applyBorder="0" applyAlignment="0" applyProtection="0">
      <alignment vertical="center"/>
    </xf>
    <xf numFmtId="241" fontId="19" fillId="0" borderId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top"/>
      <protection locked="0"/>
    </xf>
    <xf numFmtId="280" fontId="19" fillId="0" borderId="0">
      <alignment vertical="center"/>
    </xf>
    <xf numFmtId="281" fontId="114" fillId="0" borderId="171" applyFont="0" applyFill="0" applyBorder="0" applyAlignment="0" applyProtection="0"/>
    <xf numFmtId="247" fontId="98" fillId="0" borderId="0"/>
    <xf numFmtId="10" fontId="203" fillId="0" borderId="0" applyFill="0" applyBorder="0" applyAlignment="0" applyProtection="0">
      <alignment vertical="center"/>
    </xf>
    <xf numFmtId="0" fontId="249" fillId="0" borderId="0"/>
    <xf numFmtId="282" fontId="114" fillId="112" borderId="26" applyNumberFormat="0">
      <alignment vertical="center"/>
    </xf>
    <xf numFmtId="282" fontId="114" fillId="0" borderId="26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50" fillId="0" borderId="0" applyNumberFormat="0" applyFont="0" applyFill="0" applyBorder="0" applyProtection="0">
      <alignment horizontal="centerContinuous" vertical="center"/>
    </xf>
    <xf numFmtId="0" fontId="250" fillId="0" borderId="0" applyFill="0" applyBorder="0" applyProtection="0">
      <alignment horizontal="centerContinuous" vertical="center"/>
    </xf>
    <xf numFmtId="0" fontId="114" fillId="0" borderId="0" applyNumberFormat="0" applyFont="0" applyFill="0" applyBorder="0" applyProtection="0">
      <alignment horizontal="centerContinuous" vertical="center"/>
    </xf>
    <xf numFmtId="0" fontId="250" fillId="0" borderId="0" applyNumberFormat="0" applyFont="0" applyFill="0" applyBorder="0" applyProtection="0">
      <alignment horizontal="centerContinuous" vertical="center"/>
    </xf>
    <xf numFmtId="3" fontId="251" fillId="0" borderId="26"/>
    <xf numFmtId="0" fontId="251" fillId="0" borderId="26"/>
    <xf numFmtId="3" fontId="251" fillId="0" borderId="78"/>
    <xf numFmtId="3" fontId="251" fillId="0" borderId="82"/>
    <xf numFmtId="0" fontId="252" fillId="0" borderId="153"/>
    <xf numFmtId="0" fontId="253" fillId="0" borderId="0">
      <alignment horizontal="center"/>
    </xf>
    <xf numFmtId="0" fontId="254" fillId="0" borderId="83">
      <alignment horizontal="center"/>
    </xf>
    <xf numFmtId="0" fontId="19" fillId="0" borderId="0" applyFont="0" applyFill="0" applyBorder="0" applyAlignment="0" applyProtection="0"/>
    <xf numFmtId="0" fontId="255" fillId="0" borderId="16" applyFont="0" applyFill="0" applyBorder="0" applyAlignment="0" applyProtection="0">
      <alignment vertical="center"/>
    </xf>
    <xf numFmtId="0" fontId="255" fillId="0" borderId="16" applyFont="0" applyFill="0" applyBorder="0" applyAlignment="0" applyProtection="0">
      <alignment vertical="center"/>
    </xf>
    <xf numFmtId="0" fontId="256" fillId="0" borderId="0">
      <alignment vertical="center"/>
    </xf>
    <xf numFmtId="41" fontId="123" fillId="0" borderId="15" applyFill="0" applyBorder="0" applyProtection="0">
      <alignment vertical="center"/>
    </xf>
    <xf numFmtId="0" fontId="250" fillId="0" borderId="0" applyFont="0" applyFill="0" applyBorder="0" applyProtection="0">
      <alignment horizontal="centerContinuous" vertical="center"/>
    </xf>
    <xf numFmtId="265" fontId="123" fillId="0" borderId="0" applyFill="0" applyBorder="0" applyProtection="0">
      <alignment vertical="center"/>
    </xf>
    <xf numFmtId="41" fontId="123" fillId="0" borderId="15" applyFill="0" applyBorder="0" applyProtection="0">
      <alignment vertical="center"/>
    </xf>
    <xf numFmtId="0" fontId="250" fillId="0" borderId="0" applyFont="0" applyFill="0" applyBorder="0" applyProtection="0">
      <alignment horizontal="centerContinuous" vertical="center"/>
    </xf>
    <xf numFmtId="0" fontId="250" fillId="0" borderId="0" applyFont="0" applyFill="0" applyBorder="0" applyProtection="0">
      <alignment horizontal="centerContinuous" vertical="center"/>
    </xf>
    <xf numFmtId="0" fontId="250" fillId="0" borderId="15" applyFont="0" applyFill="0" applyBorder="0" applyProtection="0">
      <alignment horizontal="right" vertical="center"/>
      <protection locked="0"/>
    </xf>
    <xf numFmtId="0" fontId="119" fillId="0" borderId="0" applyFont="0" applyFill="0" applyBorder="0" applyAlignment="0" applyProtection="0">
      <alignment vertical="center"/>
    </xf>
    <xf numFmtId="0" fontId="98" fillId="0" borderId="0"/>
    <xf numFmtId="0" fontId="93" fillId="0" borderId="0"/>
    <xf numFmtId="0" fontId="9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6" fillId="0" borderId="0"/>
    <xf numFmtId="0" fontId="229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8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8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93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283" fontId="19" fillId="0" borderId="0" applyFont="0" applyFill="0" applyBorder="0" applyProtection="0">
      <alignment horizontal="right"/>
    </xf>
    <xf numFmtId="284" fontId="124" fillId="0" borderId="0" applyBorder="0" applyAlignment="0">
      <alignment horizontal="right"/>
    </xf>
    <xf numFmtId="0" fontId="250" fillId="0" borderId="0" applyNumberFormat="0" applyFont="0" applyFill="0" applyBorder="0" applyProtection="0">
      <alignment vertical="center"/>
    </xf>
    <xf numFmtId="0" fontId="121" fillId="0" borderId="0"/>
    <xf numFmtId="280" fontId="19" fillId="0" borderId="0">
      <alignment vertical="center"/>
    </xf>
    <xf numFmtId="280" fontId="19" fillId="0" borderId="0">
      <alignment vertical="center"/>
    </xf>
    <xf numFmtId="285" fontId="229" fillId="0" borderId="0" applyFont="0" applyFill="0" applyBorder="0" applyAlignment="0" applyProtection="0"/>
    <xf numFmtId="14" fontId="257" fillId="0" borderId="0" applyNumberFormat="0"/>
    <xf numFmtId="41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207" fontId="10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3" fillId="0" borderId="0" applyFont="0" applyFill="0" applyBorder="0" applyAlignment="0" applyProtection="0"/>
    <xf numFmtId="286" fontId="258" fillId="0" borderId="130"/>
    <xf numFmtId="287" fontId="258" fillId="0" borderId="0"/>
    <xf numFmtId="286" fontId="258" fillId="0" borderId="0"/>
    <xf numFmtId="208" fontId="135" fillId="0" borderId="0" applyFont="0" applyFill="0" applyBorder="0" applyAlignment="0" applyProtection="0"/>
    <xf numFmtId="0" fontId="98" fillId="0" borderId="0" applyFont="0" applyFill="0" applyBorder="0" applyAlignment="0" applyProtection="0"/>
    <xf numFmtId="247" fontId="259" fillId="0" borderId="0" applyFont="0" applyFill="0" applyBorder="0" applyAlignment="0" applyProtection="0"/>
    <xf numFmtId="250" fontId="259" fillId="0" borderId="0" applyFont="0" applyFill="0" applyBorder="0" applyAlignment="0" applyProtection="0"/>
    <xf numFmtId="0" fontId="246" fillId="0" borderId="0">
      <alignment vertical="center"/>
      <protection locked="0"/>
    </xf>
    <xf numFmtId="9" fontId="98" fillId="0" borderId="0"/>
    <xf numFmtId="0" fontId="19" fillId="0" borderId="0"/>
    <xf numFmtId="0" fontId="94" fillId="0" borderId="0">
      <alignment vertical="center"/>
    </xf>
    <xf numFmtId="0" fontId="93" fillId="0" borderId="0"/>
    <xf numFmtId="241" fontId="19" fillId="0" borderId="130" applyFill="0" applyProtection="0">
      <alignment vertical="center"/>
    </xf>
    <xf numFmtId="43" fontId="260" fillId="0" borderId="0" applyFont="0" applyFill="0" applyBorder="0" applyAlignment="0" applyProtection="0"/>
    <xf numFmtId="41" fontId="260" fillId="0" borderId="0" applyFont="0" applyFill="0" applyBorder="0" applyAlignment="0" applyProtection="0"/>
    <xf numFmtId="177" fontId="19" fillId="0" borderId="0" applyNumberFormat="0" applyFill="0" applyBorder="0" applyAlignment="0" applyProtection="0">
      <alignment vertical="center"/>
    </xf>
    <xf numFmtId="288" fontId="218" fillId="0" borderId="0" applyFont="0" applyFill="0" applyBorder="0" applyAlignment="0" applyProtection="0"/>
    <xf numFmtId="289" fontId="218" fillId="0" borderId="0" applyFont="0" applyFill="0" applyBorder="0" applyAlignment="0" applyProtection="0"/>
    <xf numFmtId="0" fontId="26" fillId="0" borderId="172" applyNumberFormat="0" applyFont="0" applyFill="0" applyProtection="0">
      <alignment horizontal="center" vertical="center" wrapText="1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8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687">
    <xf numFmtId="0" fontId="0" fillId="0" borderId="0" xfId="0"/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Alignment="1" applyProtection="1">
      <alignment horizontal="center" vertical="center"/>
    </xf>
    <xf numFmtId="0" fontId="24" fillId="0" borderId="0" xfId="0" applyNumberFormat="1" applyFont="1" applyBorder="1" applyAlignment="1" applyProtection="1">
      <alignment horizontal="left" vertical="center"/>
    </xf>
    <xf numFmtId="0" fontId="24" fillId="0" borderId="0" xfId="3" applyNumberFormat="1" applyFont="1" applyBorder="1" applyAlignment="1">
      <alignment horizontal="left" vertical="center"/>
    </xf>
    <xf numFmtId="0" fontId="24" fillId="0" borderId="0" xfId="3" applyNumberFormat="1" applyFont="1">
      <alignment vertical="center"/>
    </xf>
    <xf numFmtId="0" fontId="24" fillId="0" borderId="0" xfId="3" applyFont="1" applyFill="1">
      <alignment vertical="center"/>
    </xf>
    <xf numFmtId="0" fontId="24" fillId="0" borderId="0" xfId="3" applyFont="1">
      <alignment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6" fillId="0" borderId="0" xfId="0" applyFont="1" applyAlignment="1" applyProtection="1">
      <alignment horizontal="center" vertical="center"/>
    </xf>
    <xf numFmtId="0" fontId="26" fillId="0" borderId="0" xfId="0" applyFont="1" applyFill="1" applyAlignment="1" applyProtection="1">
      <alignment horizontal="center" vertical="center"/>
    </xf>
    <xf numFmtId="0" fontId="26" fillId="0" borderId="0" xfId="3" applyNumberFormat="1" applyFont="1" applyBorder="1" applyAlignment="1">
      <alignment horizontal="left" vertical="center"/>
    </xf>
    <xf numFmtId="0" fontId="26" fillId="0" borderId="0" xfId="3" applyNumberFormat="1" applyFont="1" applyBorder="1" applyAlignment="1">
      <alignment horizontal="center" vertical="center"/>
    </xf>
    <xf numFmtId="0" fontId="26" fillId="0" borderId="0" xfId="3" applyNumberFormat="1" applyFont="1" applyFill="1" applyBorder="1">
      <alignment vertical="center"/>
    </xf>
    <xf numFmtId="0" fontId="26" fillId="0" borderId="0" xfId="3" applyNumberFormat="1" applyFont="1" applyBorder="1">
      <alignment vertical="center"/>
    </xf>
    <xf numFmtId="181" fontId="22" fillId="0" borderId="0" xfId="0" applyNumberFormat="1" applyFont="1" applyAlignment="1" applyProtection="1">
      <alignment vertical="center"/>
    </xf>
    <xf numFmtId="0" fontId="24" fillId="0" borderId="0" xfId="3" applyNumberFormat="1" applyFont="1" applyFill="1" applyBorder="1" applyAlignment="1">
      <alignment vertical="center"/>
    </xf>
    <xf numFmtId="177" fontId="24" fillId="0" borderId="0" xfId="1" applyNumberFormat="1" applyFont="1" applyBorder="1" applyAlignment="1">
      <alignment vertical="center"/>
    </xf>
    <xf numFmtId="0" fontId="26" fillId="0" borderId="0" xfId="3" applyNumberFormat="1" applyFont="1" applyBorder="1" applyAlignment="1">
      <alignment vertical="center"/>
    </xf>
    <xf numFmtId="9" fontId="26" fillId="0" borderId="0" xfId="3" applyNumberFormat="1" applyFont="1" applyBorder="1" applyAlignment="1">
      <alignment vertical="center"/>
    </xf>
    <xf numFmtId="0" fontId="26" fillId="0" borderId="60" xfId="3" applyNumberFormat="1" applyFont="1" applyBorder="1" applyAlignment="1">
      <alignment horizontal="center" vertical="center"/>
    </xf>
    <xf numFmtId="0" fontId="30" fillId="0" borderId="0" xfId="4" applyFont="1">
      <alignment vertical="center"/>
    </xf>
    <xf numFmtId="0" fontId="30" fillId="0" borderId="0" xfId="3" applyFont="1">
      <alignment vertical="center"/>
    </xf>
    <xf numFmtId="0" fontId="30" fillId="0" borderId="0" xfId="3" applyFont="1" applyBorder="1">
      <alignment vertical="center"/>
    </xf>
    <xf numFmtId="0" fontId="30" fillId="0" borderId="0" xfId="3" applyFont="1" applyFill="1">
      <alignment vertical="center"/>
    </xf>
    <xf numFmtId="41" fontId="30" fillId="0" borderId="1" xfId="2" applyFont="1" applyFill="1" applyBorder="1" applyAlignment="1">
      <alignment horizontal="center" vertical="center"/>
    </xf>
    <xf numFmtId="41" fontId="30" fillId="11" borderId="28" xfId="2" applyFont="1" applyFill="1" applyBorder="1" applyAlignment="1">
      <alignment vertical="center"/>
    </xf>
    <xf numFmtId="41" fontId="30" fillId="11" borderId="28" xfId="2" applyFont="1" applyFill="1" applyBorder="1" applyAlignment="1">
      <alignment horizontal="right" vertical="center"/>
    </xf>
    <xf numFmtId="41" fontId="30" fillId="11" borderId="28" xfId="2" applyFont="1" applyFill="1" applyBorder="1" applyAlignment="1">
      <alignment horizontal="center" vertical="center"/>
    </xf>
    <xf numFmtId="41" fontId="30" fillId="11" borderId="27" xfId="2" applyFont="1" applyFill="1" applyBorder="1" applyAlignment="1">
      <alignment horizontal="left" vertical="center"/>
    </xf>
    <xf numFmtId="41" fontId="30" fillId="11" borderId="28" xfId="2" applyFont="1" applyFill="1" applyBorder="1" applyAlignment="1">
      <alignment horizontal="left" vertical="center"/>
    </xf>
    <xf numFmtId="41" fontId="30" fillId="11" borderId="29" xfId="2" applyFont="1" applyFill="1" applyBorder="1" applyAlignment="1">
      <alignment horizontal="left" vertical="center"/>
    </xf>
    <xf numFmtId="41" fontId="30" fillId="0" borderId="1" xfId="2" applyFont="1" applyFill="1" applyBorder="1" applyAlignment="1">
      <alignment vertical="center"/>
    </xf>
    <xf numFmtId="41" fontId="30" fillId="0" borderId="3" xfId="2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vertical="center"/>
    </xf>
    <xf numFmtId="180" fontId="30" fillId="11" borderId="28" xfId="2" applyNumberFormat="1" applyFont="1" applyFill="1" applyBorder="1" applyAlignment="1">
      <alignment horizontal="center" vertical="center"/>
    </xf>
    <xf numFmtId="41" fontId="30" fillId="0" borderId="0" xfId="2" applyFont="1" applyBorder="1" applyAlignment="1">
      <alignment vertical="center"/>
    </xf>
    <xf numFmtId="41" fontId="30" fillId="0" borderId="0" xfId="2" applyFont="1" applyBorder="1" applyAlignment="1">
      <alignment horizontal="center" vertical="center"/>
    </xf>
    <xf numFmtId="41" fontId="27" fillId="0" borderId="0" xfId="2" applyFont="1" applyBorder="1" applyAlignment="1">
      <alignment vertical="center"/>
    </xf>
    <xf numFmtId="9" fontId="30" fillId="0" borderId="0" xfId="2" applyNumberFormat="1" applyFont="1" applyBorder="1" applyAlignment="1">
      <alignment horizontal="right" vertical="center"/>
    </xf>
    <xf numFmtId="9" fontId="30" fillId="0" borderId="0" xfId="2" applyNumberFormat="1" applyFont="1" applyAlignment="1">
      <alignment horizontal="right"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3" xfId="2" applyFont="1" applyFill="1" applyBorder="1" applyAlignment="1">
      <alignment horizontal="center" vertical="center"/>
    </xf>
    <xf numFmtId="176" fontId="30" fillId="11" borderId="28" xfId="2" applyNumberFormat="1" applyFont="1" applyFill="1" applyBorder="1" applyAlignment="1">
      <alignment horizontal="center" vertical="center"/>
    </xf>
    <xf numFmtId="181" fontId="25" fillId="0" borderId="0" xfId="0" applyNumberFormat="1" applyFont="1" applyAlignment="1" applyProtection="1">
      <alignment vertical="center"/>
    </xf>
    <xf numFmtId="0" fontId="24" fillId="0" borderId="0" xfId="0" applyNumberFormat="1" applyFont="1" applyBorder="1" applyAlignment="1" applyProtection="1">
      <alignment vertical="center"/>
    </xf>
    <xf numFmtId="0" fontId="30" fillId="0" borderId="0" xfId="0" applyFont="1" applyFill="1" applyAlignment="1" applyProtection="1">
      <alignment horizontal="center" vertical="center"/>
    </xf>
    <xf numFmtId="0" fontId="30" fillId="0" borderId="0" xfId="0" applyFont="1" applyAlignment="1" applyProtection="1">
      <alignment horizontal="center" vertical="center"/>
    </xf>
    <xf numFmtId="0" fontId="30" fillId="13" borderId="39" xfId="2" applyNumberFormat="1" applyFont="1" applyFill="1" applyBorder="1" applyAlignment="1">
      <alignment horizontal="center" vertical="center"/>
    </xf>
    <xf numFmtId="0" fontId="30" fillId="13" borderId="40" xfId="2" applyNumberFormat="1" applyFont="1" applyFill="1" applyBorder="1" applyAlignment="1">
      <alignment horizontal="center" vertical="center"/>
    </xf>
    <xf numFmtId="0" fontId="30" fillId="13" borderId="41" xfId="2" applyNumberFormat="1" applyFont="1" applyFill="1" applyBorder="1" applyAlignment="1">
      <alignment horizontal="center" vertical="center"/>
    </xf>
    <xf numFmtId="0" fontId="30" fillId="0" borderId="0" xfId="3" applyNumberFormat="1" applyFont="1" applyFill="1">
      <alignment vertical="center"/>
    </xf>
    <xf numFmtId="0" fontId="30" fillId="2" borderId="0" xfId="3" applyNumberFormat="1" applyFont="1" applyFill="1">
      <alignment vertical="center"/>
    </xf>
    <xf numFmtId="0" fontId="30" fillId="4" borderId="14" xfId="2" applyNumberFormat="1" applyFont="1" applyFill="1" applyBorder="1" applyAlignment="1">
      <alignment horizontal="center" vertical="center"/>
    </xf>
    <xf numFmtId="0" fontId="30" fillId="4" borderId="17" xfId="2" applyNumberFormat="1" applyFont="1" applyFill="1" applyBorder="1" applyAlignment="1">
      <alignment horizontal="center" vertical="center"/>
    </xf>
    <xf numFmtId="0" fontId="30" fillId="0" borderId="0" xfId="3" applyNumberFormat="1" applyFont="1">
      <alignment vertical="center"/>
    </xf>
    <xf numFmtId="0" fontId="30" fillId="4" borderId="31" xfId="2" applyNumberFormat="1" applyFont="1" applyFill="1" applyBorder="1" applyAlignment="1">
      <alignment horizontal="center" vertical="center"/>
    </xf>
    <xf numFmtId="0" fontId="30" fillId="0" borderId="0" xfId="1" applyNumberFormat="1" applyFont="1" applyFill="1" applyAlignment="1">
      <alignment horizontal="right" vertical="center"/>
    </xf>
    <xf numFmtId="177" fontId="30" fillId="0" borderId="49" xfId="1" applyNumberFormat="1" applyFont="1" applyFill="1" applyBorder="1" applyAlignment="1">
      <alignment vertical="center"/>
    </xf>
    <xf numFmtId="0" fontId="30" fillId="0" borderId="0" xfId="2" applyNumberFormat="1" applyFont="1" applyFill="1" applyBorder="1" applyAlignment="1">
      <alignment vertical="center"/>
    </xf>
    <xf numFmtId="0" fontId="30" fillId="0" borderId="0" xfId="2" applyNumberFormat="1" applyFont="1" applyFill="1" applyBorder="1" applyAlignment="1">
      <alignment horizontal="center" vertical="center"/>
    </xf>
    <xf numFmtId="180" fontId="32" fillId="0" borderId="0" xfId="2" applyNumberFormat="1" applyFont="1" applyFill="1" applyBorder="1" applyAlignment="1">
      <alignment vertical="center"/>
    </xf>
    <xf numFmtId="0" fontId="30" fillId="0" borderId="0" xfId="3" applyNumberFormat="1" applyFont="1" applyFill="1" applyBorder="1">
      <alignment vertical="center"/>
    </xf>
    <xf numFmtId="0" fontId="30" fillId="0" borderId="0" xfId="3" applyFont="1" applyFill="1" applyBorder="1">
      <alignment vertical="center"/>
    </xf>
    <xf numFmtId="0" fontId="30" fillId="0" borderId="0" xfId="3" applyNumberFormat="1" applyFont="1" applyAlignment="1">
      <alignment horizontal="center" vertical="center"/>
    </xf>
    <xf numFmtId="0" fontId="30" fillId="3" borderId="0" xfId="3" applyNumberFormat="1" applyFont="1" applyFill="1">
      <alignment vertical="center"/>
    </xf>
    <xf numFmtId="9" fontId="30" fillId="11" borderId="28" xfId="2" applyNumberFormat="1" applyFont="1" applyFill="1" applyBorder="1" applyAlignment="1">
      <alignment horizontal="center" vertical="center"/>
    </xf>
    <xf numFmtId="0" fontId="30" fillId="0" borderId="0" xfId="2" applyNumberFormat="1" applyFont="1" applyFill="1" applyBorder="1" applyAlignment="1">
      <alignment horizontal="center" vertical="center" wrapText="1"/>
    </xf>
    <xf numFmtId="185" fontId="30" fillId="4" borderId="32" xfId="2" quotePrefix="1" applyNumberFormat="1" applyFont="1" applyFill="1" applyBorder="1" applyAlignment="1">
      <alignment horizontal="center" vertical="center"/>
    </xf>
    <xf numFmtId="9" fontId="30" fillId="0" borderId="0" xfId="1" applyFont="1" applyFill="1" applyAlignment="1">
      <alignment vertical="center"/>
    </xf>
    <xf numFmtId="9" fontId="23" fillId="0" borderId="0" xfId="1" applyFont="1" applyFill="1" applyAlignment="1" applyProtection="1">
      <alignment horizontal="center" vertical="center"/>
    </xf>
    <xf numFmtId="9" fontId="26" fillId="0" borderId="0" xfId="1" applyFont="1" applyFill="1" applyAlignment="1" applyProtection="1">
      <alignment horizontal="center" vertical="center"/>
    </xf>
    <xf numFmtId="9" fontId="26" fillId="0" borderId="0" xfId="1" applyFont="1" applyFill="1" applyBorder="1" applyAlignment="1">
      <alignment vertical="center"/>
    </xf>
    <xf numFmtId="9" fontId="30" fillId="0" borderId="0" xfId="1" applyFont="1" applyFill="1" applyBorder="1" applyAlignment="1">
      <alignment vertical="center"/>
    </xf>
    <xf numFmtId="9" fontId="24" fillId="0" borderId="0" xfId="1" applyFont="1" applyFill="1" applyAlignment="1">
      <alignment vertical="center"/>
    </xf>
    <xf numFmtId="180" fontId="33" fillId="16" borderId="26" xfId="2" applyNumberFormat="1" applyFont="1" applyFill="1" applyBorder="1" applyAlignment="1">
      <alignment vertical="center"/>
    </xf>
    <xf numFmtId="180" fontId="33" fillId="16" borderId="68" xfId="2" applyNumberFormat="1" applyFont="1" applyFill="1" applyBorder="1" applyAlignment="1">
      <alignment vertical="center"/>
    </xf>
    <xf numFmtId="181" fontId="32" fillId="0" borderId="14" xfId="2" applyNumberFormat="1" applyFont="1" applyFill="1" applyBorder="1" applyAlignment="1">
      <alignment vertical="center"/>
    </xf>
    <xf numFmtId="187" fontId="32" fillId="2" borderId="68" xfId="2" applyNumberFormat="1" applyFont="1" applyFill="1" applyBorder="1" applyAlignment="1">
      <alignment vertical="center" wrapText="1"/>
    </xf>
    <xf numFmtId="187" fontId="32" fillId="2" borderId="81" xfId="2" applyNumberFormat="1" applyFont="1" applyFill="1" applyBorder="1" applyAlignment="1">
      <alignment vertical="center" wrapText="1"/>
    </xf>
    <xf numFmtId="187" fontId="32" fillId="2" borderId="26" xfId="2" applyNumberFormat="1" applyFont="1" applyFill="1" applyBorder="1" applyAlignment="1">
      <alignment vertical="center" wrapText="1"/>
    </xf>
    <xf numFmtId="187" fontId="32" fillId="2" borderId="78" xfId="2" applyNumberFormat="1" applyFont="1" applyFill="1" applyBorder="1" applyAlignment="1">
      <alignment vertical="center" wrapText="1"/>
    </xf>
    <xf numFmtId="187" fontId="32" fillId="2" borderId="85" xfId="2" applyNumberFormat="1" applyFont="1" applyFill="1" applyBorder="1" applyAlignment="1">
      <alignment vertical="center" wrapText="1"/>
    </xf>
    <xf numFmtId="187" fontId="32" fillId="0" borderId="0" xfId="2" applyNumberFormat="1" applyFont="1" applyFill="1" applyBorder="1" applyAlignment="1">
      <alignment vertical="center"/>
    </xf>
    <xf numFmtId="187" fontId="32" fillId="17" borderId="68" xfId="2" applyNumberFormat="1" applyFont="1" applyFill="1" applyBorder="1" applyAlignment="1">
      <alignment vertical="center" wrapText="1"/>
    </xf>
    <xf numFmtId="187" fontId="32" fillId="17" borderId="81" xfId="2" applyNumberFormat="1" applyFont="1" applyFill="1" applyBorder="1" applyAlignment="1">
      <alignment vertical="center" wrapText="1"/>
    </xf>
    <xf numFmtId="181" fontId="33" fillId="16" borderId="68" xfId="2" applyNumberFormat="1" applyFont="1" applyFill="1" applyBorder="1" applyAlignment="1">
      <alignment vertical="center"/>
    </xf>
    <xf numFmtId="181" fontId="33" fillId="16" borderId="26" xfId="2" applyNumberFormat="1" applyFont="1" applyFill="1" applyBorder="1" applyAlignment="1">
      <alignment vertical="center"/>
    </xf>
    <xf numFmtId="181" fontId="34" fillId="16" borderId="85" xfId="2" applyNumberFormat="1" applyFont="1" applyFill="1" applyBorder="1" applyAlignment="1">
      <alignment vertical="center"/>
    </xf>
    <xf numFmtId="181" fontId="34" fillId="16" borderId="86" xfId="2" applyNumberFormat="1" applyFont="1" applyFill="1" applyBorder="1" applyAlignment="1">
      <alignment vertical="center"/>
    </xf>
    <xf numFmtId="181" fontId="30" fillId="15" borderId="68" xfId="2" applyNumberFormat="1" applyFont="1" applyFill="1" applyBorder="1" applyAlignment="1">
      <alignment vertical="center" wrapText="1"/>
    </xf>
    <xf numFmtId="181" fontId="30" fillId="15" borderId="26" xfId="2" applyNumberFormat="1" applyFont="1" applyFill="1" applyBorder="1" applyAlignment="1">
      <alignment vertical="center"/>
    </xf>
    <xf numFmtId="181" fontId="30" fillId="15" borderId="85" xfId="2" applyNumberFormat="1" applyFont="1" applyFill="1" applyBorder="1" applyAlignment="1">
      <alignment vertical="center"/>
    </xf>
    <xf numFmtId="181" fontId="30" fillId="0" borderId="0" xfId="2" applyNumberFormat="1" applyFont="1" applyFill="1" applyBorder="1" applyAlignment="1">
      <alignment vertical="center"/>
    </xf>
    <xf numFmtId="181" fontId="32" fillId="0" borderId="0" xfId="2" applyNumberFormat="1" applyFont="1" applyFill="1" applyBorder="1" applyAlignment="1">
      <alignment vertical="center"/>
    </xf>
    <xf numFmtId="181" fontId="32" fillId="0" borderId="0" xfId="3" applyNumberFormat="1" applyFont="1" applyAlignment="1">
      <alignment vertical="center"/>
    </xf>
    <xf numFmtId="181" fontId="32" fillId="0" borderId="39" xfId="2" applyNumberFormat="1" applyFont="1" applyFill="1" applyBorder="1" applyAlignment="1">
      <alignment vertical="center"/>
    </xf>
    <xf numFmtId="0" fontId="30" fillId="13" borderId="92" xfId="2" applyNumberFormat="1" applyFont="1" applyFill="1" applyBorder="1" applyAlignment="1">
      <alignment horizontal="center" vertical="center"/>
    </xf>
    <xf numFmtId="0" fontId="30" fillId="4" borderId="94" xfId="2" applyNumberFormat="1" applyFont="1" applyFill="1" applyBorder="1" applyAlignment="1">
      <alignment horizontal="center" vertical="center"/>
    </xf>
    <xf numFmtId="0" fontId="30" fillId="4" borderId="95" xfId="2" applyNumberFormat="1" applyFont="1" applyFill="1" applyBorder="1" applyAlignment="1">
      <alignment horizontal="center" vertical="center"/>
    </xf>
    <xf numFmtId="177" fontId="30" fillId="0" borderId="96" xfId="1" applyNumberFormat="1" applyFont="1" applyFill="1" applyBorder="1" applyAlignment="1">
      <alignment vertical="center"/>
    </xf>
    <xf numFmtId="181" fontId="25" fillId="0" borderId="0" xfId="0" applyNumberFormat="1" applyFont="1" applyAlignment="1" applyProtection="1">
      <alignment horizontal="center" vertical="center"/>
    </xf>
    <xf numFmtId="180" fontId="30" fillId="0" borderId="1" xfId="2" applyNumberFormat="1" applyFont="1" applyFill="1" applyBorder="1" applyAlignment="1">
      <alignment vertical="center"/>
    </xf>
    <xf numFmtId="9" fontId="27" fillId="11" borderId="72" xfId="2" applyNumberFormat="1" applyFont="1" applyFill="1" applyBorder="1" applyAlignment="1">
      <alignment horizontal="center" vertical="center"/>
    </xf>
    <xf numFmtId="178" fontId="27" fillId="11" borderId="72" xfId="2" applyNumberFormat="1" applyFont="1" applyFill="1" applyBorder="1" applyAlignment="1">
      <alignment horizontal="center" vertical="center"/>
    </xf>
    <xf numFmtId="0" fontId="30" fillId="3" borderId="59" xfId="3" applyNumberFormat="1" applyFont="1" applyFill="1" applyBorder="1" applyAlignment="1">
      <alignment horizontal="center" vertical="center"/>
    </xf>
    <xf numFmtId="9" fontId="30" fillId="3" borderId="59" xfId="3" applyNumberFormat="1" applyFont="1" applyFill="1" applyBorder="1" applyAlignment="1">
      <alignment horizontal="center" vertical="center"/>
    </xf>
    <xf numFmtId="9" fontId="30" fillId="0" borderId="59" xfId="3" applyNumberFormat="1" applyFont="1" applyBorder="1" applyAlignment="1">
      <alignment horizontal="center" vertical="center"/>
    </xf>
    <xf numFmtId="41" fontId="36" fillId="0" borderId="0" xfId="2" applyFont="1" applyFill="1" applyAlignment="1" applyProtection="1">
      <alignment horizontal="center" vertical="center"/>
    </xf>
    <xf numFmtId="41" fontId="37" fillId="0" borderId="0" xfId="2" applyFont="1" applyFill="1" applyAlignment="1" applyProtection="1">
      <alignment horizontal="center" vertical="center"/>
    </xf>
    <xf numFmtId="41" fontId="37" fillId="0" borderId="0" xfId="2" applyFont="1" applyFill="1" applyBorder="1" applyAlignment="1">
      <alignment vertical="center"/>
    </xf>
    <xf numFmtId="41" fontId="31" fillId="0" borderId="0" xfId="2" applyFont="1" applyFill="1" applyAlignment="1">
      <alignment vertical="center"/>
    </xf>
    <xf numFmtId="41" fontId="31" fillId="0" borderId="0" xfId="2" applyFont="1" applyFill="1" applyAlignment="1">
      <alignment horizontal="right" vertical="center"/>
    </xf>
    <xf numFmtId="41" fontId="31" fillId="0" borderId="0" xfId="2" applyFont="1" applyFill="1" applyBorder="1" applyAlignment="1">
      <alignment vertical="center"/>
    </xf>
    <xf numFmtId="41" fontId="38" fillId="0" borderId="0" xfId="2" applyFont="1" applyFill="1" applyAlignment="1">
      <alignment vertical="center"/>
    </xf>
    <xf numFmtId="181" fontId="33" fillId="16" borderId="85" xfId="2" applyNumberFormat="1" applyFont="1" applyFill="1" applyBorder="1" applyAlignment="1">
      <alignment vertical="center"/>
    </xf>
    <xf numFmtId="181" fontId="33" fillId="16" borderId="86" xfId="2" applyNumberFormat="1" applyFont="1" applyFill="1" applyBorder="1" applyAlignment="1">
      <alignment vertical="center"/>
    </xf>
    <xf numFmtId="41" fontId="30" fillId="0" borderId="0" xfId="2" applyFont="1" applyFill="1" applyBorder="1" applyAlignment="1">
      <alignment horizontal="center" vertical="center"/>
    </xf>
    <xf numFmtId="180" fontId="33" fillId="16" borderId="85" xfId="2" applyNumberFormat="1" applyFont="1" applyFill="1" applyBorder="1" applyAlignment="1">
      <alignment vertical="center"/>
    </xf>
    <xf numFmtId="0" fontId="34" fillId="16" borderId="84" xfId="2" applyNumberFormat="1" applyFont="1" applyFill="1" applyBorder="1" applyAlignment="1">
      <alignment horizontal="center" vertical="center" wrapText="1"/>
    </xf>
    <xf numFmtId="181" fontId="34" fillId="18" borderId="83" xfId="2" applyNumberFormat="1" applyFont="1" applyFill="1" applyBorder="1" applyAlignment="1">
      <alignment vertical="center"/>
    </xf>
    <xf numFmtId="180" fontId="34" fillId="18" borderId="83" xfId="2" applyNumberFormat="1" applyFont="1" applyFill="1" applyBorder="1" applyAlignment="1">
      <alignment horizontal="center" vertical="center"/>
    </xf>
    <xf numFmtId="41" fontId="29" fillId="2" borderId="52" xfId="2" applyFont="1" applyFill="1" applyBorder="1" applyAlignment="1">
      <alignment vertical="center" wrapText="1"/>
    </xf>
    <xf numFmtId="41" fontId="29" fillId="2" borderId="49" xfId="2" applyFont="1" applyFill="1" applyBorder="1" applyAlignment="1">
      <alignment vertical="center" wrapText="1"/>
    </xf>
    <xf numFmtId="41" fontId="30" fillId="0" borderId="0" xfId="2" applyFont="1" applyFill="1" applyAlignment="1">
      <alignment vertical="center"/>
    </xf>
    <xf numFmtId="41" fontId="30" fillId="0" borderId="0" xfId="3" applyNumberFormat="1" applyFont="1" applyFill="1">
      <alignment vertical="center"/>
    </xf>
    <xf numFmtId="41" fontId="30" fillId="0" borderId="1" xfId="2" applyFont="1" applyFill="1" applyBorder="1" applyAlignment="1">
      <alignment horizontal="center" vertical="center"/>
    </xf>
    <xf numFmtId="179" fontId="30" fillId="0" borderId="0" xfId="2" applyNumberFormat="1" applyFont="1" applyBorder="1" applyAlignment="1">
      <alignment vertical="center"/>
    </xf>
    <xf numFmtId="177" fontId="30" fillId="12" borderId="100" xfId="1" applyNumberFormat="1" applyFont="1" applyFill="1" applyBorder="1" applyAlignment="1">
      <alignment vertical="center"/>
    </xf>
    <xf numFmtId="10" fontId="30" fillId="12" borderId="141" xfId="1" applyNumberFormat="1" applyFont="1" applyFill="1" applyBorder="1" applyAlignment="1">
      <alignment vertical="center"/>
    </xf>
    <xf numFmtId="10" fontId="30" fillId="12" borderId="0" xfId="1" applyNumberFormat="1" applyFont="1" applyFill="1" applyBorder="1" applyAlignment="1">
      <alignment vertical="center"/>
    </xf>
    <xf numFmtId="177" fontId="30" fillId="12" borderId="143" xfId="1" applyNumberFormat="1" applyFont="1" applyFill="1" applyBorder="1" applyAlignment="1">
      <alignment vertical="center"/>
    </xf>
    <xf numFmtId="10" fontId="30" fillId="0" borderId="51" xfId="1" applyNumberFormat="1" applyFont="1" applyFill="1" applyBorder="1" applyAlignment="1">
      <alignment vertical="center"/>
    </xf>
    <xf numFmtId="10" fontId="30" fillId="0" borderId="59" xfId="3" applyNumberFormat="1" applyFont="1" applyBorder="1" applyAlignment="1">
      <alignment horizontal="center" vertical="center"/>
    </xf>
    <xf numFmtId="41" fontId="30" fillId="0" borderId="15" xfId="2" applyFont="1" applyFill="1" applyBorder="1" applyAlignment="1">
      <alignment vertical="center"/>
    </xf>
    <xf numFmtId="41" fontId="32" fillId="0" borderId="40" xfId="2" applyFont="1" applyFill="1" applyBorder="1" applyAlignment="1">
      <alignment vertical="center"/>
    </xf>
    <xf numFmtId="181" fontId="32" fillId="0" borderId="20" xfId="2" applyNumberFormat="1" applyFont="1" applyFill="1" applyBorder="1" applyAlignment="1">
      <alignment vertical="center"/>
    </xf>
    <xf numFmtId="177" fontId="30" fillId="0" borderId="0" xfId="1" applyNumberFormat="1" applyFont="1" applyBorder="1" applyAlignment="1">
      <alignment vertical="center"/>
    </xf>
    <xf numFmtId="181" fontId="29" fillId="14" borderId="89" xfId="2" applyNumberFormat="1" applyFont="1" applyFill="1" applyBorder="1" applyAlignment="1">
      <alignment vertical="center" shrinkToFit="1"/>
    </xf>
    <xf numFmtId="181" fontId="29" fillId="14" borderId="91" xfId="2" applyNumberFormat="1" applyFont="1" applyFill="1" applyBorder="1" applyAlignment="1">
      <alignment vertical="center" shrinkToFit="1"/>
    </xf>
    <xf numFmtId="181" fontId="29" fillId="14" borderId="83" xfId="2" applyNumberFormat="1" applyFont="1" applyFill="1" applyBorder="1" applyAlignment="1">
      <alignment vertical="center" shrinkToFit="1"/>
    </xf>
    <xf numFmtId="41" fontId="24" fillId="0" borderId="0" xfId="2" applyFont="1" applyAlignment="1">
      <alignment horizontal="center" vertical="center"/>
    </xf>
    <xf numFmtId="177" fontId="30" fillId="0" borderId="180" xfId="3" applyNumberFormat="1" applyFont="1" applyBorder="1" applyAlignment="1">
      <alignment horizontal="center" vertical="center"/>
    </xf>
    <xf numFmtId="0" fontId="30" fillId="0" borderId="173" xfId="3" applyNumberFormat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6" xfId="2" applyFont="1" applyFill="1" applyBorder="1" applyAlignment="1">
      <alignment vertical="center"/>
    </xf>
    <xf numFmtId="41" fontId="32" fillId="2" borderId="68" xfId="2" applyFont="1" applyFill="1" applyBorder="1" applyAlignment="1">
      <alignment vertical="center" wrapText="1"/>
    </xf>
    <xf numFmtId="41" fontId="32" fillId="2" borderId="26" xfId="2" applyFont="1" applyFill="1" applyBorder="1" applyAlignment="1">
      <alignment vertical="center" wrapText="1"/>
    </xf>
    <xf numFmtId="41" fontId="32" fillId="6" borderId="76" xfId="2" applyFont="1" applyFill="1" applyBorder="1" applyAlignment="1">
      <alignment horizontal="center" vertical="center"/>
    </xf>
    <xf numFmtId="41" fontId="32" fillId="6" borderId="8" xfId="2" applyFont="1" applyFill="1" applyBorder="1" applyAlignment="1">
      <alignment horizontal="center" vertical="center"/>
    </xf>
    <xf numFmtId="41" fontId="32" fillId="6" borderId="66" xfId="2" applyFont="1" applyFill="1" applyBorder="1" applyAlignment="1">
      <alignment horizontal="center" vertical="center"/>
    </xf>
    <xf numFmtId="177" fontId="35" fillId="0" borderId="59" xfId="1" applyNumberFormat="1" applyFont="1" applyBorder="1" applyAlignment="1">
      <alignment horizontal="center" vertical="center"/>
    </xf>
    <xf numFmtId="181" fontId="30" fillId="15" borderId="147" xfId="2" applyNumberFormat="1" applyFont="1" applyFill="1" applyBorder="1" applyAlignment="1">
      <alignment vertical="center"/>
    </xf>
    <xf numFmtId="41" fontId="30" fillId="0" borderId="0" xfId="2" applyFont="1" applyAlignment="1">
      <alignment vertical="center"/>
    </xf>
    <xf numFmtId="0" fontId="262" fillId="86" borderId="0" xfId="36916" applyFont="1" applyFill="1">
      <alignment vertical="center"/>
    </xf>
    <xf numFmtId="0" fontId="262" fillId="0" borderId="0" xfId="36916" applyFont="1">
      <alignment vertical="center"/>
    </xf>
    <xf numFmtId="0" fontId="263" fillId="86" borderId="0" xfId="36916" applyFont="1" applyFill="1">
      <alignment vertical="center"/>
    </xf>
    <xf numFmtId="41" fontId="262" fillId="86" borderId="0" xfId="34534" applyFont="1" applyFill="1" applyAlignment="1">
      <alignment horizontal="center"/>
    </xf>
    <xf numFmtId="41" fontId="262" fillId="86" borderId="0" xfId="34534" applyFont="1" applyFill="1" applyAlignment="1"/>
    <xf numFmtId="41" fontId="262" fillId="0" borderId="0" xfId="34534" applyFont="1" applyAlignment="1"/>
    <xf numFmtId="41" fontId="265" fillId="2" borderId="32" xfId="34534" applyFont="1" applyFill="1" applyBorder="1" applyAlignment="1">
      <alignment horizontal="center" vertical="center"/>
    </xf>
    <xf numFmtId="41" fontId="265" fillId="2" borderId="15" xfId="34534" applyFont="1" applyFill="1" applyBorder="1" applyAlignment="1">
      <alignment horizontal="center" vertical="center"/>
    </xf>
    <xf numFmtId="41" fontId="265" fillId="86" borderId="0" xfId="34534" applyFont="1" applyFill="1" applyBorder="1" applyAlignment="1">
      <alignment horizontal="center" vertical="center"/>
    </xf>
    <xf numFmtId="41" fontId="267" fillId="0" borderId="32" xfId="34534" applyFont="1" applyBorder="1" applyAlignment="1">
      <alignment horizontal="center" vertical="center"/>
    </xf>
    <xf numFmtId="182" fontId="267" fillId="122" borderId="16" xfId="34534" applyNumberFormat="1" applyFont="1" applyFill="1" applyBorder="1" applyAlignment="1">
      <alignment horizontal="center" vertical="center"/>
    </xf>
    <xf numFmtId="180" fontId="267" fillId="122" borderId="17" xfId="34534" applyNumberFormat="1" applyFont="1" applyFill="1" applyBorder="1" applyAlignment="1">
      <alignment horizontal="left" vertical="center"/>
    </xf>
    <xf numFmtId="180" fontId="267" fillId="86" borderId="15" xfId="34534" applyNumberFormat="1" applyFont="1" applyFill="1" applyBorder="1" applyAlignment="1">
      <alignment horizontal="center" vertical="center"/>
    </xf>
    <xf numFmtId="180" fontId="267" fillId="86" borderId="0" xfId="34534" applyNumberFormat="1" applyFont="1" applyFill="1" applyBorder="1" applyAlignment="1">
      <alignment horizontal="center" vertical="center"/>
    </xf>
    <xf numFmtId="182" fontId="267" fillId="14" borderId="16" xfId="34534" applyNumberFormat="1" applyFont="1" applyFill="1" applyBorder="1" applyAlignment="1">
      <alignment horizontal="center" vertical="center"/>
    </xf>
    <xf numFmtId="182" fontId="267" fillId="121" borderId="16" xfId="34534" applyNumberFormat="1" applyFont="1" applyFill="1" applyBorder="1" applyAlignment="1">
      <alignment horizontal="center" vertical="center"/>
    </xf>
    <xf numFmtId="182" fontId="267" fillId="121" borderId="16" xfId="34534" applyNumberFormat="1" applyFont="1" applyFill="1" applyBorder="1" applyAlignment="1">
      <alignment horizontal="left" vertical="center"/>
    </xf>
    <xf numFmtId="43" fontId="262" fillId="0" borderId="0" xfId="36916" applyNumberFormat="1" applyFont="1">
      <alignment vertical="center"/>
    </xf>
    <xf numFmtId="41" fontId="267" fillId="96" borderId="32" xfId="34534" applyFont="1" applyFill="1" applyBorder="1" applyAlignment="1">
      <alignment horizontal="center" vertical="center"/>
    </xf>
    <xf numFmtId="182" fontId="267" fillId="96" borderId="16" xfId="34534" applyNumberFormat="1" applyFont="1" applyFill="1" applyBorder="1" applyAlignment="1">
      <alignment horizontal="center" vertical="center"/>
    </xf>
    <xf numFmtId="180" fontId="267" fillId="96" borderId="17" xfId="34534" applyNumberFormat="1" applyFont="1" applyFill="1" applyBorder="1" applyAlignment="1">
      <alignment horizontal="left" vertical="center"/>
    </xf>
    <xf numFmtId="0" fontId="262" fillId="0" borderId="0" xfId="36916" applyFont="1" applyAlignment="1">
      <alignment vertical="center"/>
    </xf>
    <xf numFmtId="41" fontId="267" fillId="120" borderId="32" xfId="34534" applyFont="1" applyFill="1" applyBorder="1" applyAlignment="1">
      <alignment horizontal="center" vertical="center"/>
    </xf>
    <xf numFmtId="182" fontId="267" fillId="120" borderId="16" xfId="34534" applyNumberFormat="1" applyFont="1" applyFill="1" applyBorder="1" applyAlignment="1">
      <alignment horizontal="center" vertical="center"/>
    </xf>
    <xf numFmtId="180" fontId="267" fillId="120" borderId="17" xfId="34534" applyNumberFormat="1" applyFont="1" applyFill="1" applyBorder="1" applyAlignment="1">
      <alignment horizontal="left" vertical="center"/>
    </xf>
    <xf numFmtId="182" fontId="267" fillId="119" borderId="16" xfId="34534" applyNumberFormat="1" applyFont="1" applyFill="1" applyBorder="1" applyAlignment="1">
      <alignment horizontal="center" vertical="center"/>
    </xf>
    <xf numFmtId="180" fontId="267" fillId="119" borderId="17" xfId="34534" applyNumberFormat="1" applyFont="1" applyFill="1" applyBorder="1" applyAlignment="1">
      <alignment horizontal="left" vertical="center"/>
    </xf>
    <xf numFmtId="41" fontId="267" fillId="118" borderId="32" xfId="34534" applyFont="1" applyFill="1" applyBorder="1" applyAlignment="1">
      <alignment horizontal="center" vertical="center"/>
    </xf>
    <xf numFmtId="182" fontId="267" fillId="118" borderId="16" xfId="34534" applyNumberFormat="1" applyFont="1" applyFill="1" applyBorder="1" applyAlignment="1">
      <alignment horizontal="center" vertical="center"/>
    </xf>
    <xf numFmtId="180" fontId="267" fillId="118" borderId="17" xfId="34534" applyNumberFormat="1" applyFont="1" applyFill="1" applyBorder="1" applyAlignment="1">
      <alignment horizontal="left" vertical="center"/>
    </xf>
    <xf numFmtId="41" fontId="267" fillId="0" borderId="32" xfId="34534" applyFont="1" applyFill="1" applyBorder="1" applyAlignment="1">
      <alignment horizontal="center" vertical="center"/>
    </xf>
    <xf numFmtId="182" fontId="267" fillId="114" borderId="16" xfId="34534" applyNumberFormat="1" applyFont="1" applyFill="1" applyBorder="1" applyAlignment="1">
      <alignment horizontal="center" vertical="center"/>
    </xf>
    <xf numFmtId="180" fontId="267" fillId="114" borderId="17" xfId="34534" applyNumberFormat="1" applyFont="1" applyFill="1" applyBorder="1" applyAlignment="1">
      <alignment horizontal="left" vertical="center"/>
    </xf>
    <xf numFmtId="182" fontId="267" fillId="114" borderId="33" xfId="34534" applyNumberFormat="1" applyFont="1" applyFill="1" applyBorder="1" applyAlignment="1">
      <alignment horizontal="center" vertical="center"/>
    </xf>
    <xf numFmtId="180" fontId="267" fillId="114" borderId="34" xfId="34534" applyNumberFormat="1" applyFont="1" applyFill="1" applyBorder="1" applyAlignment="1">
      <alignment horizontal="left" vertical="center"/>
    </xf>
    <xf numFmtId="180" fontId="267" fillId="86" borderId="32" xfId="34534" applyNumberFormat="1" applyFont="1" applyFill="1" applyBorder="1" applyAlignment="1">
      <alignment horizontal="center" vertical="center"/>
    </xf>
    <xf numFmtId="41" fontId="267" fillId="0" borderId="15" xfId="34534" applyFont="1" applyBorder="1" applyAlignment="1">
      <alignment horizontal="center" vertical="center"/>
    </xf>
    <xf numFmtId="41" fontId="267" fillId="86" borderId="0" xfId="34534" applyFont="1" applyFill="1" applyAlignment="1"/>
    <xf numFmtId="182" fontId="267" fillId="86" borderId="16" xfId="34534" applyNumberFormat="1" applyFont="1" applyFill="1" applyBorder="1" applyAlignment="1">
      <alignment horizontal="center" vertical="center"/>
    </xf>
    <xf numFmtId="180" fontId="267" fillId="86" borderId="17" xfId="34534" applyNumberFormat="1" applyFont="1" applyFill="1" applyBorder="1" applyAlignment="1">
      <alignment horizontal="left" vertical="center"/>
    </xf>
    <xf numFmtId="182" fontId="267" fillId="10" borderId="16" xfId="34534" applyNumberFormat="1" applyFont="1" applyFill="1" applyBorder="1" applyAlignment="1">
      <alignment horizontal="center" vertical="center"/>
    </xf>
    <xf numFmtId="182" fontId="267" fillId="10" borderId="17" xfId="34534" applyNumberFormat="1" applyFont="1" applyFill="1" applyBorder="1" applyAlignment="1">
      <alignment vertical="center"/>
    </xf>
    <xf numFmtId="41" fontId="262" fillId="0" borderId="0" xfId="36916" applyNumberFormat="1" applyFont="1">
      <alignment vertical="center"/>
    </xf>
    <xf numFmtId="41" fontId="265" fillId="2" borderId="16" xfId="34534" applyFont="1" applyFill="1" applyBorder="1" applyAlignment="1">
      <alignment horizontal="center" vertical="center"/>
    </xf>
    <xf numFmtId="41" fontId="265" fillId="2" borderId="17" xfId="34534" applyFont="1" applyFill="1" applyBorder="1" applyAlignment="1">
      <alignment horizontal="center" vertical="center"/>
    </xf>
    <xf numFmtId="180" fontId="265" fillId="2" borderId="15" xfId="34534" applyNumberFormat="1" applyFont="1" applyFill="1" applyBorder="1" applyAlignment="1">
      <alignment horizontal="center" vertical="center"/>
    </xf>
    <xf numFmtId="180" fontId="265" fillId="86" borderId="0" xfId="34534" applyNumberFormat="1" applyFont="1" applyFill="1" applyBorder="1" applyAlignment="1">
      <alignment horizontal="center" vertical="center"/>
    </xf>
    <xf numFmtId="41" fontId="267" fillId="86" borderId="16" xfId="34534" applyFont="1" applyFill="1" applyBorder="1" applyAlignment="1">
      <alignment vertical="center"/>
    </xf>
    <xf numFmtId="41" fontId="267" fillId="86" borderId="17" xfId="34534" applyFont="1" applyFill="1" applyBorder="1" applyAlignment="1">
      <alignment vertical="center"/>
    </xf>
    <xf numFmtId="41" fontId="265" fillId="2" borderId="16" xfId="34534" applyFont="1" applyFill="1" applyBorder="1" applyAlignment="1">
      <alignment vertical="center"/>
    </xf>
    <xf numFmtId="41" fontId="265" fillId="2" borderId="17" xfId="34534" applyFont="1" applyFill="1" applyBorder="1" applyAlignment="1">
      <alignment vertical="center"/>
    </xf>
    <xf numFmtId="41" fontId="264" fillId="86" borderId="0" xfId="34534" applyFont="1" applyFill="1" applyAlignment="1">
      <alignment vertical="center"/>
    </xf>
    <xf numFmtId="0" fontId="265" fillId="2" borderId="15" xfId="36916" applyFont="1" applyFill="1" applyBorder="1" applyAlignment="1">
      <alignment horizontal="center" vertical="center"/>
    </xf>
    <xf numFmtId="0" fontId="267" fillId="9" borderId="190" xfId="36916" applyFont="1" applyFill="1" applyBorder="1" applyAlignment="1">
      <alignment horizontal="center" vertical="center"/>
    </xf>
    <xf numFmtId="41" fontId="267" fillId="122" borderId="15" xfId="34534" applyFont="1" applyFill="1" applyBorder="1" applyAlignment="1">
      <alignment vertical="center"/>
    </xf>
    <xf numFmtId="41" fontId="265" fillId="86" borderId="15" xfId="34534" applyFont="1" applyFill="1" applyBorder="1" applyAlignment="1">
      <alignment horizontal="center" vertical="center"/>
    </xf>
    <xf numFmtId="176" fontId="267" fillId="86" borderId="15" xfId="34534" applyNumberFormat="1" applyFont="1" applyFill="1" applyBorder="1" applyAlignment="1">
      <alignment vertical="center"/>
    </xf>
    <xf numFmtId="290" fontId="267" fillId="86" borderId="15" xfId="36916" applyNumberFormat="1" applyFont="1" applyFill="1" applyBorder="1">
      <alignment vertical="center"/>
    </xf>
    <xf numFmtId="41" fontId="267" fillId="14" borderId="15" xfId="34534" applyFont="1" applyFill="1" applyBorder="1" applyAlignment="1">
      <alignment vertical="center"/>
    </xf>
    <xf numFmtId="41" fontId="266" fillId="86" borderId="15" xfId="34534" applyFont="1" applyFill="1" applyBorder="1" applyAlignment="1">
      <alignment horizontal="center" vertical="center"/>
    </xf>
    <xf numFmtId="43" fontId="267" fillId="86" borderId="15" xfId="36916" applyNumberFormat="1" applyFont="1" applyFill="1" applyBorder="1">
      <alignment vertical="center"/>
    </xf>
    <xf numFmtId="41" fontId="267" fillId="121" borderId="15" xfId="34534" applyFont="1" applyFill="1" applyBorder="1" applyAlignment="1">
      <alignment vertical="center"/>
    </xf>
    <xf numFmtId="43" fontId="267" fillId="86" borderId="0" xfId="36916" applyNumberFormat="1" applyFont="1" applyFill="1">
      <alignment vertical="center"/>
    </xf>
    <xf numFmtId="41" fontId="267" fillId="96" borderId="15" xfId="34534" applyFont="1" applyFill="1" applyBorder="1" applyAlignment="1">
      <alignment vertical="center"/>
    </xf>
    <xf numFmtId="0" fontId="267" fillId="86" borderId="0" xfId="36916" applyFont="1" applyFill="1">
      <alignment vertical="center"/>
    </xf>
    <xf numFmtId="41" fontId="267" fillId="120" borderId="15" xfId="34534" applyFont="1" applyFill="1" applyBorder="1" applyAlignment="1">
      <alignment vertical="center"/>
    </xf>
    <xf numFmtId="41" fontId="267" fillId="119" borderId="15" xfId="34534" applyFont="1" applyFill="1" applyBorder="1" applyAlignment="1">
      <alignment vertical="center"/>
    </xf>
    <xf numFmtId="41" fontId="267" fillId="118" borderId="15" xfId="34534" applyFont="1" applyFill="1" applyBorder="1" applyAlignment="1">
      <alignment vertical="center"/>
    </xf>
    <xf numFmtId="41" fontId="267" fillId="114" borderId="15" xfId="34534" applyFont="1" applyFill="1" applyBorder="1" applyAlignment="1">
      <alignment vertical="center"/>
    </xf>
    <xf numFmtId="41" fontId="267" fillId="10" borderId="15" xfId="34534" applyFont="1" applyFill="1" applyBorder="1" applyAlignment="1">
      <alignment vertical="center"/>
    </xf>
    <xf numFmtId="290" fontId="267" fillId="86" borderId="0" xfId="35496" applyNumberFormat="1" applyFont="1" applyFill="1">
      <alignment vertical="center"/>
    </xf>
    <xf numFmtId="41" fontId="267" fillId="13" borderId="15" xfId="34534" applyFont="1" applyFill="1" applyBorder="1" applyAlignment="1">
      <alignment vertical="center"/>
    </xf>
    <xf numFmtId="43" fontId="267" fillId="0" borderId="190" xfId="36916" applyNumberFormat="1" applyFont="1" applyBorder="1">
      <alignment vertical="center"/>
    </xf>
    <xf numFmtId="0" fontId="262" fillId="0" borderId="190" xfId="36916" applyFont="1" applyBorder="1">
      <alignment vertical="center"/>
    </xf>
    <xf numFmtId="41" fontId="267" fillId="116" borderId="15" xfId="34534" applyFont="1" applyFill="1" applyBorder="1" applyAlignment="1">
      <alignment vertical="center"/>
    </xf>
    <xf numFmtId="41" fontId="267" fillId="115" borderId="15" xfId="34534" applyFont="1" applyFill="1" applyBorder="1" applyAlignment="1">
      <alignment vertical="center"/>
    </xf>
    <xf numFmtId="41" fontId="267" fillId="86" borderId="15" xfId="36916" applyNumberFormat="1" applyFont="1" applyFill="1" applyBorder="1" applyAlignment="1">
      <alignment vertical="center"/>
    </xf>
    <xf numFmtId="292" fontId="262" fillId="86" borderId="0" xfId="35496" applyNumberFormat="1" applyFont="1" applyFill="1">
      <alignment vertical="center"/>
    </xf>
    <xf numFmtId="41" fontId="267" fillId="86" borderId="0" xfId="36916" applyNumberFormat="1" applyFont="1" applyFill="1">
      <alignment vertical="center"/>
    </xf>
    <xf numFmtId="291" fontId="267" fillId="86" borderId="0" xfId="36916" applyNumberFormat="1" applyFont="1" applyFill="1">
      <alignment vertical="center"/>
    </xf>
    <xf numFmtId="0" fontId="267" fillId="86" borderId="0" xfId="36916" applyFont="1" applyFill="1" applyBorder="1" applyAlignment="1">
      <alignment horizontal="left" vertical="center"/>
    </xf>
    <xf numFmtId="0" fontId="264" fillId="2" borderId="15" xfId="36916" applyFont="1" applyFill="1" applyBorder="1" applyAlignment="1">
      <alignment horizontal="center" vertical="center"/>
    </xf>
    <xf numFmtId="0" fontId="267" fillId="9" borderId="190" xfId="36916" applyFont="1" applyFill="1" applyBorder="1">
      <alignment vertical="center"/>
    </xf>
    <xf numFmtId="0" fontId="267" fillId="0" borderId="0" xfId="36916" applyFont="1">
      <alignment vertical="center"/>
    </xf>
    <xf numFmtId="0" fontId="264" fillId="2" borderId="189" xfId="36916" applyFont="1" applyFill="1" applyBorder="1" applyAlignment="1">
      <alignment horizontal="center" vertical="center"/>
    </xf>
    <xf numFmtId="0" fontId="264" fillId="2" borderId="188" xfId="36916" applyFont="1" applyFill="1" applyBorder="1" applyAlignment="1">
      <alignment horizontal="center" vertical="center"/>
    </xf>
    <xf numFmtId="0" fontId="264" fillId="2" borderId="7" xfId="36916" applyFont="1" applyFill="1" applyBorder="1" applyAlignment="1">
      <alignment horizontal="center" vertical="center"/>
    </xf>
    <xf numFmtId="43" fontId="267" fillId="86" borderId="15" xfId="36916" applyNumberFormat="1" applyFont="1" applyFill="1" applyBorder="1" applyAlignment="1">
      <alignment horizontal="center" vertical="center"/>
    </xf>
    <xf numFmtId="236" fontId="267" fillId="10" borderId="15" xfId="36916" applyNumberFormat="1" applyFont="1" applyFill="1" applyBorder="1" applyAlignment="1">
      <alignment horizontal="center" vertical="center"/>
    </xf>
    <xf numFmtId="188" fontId="267" fillId="86" borderId="186" xfId="36916" applyNumberFormat="1" applyFont="1" applyFill="1" applyBorder="1" applyAlignment="1">
      <alignment horizontal="center" vertical="center"/>
    </xf>
    <xf numFmtId="188" fontId="267" fillId="86" borderId="15" xfId="36916" applyNumberFormat="1" applyFont="1" applyFill="1" applyBorder="1" applyAlignment="1">
      <alignment horizontal="center" vertical="center"/>
    </xf>
    <xf numFmtId="188" fontId="267" fillId="86" borderId="187" xfId="36916" applyNumberFormat="1" applyFont="1" applyFill="1" applyBorder="1" applyAlignment="1">
      <alignment horizontal="center" vertical="center"/>
    </xf>
    <xf numFmtId="43" fontId="267" fillId="0" borderId="190" xfId="36916" applyNumberFormat="1" applyFont="1" applyFill="1" applyBorder="1">
      <alignment vertical="center"/>
    </xf>
    <xf numFmtId="0" fontId="267" fillId="5" borderId="190" xfId="36916" applyFont="1" applyFill="1" applyBorder="1" applyAlignment="1">
      <alignment horizontal="center" vertical="center"/>
    </xf>
    <xf numFmtId="43" fontId="268" fillId="86" borderId="15" xfId="36916" applyNumberFormat="1" applyFont="1" applyFill="1" applyBorder="1">
      <alignment vertical="center"/>
    </xf>
    <xf numFmtId="0" fontId="267" fillId="123" borderId="190" xfId="36916" applyFont="1" applyFill="1" applyBorder="1">
      <alignment vertical="center"/>
    </xf>
    <xf numFmtId="43" fontId="267" fillId="123" borderId="190" xfId="36916" applyNumberFormat="1" applyFont="1" applyFill="1" applyBorder="1">
      <alignment vertical="center"/>
    </xf>
    <xf numFmtId="0" fontId="267" fillId="86" borderId="17" xfId="36916" applyFont="1" applyFill="1" applyBorder="1" applyAlignment="1">
      <alignment horizontal="left" vertical="center"/>
    </xf>
    <xf numFmtId="0" fontId="262" fillId="0" borderId="15" xfId="36916" applyFont="1" applyBorder="1">
      <alignment vertical="center"/>
    </xf>
    <xf numFmtId="0" fontId="262" fillId="0" borderId="16" xfId="36916" applyFont="1" applyBorder="1">
      <alignment vertical="center"/>
    </xf>
    <xf numFmtId="0" fontId="267" fillId="86" borderId="186" xfId="36916" applyFont="1" applyFill="1" applyBorder="1" applyAlignment="1">
      <alignment horizontal="center" vertical="center"/>
    </xf>
    <xf numFmtId="43" fontId="267" fillId="0" borderId="15" xfId="36916" applyNumberFormat="1" applyFont="1" applyBorder="1" applyAlignment="1">
      <alignment horizontal="center" vertical="center"/>
    </xf>
    <xf numFmtId="0" fontId="262" fillId="0" borderId="17" xfId="36916" applyFont="1" applyBorder="1">
      <alignment vertical="center"/>
    </xf>
    <xf numFmtId="43" fontId="268" fillId="0" borderId="15" xfId="36916" applyNumberFormat="1" applyFont="1" applyBorder="1" applyAlignment="1">
      <alignment horizontal="center" vertical="center"/>
    </xf>
    <xf numFmtId="41" fontId="267" fillId="0" borderId="0" xfId="36916" applyNumberFormat="1" applyFont="1">
      <alignment vertical="center"/>
    </xf>
    <xf numFmtId="0" fontId="264" fillId="2" borderId="17" xfId="36916" applyFont="1" applyFill="1" applyBorder="1" applyAlignment="1">
      <alignment horizontal="center" vertical="center"/>
    </xf>
    <xf numFmtId="0" fontId="262" fillId="9" borderId="190" xfId="36916" applyFont="1" applyFill="1" applyBorder="1" applyAlignment="1">
      <alignment horizontal="center" vertical="center"/>
    </xf>
    <xf numFmtId="2" fontId="267" fillId="86" borderId="186" xfId="36916" applyNumberFormat="1" applyFont="1" applyFill="1" applyBorder="1" applyAlignment="1">
      <alignment horizontal="center" vertical="center"/>
    </xf>
    <xf numFmtId="0" fontId="267" fillId="114" borderId="190" xfId="36916" applyFont="1" applyFill="1" applyBorder="1" applyAlignment="1">
      <alignment horizontal="center" vertical="center"/>
    </xf>
    <xf numFmtId="41" fontId="267" fillId="86" borderId="15" xfId="34534" applyFont="1" applyFill="1" applyBorder="1" applyAlignment="1">
      <alignment horizontal="center" vertical="center"/>
    </xf>
    <xf numFmtId="0" fontId="262" fillId="123" borderId="190" xfId="36916" applyFont="1" applyFill="1" applyBorder="1">
      <alignment vertical="center"/>
    </xf>
    <xf numFmtId="43" fontId="262" fillId="0" borderId="190" xfId="36916" applyNumberFormat="1" applyFont="1" applyBorder="1">
      <alignment vertical="center"/>
    </xf>
    <xf numFmtId="290" fontId="262" fillId="0" borderId="0" xfId="35496" applyNumberFormat="1" applyFont="1">
      <alignment vertical="center"/>
    </xf>
    <xf numFmtId="0" fontId="262" fillId="86" borderId="15" xfId="36916" applyFont="1" applyFill="1" applyBorder="1" applyAlignment="1">
      <alignment horizontal="center" vertical="center"/>
    </xf>
    <xf numFmtId="244" fontId="267" fillId="86" borderId="15" xfId="36916" applyNumberFormat="1" applyFont="1" applyFill="1" applyBorder="1" applyAlignment="1">
      <alignment horizontal="center" vertical="center"/>
    </xf>
    <xf numFmtId="244" fontId="267" fillId="0" borderId="15" xfId="36916" applyNumberFormat="1" applyFont="1" applyFill="1" applyBorder="1" applyAlignment="1">
      <alignment horizontal="center" vertical="center"/>
    </xf>
    <xf numFmtId="176" fontId="269" fillId="0" borderId="15" xfId="2" applyNumberFormat="1" applyFont="1" applyFill="1" applyBorder="1" applyAlignment="1">
      <alignment horizontal="center" vertical="center" wrapText="1"/>
    </xf>
    <xf numFmtId="176" fontId="268" fillId="86" borderId="15" xfId="2" applyNumberFormat="1" applyFont="1" applyFill="1" applyBorder="1" applyAlignment="1">
      <alignment vertical="center"/>
    </xf>
    <xf numFmtId="176" fontId="268" fillId="10" borderId="15" xfId="2" applyNumberFormat="1" applyFont="1" applyFill="1" applyBorder="1" applyAlignment="1">
      <alignment vertical="center"/>
    </xf>
    <xf numFmtId="41" fontId="265" fillId="123" borderId="15" xfId="34534" applyFont="1" applyFill="1" applyBorder="1" applyAlignment="1">
      <alignment horizontal="center" vertical="center"/>
    </xf>
    <xf numFmtId="43" fontId="267" fillId="123" borderId="15" xfId="36916" applyNumberFormat="1" applyFont="1" applyFill="1" applyBorder="1">
      <alignment vertical="center"/>
    </xf>
    <xf numFmtId="290" fontId="267" fillId="123" borderId="15" xfId="36916" applyNumberFormat="1" applyFont="1" applyFill="1" applyBorder="1">
      <alignment vertical="center"/>
    </xf>
    <xf numFmtId="183" fontId="30" fillId="0" borderId="0" xfId="3" applyNumberFormat="1" applyFont="1" applyFill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right" vertical="center"/>
    </xf>
    <xf numFmtId="41" fontId="30" fillId="0" borderId="0" xfId="2" applyFont="1" applyFill="1" applyBorder="1" applyAlignment="1" applyProtection="1">
      <alignment horizontal="right" vertical="center"/>
    </xf>
    <xf numFmtId="9" fontId="27" fillId="0" borderId="0" xfId="2" applyNumberFormat="1" applyFont="1" applyFill="1" applyBorder="1" applyAlignment="1">
      <alignment horizontal="center" vertical="center"/>
    </xf>
    <xf numFmtId="177" fontId="27" fillId="0" borderId="0" xfId="2" applyNumberFormat="1" applyFont="1" applyFill="1" applyBorder="1" applyAlignment="1">
      <alignment horizontal="right" vertical="center"/>
    </xf>
    <xf numFmtId="41" fontId="30" fillId="0" borderId="0" xfId="2" applyFont="1" applyFill="1" applyBorder="1" applyAlignment="1">
      <alignment vertical="center"/>
    </xf>
    <xf numFmtId="9" fontId="30" fillId="0" borderId="0" xfId="2" applyNumberFormat="1" applyFont="1" applyFill="1" applyBorder="1" applyAlignment="1">
      <alignment horizontal="right" vertical="center"/>
    </xf>
    <xf numFmtId="0" fontId="22" fillId="0" borderId="0" xfId="3" applyFont="1" applyFill="1" applyBorder="1" applyAlignment="1">
      <alignment horizontal="center" vertical="center"/>
    </xf>
    <xf numFmtId="177" fontId="31" fillId="0" borderId="59" xfId="3" applyNumberFormat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0" fontId="13" fillId="0" borderId="0" xfId="36917">
      <alignment vertical="center"/>
    </xf>
    <xf numFmtId="41" fontId="0" fillId="0" borderId="0" xfId="36918" applyFont="1">
      <alignment vertical="center"/>
    </xf>
    <xf numFmtId="295" fontId="273" fillId="0" borderId="0" xfId="36918" applyNumberFormat="1" applyFont="1">
      <alignment vertical="center"/>
    </xf>
    <xf numFmtId="0" fontId="13" fillId="0" borderId="153" xfId="36917" applyBorder="1">
      <alignment vertical="center"/>
    </xf>
    <xf numFmtId="41" fontId="0" fillId="0" borderId="193" xfId="36918" applyFont="1" applyBorder="1">
      <alignment vertical="center"/>
    </xf>
    <xf numFmtId="0" fontId="13" fillId="0" borderId="0" xfId="36917" applyAlignment="1">
      <alignment horizontal="center" vertical="center"/>
    </xf>
    <xf numFmtId="0" fontId="13" fillId="0" borderId="153" xfId="36917" applyFill="1" applyBorder="1">
      <alignment vertical="center"/>
    </xf>
    <xf numFmtId="41" fontId="0" fillId="0" borderId="193" xfId="36918" applyFont="1" applyFill="1" applyBorder="1">
      <alignment vertical="center"/>
    </xf>
    <xf numFmtId="0" fontId="13" fillId="0" borderId="153" xfId="36917" applyBorder="1" applyAlignment="1">
      <alignment horizontal="center" vertical="center"/>
    </xf>
    <xf numFmtId="41" fontId="0" fillId="0" borderId="193" xfId="36918" applyFont="1" applyBorder="1" applyAlignment="1">
      <alignment horizontal="center" vertical="center"/>
    </xf>
    <xf numFmtId="41" fontId="30" fillId="0" borderId="25" xfId="2" applyFont="1" applyFill="1" applyBorder="1" applyAlignment="1">
      <alignment vertical="center"/>
    </xf>
    <xf numFmtId="41" fontId="32" fillId="2" borderId="147" xfId="2" applyFont="1" applyFill="1" applyBorder="1" applyAlignment="1">
      <alignment vertical="center" wrapText="1"/>
    </xf>
    <xf numFmtId="0" fontId="11" fillId="0" borderId="0" xfId="36917" quotePrefix="1" applyFont="1">
      <alignment vertical="center"/>
    </xf>
    <xf numFmtId="41" fontId="30" fillId="0" borderId="1" xfId="2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41" fontId="30" fillId="0" borderId="0" xfId="3" applyNumberFormat="1" applyFont="1">
      <alignment vertical="center"/>
    </xf>
    <xf numFmtId="10" fontId="13" fillId="0" borderId="0" xfId="1" applyNumberFormat="1" applyFont="1" applyAlignment="1">
      <alignment vertical="center"/>
    </xf>
    <xf numFmtId="41" fontId="0" fillId="0" borderId="195" xfId="36918" applyFont="1" applyBorder="1" applyAlignment="1">
      <alignment vertical="center" shrinkToFit="1"/>
    </xf>
    <xf numFmtId="41" fontId="267" fillId="0" borderId="32" xfId="34534" applyFont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1" xfId="2" applyFont="1" applyFill="1" applyBorder="1" applyAlignment="1">
      <alignment horizontal="center" vertical="center"/>
    </xf>
    <xf numFmtId="179" fontId="269" fillId="0" borderId="15" xfId="2" applyNumberFormat="1" applyFont="1" applyFill="1" applyBorder="1" applyAlignment="1">
      <alignment horizontal="center" vertical="center" wrapText="1"/>
    </xf>
    <xf numFmtId="179" fontId="269" fillId="10" borderId="15" xfId="2" applyNumberFormat="1" applyFont="1" applyFill="1" applyBorder="1" applyAlignment="1">
      <alignment horizontal="center" vertical="center" wrapText="1"/>
    </xf>
    <xf numFmtId="176" fontId="268" fillId="10" borderId="15" xfId="36916" applyNumberFormat="1" applyFont="1" applyFill="1" applyBorder="1">
      <alignment vertical="center"/>
    </xf>
    <xf numFmtId="41" fontId="30" fillId="11" borderId="154" xfId="2" applyFont="1" applyFill="1" applyBorder="1" applyAlignment="1">
      <alignment vertical="center"/>
    </xf>
    <xf numFmtId="176" fontId="30" fillId="11" borderId="154" xfId="2" applyNumberFormat="1" applyFont="1" applyFill="1" applyBorder="1" applyAlignment="1">
      <alignment horizontal="center" vertical="center"/>
    </xf>
    <xf numFmtId="176" fontId="30" fillId="0" borderId="0" xfId="2" applyNumberFormat="1" applyFont="1" applyBorder="1" applyAlignment="1">
      <alignment vertical="center"/>
    </xf>
    <xf numFmtId="180" fontId="30" fillId="0" borderId="153" xfId="2" applyNumberFormat="1" applyFont="1" applyBorder="1" applyAlignment="1">
      <alignment horizontal="center" vertical="center"/>
    </xf>
    <xf numFmtId="180" fontId="30" fillId="10" borderId="153" xfId="2" applyNumberFormat="1" applyFont="1" applyFill="1" applyBorder="1" applyAlignment="1">
      <alignment horizontal="center" vertical="center"/>
    </xf>
    <xf numFmtId="0" fontId="9" fillId="0" borderId="153" xfId="36917" applyFont="1" applyBorder="1">
      <alignment vertical="center"/>
    </xf>
    <xf numFmtId="0" fontId="30" fillId="0" borderId="153" xfId="3" applyFont="1" applyBorder="1">
      <alignment vertical="center"/>
    </xf>
    <xf numFmtId="0" fontId="30" fillId="0" borderId="78" xfId="3" applyFont="1" applyBorder="1">
      <alignment vertical="center"/>
    </xf>
    <xf numFmtId="41" fontId="39" fillId="0" borderId="153" xfId="2" applyFont="1" applyFill="1" applyBorder="1" applyAlignment="1">
      <alignment vertical="center"/>
    </xf>
    <xf numFmtId="41" fontId="39" fillId="11" borderId="153" xfId="2" applyFont="1" applyFill="1" applyBorder="1" applyAlignment="1">
      <alignment vertical="center"/>
    </xf>
    <xf numFmtId="41" fontId="39" fillId="0" borderId="153" xfId="2" applyFont="1" applyBorder="1" applyAlignment="1">
      <alignment vertical="center"/>
    </xf>
    <xf numFmtId="176" fontId="262" fillId="0" borderId="0" xfId="2" applyNumberFormat="1" applyFont="1" applyAlignment="1">
      <alignment vertical="center"/>
    </xf>
    <xf numFmtId="41" fontId="41" fillId="11" borderId="72" xfId="2" applyFont="1" applyFill="1" applyBorder="1" applyAlignment="1">
      <alignment horizontal="center" vertical="center"/>
    </xf>
    <xf numFmtId="9" fontId="42" fillId="11" borderId="72" xfId="1" applyFont="1" applyFill="1" applyBorder="1" applyAlignment="1">
      <alignment horizontal="right" vertical="center"/>
    </xf>
    <xf numFmtId="190" fontId="30" fillId="11" borderId="72" xfId="2" applyNumberFormat="1" applyFont="1" applyFill="1" applyBorder="1" applyAlignment="1">
      <alignment horizontal="center" vertical="center"/>
    </xf>
    <xf numFmtId="41" fontId="30" fillId="11" borderId="72" xfId="2" applyFont="1" applyFill="1" applyBorder="1" applyAlignment="1">
      <alignment horizontal="center" vertical="center"/>
    </xf>
    <xf numFmtId="41" fontId="27" fillId="11" borderId="72" xfId="2" applyFont="1" applyFill="1" applyBorder="1" applyAlignment="1">
      <alignment horizontal="center" vertical="center"/>
    </xf>
    <xf numFmtId="41" fontId="30" fillId="0" borderId="43" xfId="2" applyFont="1" applyFill="1" applyBorder="1" applyAlignment="1">
      <alignment vertical="center"/>
    </xf>
    <xf numFmtId="41" fontId="270" fillId="9" borderId="153" xfId="3" applyNumberFormat="1" applyFont="1" applyFill="1" applyBorder="1">
      <alignment vertical="center"/>
    </xf>
    <xf numFmtId="0" fontId="39" fillId="0" borderId="82" xfId="3" applyFont="1" applyFill="1" applyBorder="1" applyAlignment="1">
      <alignment horizontal="center" vertical="center"/>
    </xf>
    <xf numFmtId="10" fontId="39" fillId="0" borderId="153" xfId="1" applyNumberFormat="1" applyFont="1" applyFill="1" applyBorder="1" applyAlignment="1">
      <alignment horizontal="center" vertical="center"/>
    </xf>
    <xf numFmtId="41" fontId="39" fillId="0" borderId="78" xfId="2" applyFont="1" applyFill="1" applyBorder="1" applyAlignment="1">
      <alignment vertical="center"/>
    </xf>
    <xf numFmtId="0" fontId="39" fillId="11" borderId="82" xfId="3" applyFont="1" applyFill="1" applyBorder="1" applyAlignment="1">
      <alignment horizontal="center" vertical="center"/>
    </xf>
    <xf numFmtId="0" fontId="39" fillId="11" borderId="153" xfId="3" applyFont="1" applyFill="1" applyBorder="1">
      <alignment vertical="center"/>
    </xf>
    <xf numFmtId="41" fontId="39" fillId="11" borderId="78" xfId="2" applyFont="1" applyFill="1" applyBorder="1" applyAlignment="1">
      <alignment vertical="center"/>
    </xf>
    <xf numFmtId="0" fontId="39" fillId="0" borderId="82" xfId="3" applyFont="1" applyBorder="1" applyAlignment="1">
      <alignment horizontal="center" vertical="center"/>
    </xf>
    <xf numFmtId="41" fontId="270" fillId="11" borderId="153" xfId="2" applyFont="1" applyFill="1" applyBorder="1" applyAlignment="1">
      <alignment vertical="center"/>
    </xf>
    <xf numFmtId="41" fontId="270" fillId="13" borderId="85" xfId="3" applyNumberFormat="1" applyFont="1" applyFill="1" applyBorder="1">
      <alignment vertical="center"/>
    </xf>
    <xf numFmtId="41" fontId="270" fillId="9" borderId="153" xfId="2" applyFont="1" applyFill="1" applyBorder="1" applyAlignment="1">
      <alignment vertical="center"/>
    </xf>
    <xf numFmtId="41" fontId="270" fillId="9" borderId="78" xfId="3" applyNumberFormat="1" applyFont="1" applyFill="1" applyBorder="1">
      <alignment vertical="center"/>
    </xf>
    <xf numFmtId="181" fontId="32" fillId="8" borderId="25" xfId="2" applyNumberFormat="1" applyFont="1" applyFill="1" applyBorder="1" applyAlignment="1">
      <alignment vertical="center"/>
    </xf>
    <xf numFmtId="186" fontId="30" fillId="0" borderId="1" xfId="1" applyNumberFormat="1" applyFont="1" applyFill="1" applyBorder="1" applyAlignment="1">
      <alignment vertical="center"/>
    </xf>
    <xf numFmtId="9" fontId="30" fillId="0" borderId="1" xfId="1" applyFont="1" applyFill="1" applyBorder="1" applyAlignment="1">
      <alignment vertical="center"/>
    </xf>
    <xf numFmtId="41" fontId="30" fillId="0" borderId="53" xfId="2" applyFont="1" applyFill="1" applyBorder="1" applyAlignment="1">
      <alignment vertical="center"/>
    </xf>
    <xf numFmtId="0" fontId="30" fillId="0" borderId="15" xfId="3" applyFont="1" applyBorder="1">
      <alignment vertical="center"/>
    </xf>
    <xf numFmtId="0" fontId="30" fillId="0" borderId="214" xfId="3" applyFont="1" applyBorder="1">
      <alignment vertical="center"/>
    </xf>
    <xf numFmtId="41" fontId="30" fillId="11" borderId="201" xfId="2" applyFont="1" applyFill="1" applyBorder="1" applyAlignment="1">
      <alignment horizontal="center" vertical="center"/>
    </xf>
    <xf numFmtId="41" fontId="30" fillId="11" borderId="215" xfId="2" applyFont="1" applyFill="1" applyBorder="1" applyAlignment="1">
      <alignment horizontal="right" vertical="center"/>
    </xf>
    <xf numFmtId="183" fontId="30" fillId="0" borderId="42" xfId="3" applyNumberFormat="1" applyFont="1" applyBorder="1">
      <alignment vertical="center"/>
    </xf>
    <xf numFmtId="0" fontId="30" fillId="0" borderId="216" xfId="3" applyFont="1" applyBorder="1">
      <alignment vertical="center"/>
    </xf>
    <xf numFmtId="183" fontId="30" fillId="0" borderId="17" xfId="3" applyNumberFormat="1" applyFont="1" applyBorder="1">
      <alignment vertical="center"/>
    </xf>
    <xf numFmtId="0" fontId="30" fillId="0" borderId="141" xfId="3" applyFont="1" applyBorder="1">
      <alignment vertical="center"/>
    </xf>
    <xf numFmtId="183" fontId="30" fillId="0" borderId="52" xfId="3" applyNumberFormat="1" applyFont="1" applyBorder="1">
      <alignment vertical="center"/>
    </xf>
    <xf numFmtId="0" fontId="8" fillId="0" borderId="0" xfId="36917" applyFont="1">
      <alignment vertical="center"/>
    </xf>
    <xf numFmtId="0" fontId="8" fillId="0" borderId="0" xfId="36917" quotePrefix="1" applyFont="1">
      <alignment vertical="center"/>
    </xf>
    <xf numFmtId="176" fontId="30" fillId="10" borderId="153" xfId="2" applyNumberFormat="1" applyFont="1" applyFill="1" applyBorder="1" applyAlignment="1">
      <alignment horizontal="center" vertical="center"/>
    </xf>
    <xf numFmtId="0" fontId="274" fillId="0" borderId="0" xfId="0" applyFont="1"/>
    <xf numFmtId="0" fontId="274" fillId="0" borderId="0" xfId="0" applyFont="1" applyAlignment="1">
      <alignment vertical="center"/>
    </xf>
    <xf numFmtId="0" fontId="0" fillId="0" borderId="0" xfId="0" applyAlignment="1">
      <alignment horizontal="center"/>
    </xf>
    <xf numFmtId="41" fontId="0" fillId="0" borderId="0" xfId="0" applyNumberFormat="1" applyAlignment="1"/>
    <xf numFmtId="9" fontId="0" fillId="0" borderId="0" xfId="0" applyNumberFormat="1" applyAlignment="1">
      <alignment horizontal="center"/>
    </xf>
    <xf numFmtId="41" fontId="0" fillId="0" borderId="0" xfId="0" applyNumberFormat="1"/>
    <xf numFmtId="43" fontId="0" fillId="0" borderId="0" xfId="0" applyNumberFormat="1"/>
    <xf numFmtId="41" fontId="0" fillId="0" borderId="0" xfId="2" applyFont="1"/>
    <xf numFmtId="177" fontId="0" fillId="0" borderId="0" xfId="1" applyNumberFormat="1" applyFont="1" applyAlignment="1">
      <alignment horizontal="center"/>
    </xf>
    <xf numFmtId="10" fontId="0" fillId="0" borderId="0" xfId="0" applyNumberFormat="1"/>
    <xf numFmtId="41" fontId="13" fillId="0" borderId="0" xfId="36917" applyNumberFormat="1">
      <alignment vertical="center"/>
    </xf>
    <xf numFmtId="187" fontId="32" fillId="17" borderId="153" xfId="2" applyNumberFormat="1" applyFont="1" applyFill="1" applyBorder="1" applyAlignment="1">
      <alignment vertical="center" wrapText="1"/>
    </xf>
    <xf numFmtId="187" fontId="32" fillId="17" borderId="78" xfId="2" applyNumberFormat="1" applyFont="1" applyFill="1" applyBorder="1" applyAlignment="1">
      <alignment vertical="center" wrapText="1"/>
    </xf>
    <xf numFmtId="187" fontId="32" fillId="17" borderId="182" xfId="2" applyNumberFormat="1" applyFont="1" applyFill="1" applyBorder="1" applyAlignment="1">
      <alignment vertical="center" wrapText="1"/>
    </xf>
    <xf numFmtId="177" fontId="13" fillId="0" borderId="0" xfId="1" applyNumberFormat="1" applyFont="1" applyAlignment="1">
      <alignment vertical="center"/>
    </xf>
    <xf numFmtId="43" fontId="13" fillId="0" borderId="0" xfId="36917" applyNumberFormat="1">
      <alignment vertical="center"/>
    </xf>
    <xf numFmtId="41" fontId="0" fillId="0" borderId="0" xfId="2" applyFont="1" applyAlignment="1">
      <alignment vertical="center"/>
    </xf>
    <xf numFmtId="0" fontId="5" fillId="0" borderId="0" xfId="36917" quotePrefix="1" applyFont="1">
      <alignment vertical="center"/>
    </xf>
    <xf numFmtId="0" fontId="13" fillId="0" borderId="217" xfId="36917" applyBorder="1" applyAlignment="1">
      <alignment horizontal="center" vertical="center"/>
    </xf>
    <xf numFmtId="41" fontId="0" fillId="0" borderId="143" xfId="36918" applyFont="1" applyBorder="1">
      <alignment vertical="center"/>
    </xf>
    <xf numFmtId="41" fontId="0" fillId="0" borderId="218" xfId="36918" applyFont="1" applyBorder="1">
      <alignment vertical="center"/>
    </xf>
    <xf numFmtId="0" fontId="5" fillId="0" borderId="0" xfId="36917" applyFont="1">
      <alignment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horizontal="center" vertical="center"/>
    </xf>
    <xf numFmtId="177" fontId="267" fillId="86" borderId="15" xfId="1" applyNumberFormat="1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vertical="center"/>
    </xf>
    <xf numFmtId="41" fontId="30" fillId="0" borderId="1" xfId="2" applyFont="1" applyFill="1" applyBorder="1" applyAlignment="1">
      <alignment vertical="center"/>
    </xf>
    <xf numFmtId="187" fontId="32" fillId="17" borderId="140" xfId="2" applyNumberFormat="1" applyFont="1" applyFill="1" applyBorder="1" applyAlignment="1">
      <alignment vertical="center" wrapText="1"/>
    </xf>
    <xf numFmtId="187" fontId="32" fillId="17" borderId="221" xfId="2" applyNumberFormat="1" applyFont="1" applyFill="1" applyBorder="1" applyAlignment="1">
      <alignment vertical="center" wrapText="1"/>
    </xf>
    <xf numFmtId="187" fontId="32" fillId="17" borderId="85" xfId="2" applyNumberFormat="1" applyFont="1" applyFill="1" applyBorder="1" applyAlignment="1">
      <alignment vertical="center" wrapText="1"/>
    </xf>
    <xf numFmtId="0" fontId="13" fillId="0" borderId="27" xfId="36917" applyBorder="1">
      <alignment vertical="center"/>
    </xf>
    <xf numFmtId="0" fontId="13" fillId="0" borderId="27" xfId="36917" applyFill="1" applyBorder="1">
      <alignment vertical="center"/>
    </xf>
    <xf numFmtId="0" fontId="13" fillId="0" borderId="27" xfId="36917" applyBorder="1" applyAlignment="1">
      <alignment horizontal="center" vertical="center"/>
    </xf>
    <xf numFmtId="0" fontId="4" fillId="0" borderId="27" xfId="36917" applyFont="1" applyBorder="1" applyAlignment="1">
      <alignment horizontal="center" vertical="center"/>
    </xf>
    <xf numFmtId="0" fontId="4" fillId="0" borderId="187" xfId="36917" applyFont="1" applyBorder="1" applyAlignment="1">
      <alignment horizontal="center" vertical="center"/>
    </xf>
    <xf numFmtId="41" fontId="0" fillId="0" borderId="12" xfId="36918" applyFont="1" applyBorder="1">
      <alignment vertical="center"/>
    </xf>
    <xf numFmtId="41" fontId="0" fillId="0" borderId="148" xfId="36918" applyFont="1" applyBorder="1" applyAlignment="1">
      <alignment vertical="center" shrinkToFit="1"/>
    </xf>
    <xf numFmtId="41" fontId="0" fillId="10" borderId="12" xfId="36918" applyFont="1" applyFill="1" applyBorder="1">
      <alignment vertical="center"/>
    </xf>
    <xf numFmtId="41" fontId="0" fillId="0" borderId="14" xfId="36918" applyFont="1" applyFill="1" applyBorder="1" applyAlignment="1">
      <alignment vertical="center" shrinkToFit="1"/>
    </xf>
    <xf numFmtId="0" fontId="4" fillId="0" borderId="220" xfId="36917" applyFont="1" applyBorder="1" applyAlignment="1">
      <alignment horizontal="center" vertical="center"/>
    </xf>
    <xf numFmtId="41" fontId="0" fillId="0" borderId="14" xfId="36918" applyFont="1" applyBorder="1">
      <alignment vertical="center"/>
    </xf>
    <xf numFmtId="41" fontId="0" fillId="0" borderId="148" xfId="36918" applyFont="1" applyBorder="1">
      <alignment vertical="center"/>
    </xf>
    <xf numFmtId="41" fontId="30" fillId="0" borderId="6" xfId="2" applyFont="1" applyFill="1" applyBorder="1" applyAlignment="1">
      <alignment horizontal="center" vertical="center"/>
    </xf>
    <xf numFmtId="41" fontId="30" fillId="0" borderId="25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horizontal="center" vertical="center"/>
    </xf>
    <xf numFmtId="176" fontId="30" fillId="0" borderId="0" xfId="2" applyNumberFormat="1" applyFont="1" applyBorder="1" applyAlignment="1">
      <alignment horizontal="left" vertical="center"/>
    </xf>
    <xf numFmtId="41" fontId="30" fillId="0" borderId="1" xfId="2" applyFont="1" applyFill="1" applyBorder="1" applyAlignment="1">
      <alignment vertical="center"/>
    </xf>
    <xf numFmtId="41" fontId="27" fillId="4" borderId="209" xfId="2" applyFont="1" applyFill="1" applyBorder="1" applyAlignment="1">
      <alignment horizontal="center" vertical="center"/>
    </xf>
    <xf numFmtId="41" fontId="27" fillId="4" borderId="140" xfId="2" applyFont="1" applyFill="1" applyBorder="1" applyAlignment="1">
      <alignment vertical="center"/>
    </xf>
    <xf numFmtId="41" fontId="27" fillId="2" borderId="228" xfId="2" applyFont="1" applyFill="1" applyBorder="1" applyAlignment="1">
      <alignment horizontal="center" vertical="center"/>
    </xf>
    <xf numFmtId="41" fontId="27" fillId="2" borderId="228" xfId="2" applyFont="1" applyFill="1" applyBorder="1" applyAlignment="1">
      <alignment vertical="center"/>
    </xf>
    <xf numFmtId="41" fontId="30" fillId="0" borderId="15" xfId="2" applyFont="1" applyFill="1" applyBorder="1" applyAlignment="1">
      <alignment horizontal="center" vertical="center"/>
    </xf>
    <xf numFmtId="0" fontId="30" fillId="0" borderId="153" xfId="3" applyFont="1" applyBorder="1" applyAlignment="1">
      <alignment horizontal="center" vertical="center"/>
    </xf>
    <xf numFmtId="0" fontId="30" fillId="9" borderId="82" xfId="3" applyFont="1" applyFill="1" applyBorder="1" applyAlignment="1">
      <alignment horizontal="center" vertical="center"/>
    </xf>
    <xf numFmtId="0" fontId="30" fillId="9" borderId="223" xfId="3" applyFont="1" applyFill="1" applyBorder="1" applyAlignment="1">
      <alignment horizontal="center" vertical="center"/>
    </xf>
    <xf numFmtId="299" fontId="30" fillId="0" borderId="182" xfId="3" applyNumberFormat="1" applyFont="1" applyBorder="1" applyAlignment="1">
      <alignment horizontal="center" vertical="center"/>
    </xf>
    <xf numFmtId="0" fontId="30" fillId="0" borderId="182" xfId="3" applyFont="1" applyBorder="1" applyAlignment="1">
      <alignment horizontal="center" vertical="center"/>
    </xf>
    <xf numFmtId="0" fontId="30" fillId="0" borderId="221" xfId="3" applyFont="1" applyBorder="1">
      <alignment vertical="center"/>
    </xf>
    <xf numFmtId="0" fontId="30" fillId="0" borderId="68" xfId="3" applyFont="1" applyBorder="1" applyAlignment="1">
      <alignment horizontal="center" vertical="center"/>
    </xf>
    <xf numFmtId="0" fontId="30" fillId="0" borderId="81" xfId="3" applyFont="1" applyBorder="1" applyAlignment="1">
      <alignment horizontal="center" vertical="center"/>
    </xf>
    <xf numFmtId="10" fontId="30" fillId="0" borderId="153" xfId="1" applyNumberFormat="1" applyFont="1" applyBorder="1" applyAlignment="1">
      <alignment horizontal="center" vertical="center"/>
    </xf>
    <xf numFmtId="10" fontId="30" fillId="0" borderId="182" xfId="1" applyNumberFormat="1" applyFont="1" applyBorder="1" applyAlignment="1">
      <alignment horizontal="center" vertical="center"/>
    </xf>
    <xf numFmtId="41" fontId="270" fillId="11" borderId="78" xfId="2" applyFont="1" applyFill="1" applyBorder="1" applyAlignment="1">
      <alignment vertical="center"/>
    </xf>
    <xf numFmtId="41" fontId="270" fillId="13" borderId="86" xfId="3" applyNumberFormat="1" applyFont="1" applyFill="1" applyBorder="1">
      <alignment vertical="center"/>
    </xf>
    <xf numFmtId="181" fontId="30" fillId="15" borderId="238" xfId="2" applyNumberFormat="1" applyFont="1" applyFill="1" applyBorder="1" applyAlignment="1">
      <alignment vertical="center"/>
    </xf>
    <xf numFmtId="181" fontId="30" fillId="15" borderId="221" xfId="2" applyNumberFormat="1" applyFont="1" applyFill="1" applyBorder="1" applyAlignment="1">
      <alignment vertical="center"/>
    </xf>
    <xf numFmtId="180" fontId="34" fillId="18" borderId="218" xfId="2" applyNumberFormat="1" applyFont="1" applyFill="1" applyBorder="1" applyAlignment="1">
      <alignment horizontal="center" vertical="center"/>
    </xf>
    <xf numFmtId="181" fontId="30" fillId="15" borderId="86" xfId="2" applyNumberFormat="1" applyFont="1" applyFill="1" applyBorder="1" applyAlignment="1">
      <alignment vertical="center"/>
    </xf>
    <xf numFmtId="41" fontId="39" fillId="11" borderId="207" xfId="2" applyFont="1" applyFill="1" applyBorder="1" applyAlignment="1">
      <alignment horizontal="center" vertical="center"/>
    </xf>
    <xf numFmtId="41" fontId="39" fillId="0" borderId="205" xfId="2" applyFont="1" applyBorder="1" applyAlignment="1">
      <alignment horizontal="center" vertical="center"/>
    </xf>
    <xf numFmtId="41" fontId="39" fillId="0" borderId="210" xfId="2" applyFont="1" applyBorder="1" applyAlignment="1">
      <alignment horizontal="center" vertical="center"/>
    </xf>
    <xf numFmtId="41" fontId="39" fillId="0" borderId="212" xfId="2" applyFont="1" applyBorder="1" applyAlignment="1">
      <alignment horizontal="center" vertical="center"/>
    </xf>
    <xf numFmtId="181" fontId="29" fillId="11" borderId="239" xfId="2" applyNumberFormat="1" applyFont="1" applyFill="1" applyBorder="1" applyAlignment="1">
      <alignment vertical="center"/>
    </xf>
    <xf numFmtId="41" fontId="30" fillId="0" borderId="15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183" fontId="30" fillId="0" borderId="0" xfId="3" applyNumberFormat="1" applyFont="1" applyFill="1" applyBorder="1" applyAlignment="1">
      <alignment vertical="center"/>
    </xf>
    <xf numFmtId="41" fontId="30" fillId="0" borderId="0" xfId="2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right"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8" xfId="2" applyFont="1" applyFill="1" applyBorder="1" applyAlignment="1">
      <alignment vertical="center"/>
    </xf>
    <xf numFmtId="41" fontId="30" fillId="0" borderId="25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vertical="center"/>
    </xf>
    <xf numFmtId="41" fontId="270" fillId="2" borderId="207" xfId="2" applyFont="1" applyFill="1" applyBorder="1" applyAlignment="1">
      <alignment horizontal="center" vertical="center"/>
    </xf>
    <xf numFmtId="41" fontId="27" fillId="2" borderId="154" xfId="2" applyFont="1" applyFill="1" applyBorder="1" applyAlignment="1">
      <alignment horizontal="center" vertical="center"/>
    </xf>
    <xf numFmtId="41" fontId="27" fillId="2" borderId="27" xfId="2" applyFont="1" applyFill="1" applyBorder="1" applyAlignment="1">
      <alignment horizontal="center" vertical="center"/>
    </xf>
    <xf numFmtId="41" fontId="27" fillId="2" borderId="178" xfId="2" applyFont="1" applyFill="1" applyBorder="1" applyAlignment="1">
      <alignment horizontal="center" vertical="center"/>
    </xf>
    <xf numFmtId="41" fontId="270" fillId="2" borderId="251" xfId="2" applyFont="1" applyFill="1" applyBorder="1" applyAlignment="1">
      <alignment horizontal="center" vertical="center"/>
    </xf>
    <xf numFmtId="41" fontId="270" fillId="0" borderId="236" xfId="2" applyFont="1" applyFill="1" applyBorder="1" applyAlignment="1">
      <alignment horizontal="center" vertical="center"/>
    </xf>
    <xf numFmtId="41" fontId="270" fillId="0" borderId="207" xfId="2" applyFont="1" applyFill="1" applyBorder="1" applyAlignment="1">
      <alignment horizontal="center" vertical="center"/>
    </xf>
    <xf numFmtId="41" fontId="27" fillId="2" borderId="30" xfId="2" applyFont="1" applyFill="1" applyBorder="1" applyAlignment="1">
      <alignment horizontal="center" vertical="center"/>
    </xf>
    <xf numFmtId="41" fontId="27" fillId="2" borderId="179" xfId="2" applyFont="1" applyFill="1" applyBorder="1" applyAlignment="1">
      <alignment horizontal="center" vertical="center"/>
    </xf>
    <xf numFmtId="41" fontId="27" fillId="2" borderId="184" xfId="2" applyFont="1" applyFill="1" applyBorder="1" applyAlignment="1">
      <alignment horizontal="center" vertical="center"/>
    </xf>
    <xf numFmtId="179" fontId="27" fillId="2" borderId="30" xfId="2" applyNumberFormat="1" applyFont="1" applyFill="1" applyBorder="1" applyAlignment="1">
      <alignment horizontal="center" vertical="center"/>
    </xf>
    <xf numFmtId="179" fontId="27" fillId="2" borderId="179" xfId="2" applyNumberFormat="1" applyFont="1" applyFill="1" applyBorder="1" applyAlignment="1">
      <alignment horizontal="center" vertical="center"/>
    </xf>
    <xf numFmtId="179" fontId="27" fillId="2" borderId="233" xfId="2" applyNumberFormat="1" applyFont="1" applyFill="1" applyBorder="1" applyAlignment="1">
      <alignment horizontal="center" vertical="center"/>
    </xf>
    <xf numFmtId="41" fontId="30" fillId="8" borderId="253" xfId="2" applyFont="1" applyFill="1" applyBorder="1" applyAlignment="1">
      <alignment vertical="center"/>
    </xf>
    <xf numFmtId="41" fontId="39" fillId="8" borderId="256" xfId="2" applyFont="1" applyFill="1" applyBorder="1" applyAlignment="1">
      <alignment horizontal="center" vertical="center"/>
    </xf>
    <xf numFmtId="41" fontId="30" fillId="8" borderId="257" xfId="2" applyFont="1" applyFill="1" applyBorder="1" applyAlignment="1">
      <alignment vertical="center"/>
    </xf>
    <xf numFmtId="41" fontId="39" fillId="8" borderId="260" xfId="2" applyFont="1" applyFill="1" applyBorder="1" applyAlignment="1">
      <alignment horizontal="center" vertical="center"/>
    </xf>
    <xf numFmtId="41" fontId="30" fillId="0" borderId="215" xfId="2" applyFont="1" applyBorder="1" applyAlignment="1">
      <alignment horizontal="center" vertical="center"/>
    </xf>
    <xf numFmtId="41" fontId="30" fillId="8" borderId="215" xfId="2" applyFont="1" applyFill="1" applyBorder="1" applyAlignment="1">
      <alignment vertical="center"/>
    </xf>
    <xf numFmtId="41" fontId="39" fillId="8" borderId="263" xfId="2" applyFont="1" applyFill="1" applyBorder="1" applyAlignment="1">
      <alignment horizontal="center" vertical="center"/>
    </xf>
    <xf numFmtId="0" fontId="267" fillId="96" borderId="190" xfId="0" applyFont="1" applyFill="1" applyBorder="1" applyAlignment="1">
      <alignment horizontal="center" vertical="center"/>
    </xf>
    <xf numFmtId="0" fontId="267" fillId="124" borderId="190" xfId="36916" applyFont="1" applyFill="1" applyBorder="1" applyAlignment="1">
      <alignment horizontal="center" vertical="center"/>
    </xf>
    <xf numFmtId="180" fontId="267" fillId="14" borderId="17" xfId="34534" applyNumberFormat="1" applyFont="1" applyFill="1" applyBorder="1" applyAlignment="1">
      <alignment horizontal="left" vertical="center"/>
    </xf>
    <xf numFmtId="41" fontId="30" fillId="0" borderId="228" xfId="2" applyFont="1" applyBorder="1" applyAlignment="1">
      <alignment horizontal="center" vertical="center"/>
    </xf>
    <xf numFmtId="41" fontId="30" fillId="0" borderId="154" xfId="2" applyFont="1" applyBorder="1" applyAlignment="1">
      <alignment horizontal="center" vertical="center"/>
    </xf>
    <xf numFmtId="41" fontId="30" fillId="9" borderId="154" xfId="2" applyFont="1" applyFill="1" applyBorder="1" applyAlignment="1">
      <alignment horizontal="center" vertical="center"/>
    </xf>
    <xf numFmtId="41" fontId="30" fillId="9" borderId="215" xfId="2" applyFont="1" applyFill="1" applyBorder="1" applyAlignment="1">
      <alignment vertical="center"/>
    </xf>
    <xf numFmtId="41" fontId="39" fillId="9" borderId="263" xfId="2" applyFont="1" applyFill="1" applyBorder="1" applyAlignment="1">
      <alignment horizontal="center" vertical="center"/>
    </xf>
    <xf numFmtId="41" fontId="30" fillId="2" borderId="27" xfId="2" applyFont="1" applyFill="1" applyBorder="1" applyAlignment="1">
      <alignment horizontal="center" vertical="center"/>
    </xf>
    <xf numFmtId="41" fontId="30" fillId="2" borderId="154" xfId="2" applyFont="1" applyFill="1" applyBorder="1" applyAlignment="1">
      <alignment horizontal="center" vertical="center"/>
    </xf>
    <xf numFmtId="41" fontId="30" fillId="2" borderId="178" xfId="2" applyFont="1" applyFill="1" applyBorder="1" applyAlignment="1">
      <alignment horizontal="center" vertical="center"/>
    </xf>
    <xf numFmtId="41" fontId="30" fillId="2" borderId="30" xfId="2" applyFont="1" applyFill="1" applyBorder="1" applyAlignment="1">
      <alignment horizontal="center" vertical="center"/>
    </xf>
    <xf numFmtId="41" fontId="30" fillId="2" borderId="179" xfId="2" applyFont="1" applyFill="1" applyBorder="1" applyAlignment="1">
      <alignment horizontal="center" vertical="center"/>
    </xf>
    <xf numFmtId="41" fontId="30" fillId="2" borderId="184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177" fontId="30" fillId="12" borderId="39" xfId="1" applyNumberFormat="1" applyFont="1" applyFill="1" applyBorder="1" applyAlignment="1">
      <alignment vertical="center"/>
    </xf>
    <xf numFmtId="177" fontId="30" fillId="12" borderId="40" xfId="1" applyNumberFormat="1" applyFont="1" applyFill="1" applyBorder="1" applyAlignment="1">
      <alignment vertical="center"/>
    </xf>
    <xf numFmtId="9" fontId="30" fillId="12" borderId="40" xfId="1" applyFont="1" applyFill="1" applyBorder="1" applyAlignment="1">
      <alignment vertical="center"/>
    </xf>
    <xf numFmtId="177" fontId="30" fillId="0" borderId="14" xfId="1" applyNumberFormat="1" applyFont="1" applyFill="1" applyBorder="1" applyAlignment="1">
      <alignment vertical="center"/>
    </xf>
    <xf numFmtId="177" fontId="30" fillId="0" borderId="15" xfId="1" applyNumberFormat="1" applyFont="1" applyFill="1" applyBorder="1" applyAlignment="1">
      <alignment vertical="center"/>
    </xf>
    <xf numFmtId="177" fontId="30" fillId="0" borderId="94" xfId="1" applyNumberFormat="1" applyFont="1" applyFill="1" applyBorder="1" applyAlignment="1">
      <alignment vertical="center"/>
    </xf>
    <xf numFmtId="177" fontId="30" fillId="12" borderId="14" xfId="1" applyNumberFormat="1" applyFont="1" applyFill="1" applyBorder="1" applyAlignment="1">
      <alignment vertical="center"/>
    </xf>
    <xf numFmtId="177" fontId="30" fillId="12" borderId="15" xfId="1" applyNumberFormat="1" applyFont="1" applyFill="1" applyBorder="1" applyAlignment="1">
      <alignment vertical="center"/>
    </xf>
    <xf numFmtId="177" fontId="30" fillId="12" borderId="15" xfId="5" applyNumberFormat="1" applyFont="1" applyFill="1" applyBorder="1" applyAlignment="1">
      <alignment vertical="center"/>
    </xf>
    <xf numFmtId="9" fontId="30" fillId="12" borderId="15" xfId="1" applyFont="1" applyFill="1" applyBorder="1" applyAlignment="1">
      <alignment vertical="center"/>
    </xf>
    <xf numFmtId="177" fontId="30" fillId="0" borderId="50" xfId="1" applyNumberFormat="1" applyFont="1" applyFill="1" applyBorder="1" applyAlignment="1">
      <alignment vertical="center"/>
    </xf>
    <xf numFmtId="9" fontId="30" fillId="0" borderId="50" xfId="1" applyFont="1" applyFill="1" applyBorder="1" applyAlignment="1">
      <alignment vertical="center"/>
    </xf>
    <xf numFmtId="41" fontId="32" fillId="0" borderId="15" xfId="2" applyFont="1" applyFill="1" applyBorder="1" applyAlignment="1">
      <alignment vertical="center"/>
    </xf>
    <xf numFmtId="41" fontId="32" fillId="0" borderId="16" xfId="2" applyFont="1" applyFill="1" applyBorder="1" applyAlignment="1">
      <alignment vertical="center"/>
    </xf>
    <xf numFmtId="41" fontId="32" fillId="0" borderId="17" xfId="2" applyFont="1" applyFill="1" applyBorder="1" applyAlignment="1">
      <alignment vertical="center"/>
    </xf>
    <xf numFmtId="0" fontId="30" fillId="13" borderId="43" xfId="2" applyNumberFormat="1" applyFont="1" applyFill="1" applyBorder="1" applyAlignment="1">
      <alignment horizontal="center" vertical="center"/>
    </xf>
    <xf numFmtId="41" fontId="32" fillId="2" borderId="234" xfId="2" applyFont="1" applyFill="1" applyBorder="1" applyAlignment="1">
      <alignment vertical="center" wrapText="1"/>
    </xf>
    <xf numFmtId="41" fontId="32" fillId="2" borderId="27" xfId="2" applyFont="1" applyFill="1" applyBorder="1" applyAlignment="1">
      <alignment vertical="center" wrapText="1"/>
    </xf>
    <xf numFmtId="187" fontId="32" fillId="17" borderId="234" xfId="2" applyNumberFormat="1" applyFont="1" applyFill="1" applyBorder="1" applyAlignment="1">
      <alignment vertical="center" wrapText="1"/>
    </xf>
    <xf numFmtId="187" fontId="32" fillId="17" borderId="30" xfId="2" applyNumberFormat="1" applyFont="1" applyFill="1" applyBorder="1" applyAlignment="1">
      <alignment vertical="center" wrapText="1"/>
    </xf>
    <xf numFmtId="10" fontId="30" fillId="0" borderId="16" xfId="1" applyNumberFormat="1" applyFont="1" applyFill="1" applyBorder="1" applyAlignment="1">
      <alignment vertical="center"/>
    </xf>
    <xf numFmtId="10" fontId="30" fillId="0" borderId="15" xfId="1" applyNumberFormat="1" applyFont="1" applyFill="1" applyBorder="1" applyAlignment="1">
      <alignment vertical="center"/>
    </xf>
    <xf numFmtId="41" fontId="32" fillId="0" borderId="39" xfId="2" applyFont="1" applyFill="1" applyBorder="1" applyAlignment="1">
      <alignment vertical="center"/>
    </xf>
    <xf numFmtId="41" fontId="32" fillId="0" borderId="14" xfId="2" applyFont="1" applyFill="1" applyBorder="1" applyAlignment="1">
      <alignment vertical="center"/>
    </xf>
    <xf numFmtId="41" fontId="32" fillId="9" borderId="14" xfId="2" applyFont="1" applyFill="1" applyBorder="1" applyAlignment="1">
      <alignment vertical="center"/>
    </xf>
    <xf numFmtId="41" fontId="32" fillId="9" borderId="15" xfId="2" applyFont="1" applyFill="1" applyBorder="1" applyAlignment="1">
      <alignment vertical="center"/>
    </xf>
    <xf numFmtId="41" fontId="32" fillId="9" borderId="16" xfId="2" applyFont="1" applyFill="1" applyBorder="1" applyAlignment="1">
      <alignment vertical="center"/>
    </xf>
    <xf numFmtId="41" fontId="32" fillId="9" borderId="17" xfId="2" applyFont="1" applyFill="1" applyBorder="1" applyAlignment="1">
      <alignment vertical="center"/>
    </xf>
    <xf numFmtId="41" fontId="30" fillId="0" borderId="92" xfId="2" applyFont="1" applyFill="1" applyBorder="1" applyAlignment="1">
      <alignment vertical="center"/>
    </xf>
    <xf numFmtId="41" fontId="30" fillId="0" borderId="94" xfId="2" applyFont="1" applyFill="1" applyBorder="1" applyAlignment="1">
      <alignment vertical="center"/>
    </xf>
    <xf numFmtId="177" fontId="31" fillId="0" borderId="0" xfId="2" applyNumberFormat="1" applyFont="1" applyFill="1" applyAlignment="1">
      <alignment vertical="center"/>
    </xf>
    <xf numFmtId="41" fontId="27" fillId="9" borderId="96" xfId="2" applyFont="1" applyFill="1" applyBorder="1" applyAlignment="1">
      <alignment vertical="center"/>
    </xf>
    <xf numFmtId="41" fontId="32" fillId="0" borderId="273" xfId="2" applyFont="1" applyFill="1" applyBorder="1" applyAlignment="1">
      <alignment vertical="center"/>
    </xf>
    <xf numFmtId="41" fontId="32" fillId="0" borderId="94" xfId="2" applyFont="1" applyFill="1" applyBorder="1" applyAlignment="1">
      <alignment vertical="center"/>
    </xf>
    <xf numFmtId="41" fontId="32" fillId="0" borderId="15" xfId="2" applyFont="1" applyBorder="1" applyAlignment="1">
      <alignment vertical="center"/>
    </xf>
    <xf numFmtId="41" fontId="29" fillId="11" borderId="240" xfId="2" applyFont="1" applyFill="1" applyBorder="1" applyAlignment="1">
      <alignment vertical="center"/>
    </xf>
    <xf numFmtId="41" fontId="32" fillId="0" borderId="274" xfId="2" applyFont="1" applyFill="1" applyBorder="1" applyAlignment="1">
      <alignment vertical="center"/>
    </xf>
    <xf numFmtId="41" fontId="32" fillId="0" borderId="214" xfId="2" applyFont="1" applyFill="1" applyBorder="1" applyAlignment="1">
      <alignment vertical="center"/>
    </xf>
    <xf numFmtId="41" fontId="32" fillId="0" borderId="214" xfId="2" applyFont="1" applyBorder="1" applyAlignment="1">
      <alignment vertical="center"/>
    </xf>
    <xf numFmtId="41" fontId="32" fillId="8" borderId="15" xfId="2" applyFont="1" applyFill="1" applyBorder="1" applyAlignment="1">
      <alignment vertical="center"/>
    </xf>
    <xf numFmtId="41" fontId="32" fillId="8" borderId="214" xfId="2" applyFont="1" applyFill="1" applyBorder="1" applyAlignment="1">
      <alignment vertical="center"/>
    </xf>
    <xf numFmtId="41" fontId="29" fillId="11" borderId="50" xfId="2" applyFont="1" applyFill="1" applyBorder="1" applyAlignment="1">
      <alignment vertical="center"/>
    </xf>
    <xf numFmtId="41" fontId="30" fillId="0" borderId="0" xfId="1" applyNumberFormat="1" applyFont="1" applyFill="1" applyAlignment="1">
      <alignment vertical="center"/>
    </xf>
    <xf numFmtId="181" fontId="30" fillId="15" borderId="153" xfId="2" applyNumberFormat="1" applyFont="1" applyFill="1" applyBorder="1" applyAlignment="1">
      <alignment vertical="center"/>
    </xf>
    <xf numFmtId="41" fontId="30" fillId="0" borderId="1" xfId="2" applyFont="1" applyFill="1" applyBorder="1" applyAlignment="1">
      <alignment horizontal="center" vertical="center"/>
    </xf>
    <xf numFmtId="181" fontId="32" fillId="6" borderId="68" xfId="2" applyNumberFormat="1" applyFont="1" applyFill="1" applyBorder="1" applyAlignment="1">
      <alignment vertical="center"/>
    </xf>
    <xf numFmtId="181" fontId="32" fillId="6" borderId="81" xfId="2" applyNumberFormat="1" applyFont="1" applyFill="1" applyBorder="1" applyAlignment="1">
      <alignment vertical="center"/>
    </xf>
    <xf numFmtId="181" fontId="32" fillId="6" borderId="153" xfId="2" applyNumberFormat="1" applyFont="1" applyFill="1" applyBorder="1" applyAlignment="1">
      <alignment vertical="center"/>
    </xf>
    <xf numFmtId="181" fontId="32" fillId="6" borderId="85" xfId="2" applyNumberFormat="1" applyFont="1" applyFill="1" applyBorder="1" applyAlignment="1">
      <alignment vertical="center"/>
    </xf>
    <xf numFmtId="181" fontId="32" fillId="6" borderId="86" xfId="2" applyNumberFormat="1" applyFont="1" applyFill="1" applyBorder="1" applyAlignment="1">
      <alignment vertical="center"/>
    </xf>
    <xf numFmtId="181" fontId="32" fillId="6" borderId="221" xfId="2" applyNumberFormat="1" applyFont="1" applyFill="1" applyBorder="1" applyAlignment="1">
      <alignment vertical="center"/>
    </xf>
    <xf numFmtId="41" fontId="24" fillId="0" borderId="0" xfId="2" applyFont="1" applyFill="1" applyAlignment="1">
      <alignment vertical="center"/>
    </xf>
    <xf numFmtId="41" fontId="30" fillId="0" borderId="8" xfId="2" applyFont="1" applyFill="1" applyBorder="1" applyAlignment="1">
      <alignment vertical="center"/>
    </xf>
    <xf numFmtId="179" fontId="277" fillId="0" borderId="15" xfId="2" applyNumberFormat="1" applyFont="1" applyFill="1" applyBorder="1" applyAlignment="1">
      <alignment horizontal="center" vertical="center" wrapText="1"/>
    </xf>
    <xf numFmtId="180" fontId="33" fillId="16" borderId="276" xfId="2" applyNumberFormat="1" applyFont="1" applyFill="1" applyBorder="1" applyAlignment="1">
      <alignment vertical="center"/>
    </xf>
    <xf numFmtId="181" fontId="33" fillId="16" borderId="276" xfId="2" applyNumberFormat="1" applyFont="1" applyFill="1" applyBorder="1" applyAlignment="1">
      <alignment vertical="center"/>
    </xf>
    <xf numFmtId="180" fontId="33" fillId="126" borderId="276" xfId="2" applyNumberFormat="1" applyFont="1" applyFill="1" applyBorder="1" applyAlignment="1">
      <alignment vertical="center"/>
    </xf>
    <xf numFmtId="181" fontId="33" fillId="126" borderId="276" xfId="2" applyNumberFormat="1" applyFont="1" applyFill="1" applyBorder="1" applyAlignment="1">
      <alignment vertical="center"/>
    </xf>
    <xf numFmtId="9" fontId="33" fillId="126" borderId="276" xfId="1" applyFont="1" applyFill="1" applyBorder="1" applyAlignment="1">
      <alignment horizontal="center" vertical="center"/>
    </xf>
    <xf numFmtId="41" fontId="30" fillId="0" borderId="0" xfId="3" applyNumberFormat="1" applyFont="1" applyAlignment="1">
      <alignment vertical="center"/>
    </xf>
    <xf numFmtId="41" fontId="39" fillId="0" borderId="8" xfId="2" applyFont="1" applyFill="1" applyBorder="1" applyAlignment="1">
      <alignment horizontal="left" vertical="center"/>
    </xf>
    <xf numFmtId="41" fontId="30" fillId="0" borderId="1" xfId="2" applyFont="1" applyFill="1" applyBorder="1" applyAlignment="1">
      <alignment horizontal="center" vertical="center"/>
    </xf>
    <xf numFmtId="41" fontId="27" fillId="0" borderId="0" xfId="2" applyNumberFormat="1" applyFont="1" applyFill="1" applyBorder="1" applyAlignment="1">
      <alignment horizontal="center" vertical="center"/>
    </xf>
    <xf numFmtId="41" fontId="30" fillId="0" borderId="15" xfId="2" applyFont="1" applyFill="1" applyBorder="1" applyAlignment="1">
      <alignment horizontal="center" vertical="center"/>
    </xf>
    <xf numFmtId="41" fontId="30" fillId="0" borderId="43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177" fontId="30" fillId="12" borderId="0" xfId="1" applyNumberFormat="1" applyFont="1" applyFill="1" applyBorder="1" applyAlignment="1">
      <alignment vertical="center"/>
    </xf>
    <xf numFmtId="177" fontId="30" fillId="0" borderId="53" xfId="1" applyNumberFormat="1" applyFont="1" applyFill="1" applyBorder="1" applyAlignment="1">
      <alignment vertical="center"/>
    </xf>
    <xf numFmtId="177" fontId="30" fillId="12" borderId="43" xfId="1" applyNumberFormat="1" applyFont="1" applyFill="1" applyBorder="1" applyAlignment="1">
      <alignment vertical="center"/>
    </xf>
    <xf numFmtId="177" fontId="30" fillId="0" borderId="1" xfId="1" applyNumberFormat="1" applyFont="1" applyFill="1" applyBorder="1" applyAlignment="1">
      <alignment vertical="center"/>
    </xf>
    <xf numFmtId="177" fontId="30" fillId="12" borderId="1" xfId="1" applyNumberFormat="1" applyFont="1" applyFill="1" applyBorder="1" applyAlignment="1">
      <alignment vertical="center"/>
    </xf>
    <xf numFmtId="41" fontId="32" fillId="0" borderId="43" xfId="2" applyFont="1" applyFill="1" applyBorder="1" applyAlignment="1">
      <alignment vertical="center"/>
    </xf>
    <xf numFmtId="41" fontId="32" fillId="0" borderId="1" xfId="2" applyFont="1" applyFill="1" applyBorder="1" applyAlignment="1">
      <alignment vertical="center"/>
    </xf>
    <xf numFmtId="41" fontId="32" fillId="9" borderId="1" xfId="2" applyFont="1" applyFill="1" applyBorder="1" applyAlignment="1">
      <alignment vertical="center"/>
    </xf>
    <xf numFmtId="41" fontId="29" fillId="2" borderId="53" xfId="2" applyFont="1" applyFill="1" applyBorder="1" applyAlignment="1">
      <alignment vertical="center" wrapText="1"/>
    </xf>
    <xf numFmtId="181" fontId="32" fillId="0" borderId="1" xfId="2" applyNumberFormat="1" applyFont="1" applyFill="1" applyBorder="1" applyAlignment="1">
      <alignment vertical="center"/>
    </xf>
    <xf numFmtId="187" fontId="32" fillId="2" borderId="153" xfId="2" applyNumberFormat="1" applyFont="1" applyFill="1" applyBorder="1" applyAlignment="1">
      <alignment vertical="center" wrapText="1"/>
    </xf>
    <xf numFmtId="181" fontId="32" fillId="0" borderId="63" xfId="2" applyNumberFormat="1" applyFont="1" applyFill="1" applyBorder="1" applyAlignment="1">
      <alignment vertical="center"/>
    </xf>
    <xf numFmtId="181" fontId="32" fillId="0" borderId="4" xfId="2" applyNumberFormat="1" applyFont="1" applyFill="1" applyBorder="1" applyAlignment="1">
      <alignment vertical="center"/>
    </xf>
    <xf numFmtId="181" fontId="32" fillId="0" borderId="23" xfId="2" applyNumberFormat="1" applyFont="1" applyFill="1" applyBorder="1" applyAlignment="1">
      <alignment vertical="center"/>
    </xf>
    <xf numFmtId="41" fontId="32" fillId="8" borderId="32" xfId="2" applyFont="1" applyFill="1" applyBorder="1" applyAlignment="1">
      <alignment vertical="center"/>
    </xf>
    <xf numFmtId="41" fontId="29" fillId="11" borderId="239" xfId="2" applyFont="1" applyFill="1" applyBorder="1" applyAlignment="1">
      <alignment vertical="center"/>
    </xf>
    <xf numFmtId="177" fontId="30" fillId="0" borderId="25" xfId="2" applyNumberFormat="1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25" xfId="2" applyFont="1" applyFill="1" applyBorder="1" applyAlignment="1">
      <alignment vertical="center"/>
    </xf>
    <xf numFmtId="41" fontId="30" fillId="0" borderId="25" xfId="2" applyFont="1" applyFill="1" applyBorder="1" applyAlignment="1">
      <alignment horizontal="center" vertical="center"/>
    </xf>
    <xf numFmtId="297" fontId="30" fillId="0" borderId="40" xfId="3" applyNumberFormat="1" applyFont="1" applyBorder="1">
      <alignment vertical="center"/>
    </xf>
    <xf numFmtId="297" fontId="30" fillId="0" borderId="41" xfId="3" applyNumberFormat="1" applyFont="1" applyBorder="1">
      <alignment vertical="center"/>
    </xf>
    <xf numFmtId="297" fontId="30" fillId="0" borderId="15" xfId="3" applyNumberFormat="1" applyFont="1" applyBorder="1">
      <alignment vertical="center"/>
    </xf>
    <xf numFmtId="297" fontId="30" fillId="0" borderId="16" xfId="3" applyNumberFormat="1" applyFont="1" applyBorder="1">
      <alignment vertical="center"/>
    </xf>
    <xf numFmtId="0" fontId="30" fillId="0" borderId="186" xfId="3" applyFont="1" applyBorder="1">
      <alignment vertical="center"/>
    </xf>
    <xf numFmtId="0" fontId="30" fillId="0" borderId="15" xfId="0" applyFont="1" applyBorder="1" applyAlignment="1">
      <alignment horizontal="center" vertical="center"/>
    </xf>
    <xf numFmtId="297" fontId="30" fillId="0" borderId="50" xfId="3" applyNumberFormat="1" applyFont="1" applyBorder="1">
      <alignment vertical="center"/>
    </xf>
    <xf numFmtId="297" fontId="30" fillId="0" borderId="51" xfId="3" applyNumberFormat="1" applyFont="1" applyBorder="1">
      <alignment vertical="center"/>
    </xf>
    <xf numFmtId="177" fontId="30" fillId="0" borderId="16" xfId="1" applyNumberFormat="1" applyFont="1" applyFill="1" applyBorder="1" applyAlignment="1">
      <alignment vertical="center"/>
    </xf>
    <xf numFmtId="41" fontId="32" fillId="2" borderId="153" xfId="2" applyFont="1" applyFill="1" applyBorder="1" applyAlignment="1">
      <alignment vertical="center" wrapText="1"/>
    </xf>
    <xf numFmtId="10" fontId="27" fillId="0" borderId="153" xfId="1" applyNumberFormat="1" applyFont="1" applyBorder="1" applyAlignment="1">
      <alignment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27" fillId="0" borderId="0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10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vertical="center"/>
    </xf>
    <xf numFmtId="179" fontId="267" fillId="0" borderId="15" xfId="2" applyNumberFormat="1" applyFont="1" applyFill="1" applyBorder="1" applyAlignment="1">
      <alignment horizontal="center" vertical="center" wrapText="1"/>
    </xf>
    <xf numFmtId="176" fontId="267" fillId="0" borderId="15" xfId="2" applyNumberFormat="1" applyFont="1" applyFill="1" applyBorder="1" applyAlignment="1">
      <alignment horizontal="center" vertical="center" wrapText="1"/>
    </xf>
    <xf numFmtId="41" fontId="265" fillId="9" borderId="15" xfId="34534" applyFont="1" applyFill="1" applyBorder="1" applyAlignment="1">
      <alignment horizontal="center" vertical="center"/>
    </xf>
    <xf numFmtId="180" fontId="265" fillId="9" borderId="15" xfId="34534" applyNumberFormat="1" applyFont="1" applyFill="1" applyBorder="1" applyAlignment="1">
      <alignment horizontal="center" vertical="center"/>
    </xf>
    <xf numFmtId="0" fontId="281" fillId="0" borderId="173" xfId="0" applyFont="1" applyBorder="1" applyAlignment="1">
      <alignment horizontal="left"/>
    </xf>
    <xf numFmtId="0" fontId="282" fillId="0" borderId="173" xfId="0" applyFont="1" applyBorder="1" applyAlignment="1">
      <alignment horizontal="right"/>
    </xf>
    <xf numFmtId="0" fontId="283" fillId="0" borderId="0" xfId="0" applyFont="1"/>
    <xf numFmtId="0" fontId="281" fillId="0" borderId="0" xfId="0" applyFont="1"/>
    <xf numFmtId="0" fontId="284" fillId="0" borderId="0" xfId="0" applyFont="1"/>
    <xf numFmtId="0" fontId="285" fillId="128" borderId="69" xfId="0" applyFont="1" applyFill="1" applyBorder="1" applyAlignment="1">
      <alignment horizontal="center" vertical="center"/>
    </xf>
    <xf numFmtId="0" fontId="285" fillId="128" borderId="68" xfId="0" applyFont="1" applyFill="1" applyBorder="1" applyAlignment="1">
      <alignment horizontal="center" vertical="center"/>
    </xf>
    <xf numFmtId="0" fontId="285" fillId="128" borderId="234" xfId="0" applyFont="1" applyFill="1" applyBorder="1" applyAlignment="1">
      <alignment horizontal="center" vertical="center"/>
    </xf>
    <xf numFmtId="0" fontId="284" fillId="0" borderId="0" xfId="0" applyFont="1" applyAlignment="1">
      <alignment vertical="center"/>
    </xf>
    <xf numFmtId="0" fontId="284" fillId="0" borderId="22" xfId="0" applyFont="1" applyBorder="1" applyAlignment="1">
      <alignment horizontal="center" vertical="center"/>
    </xf>
    <xf numFmtId="41" fontId="284" fillId="0" borderId="20" xfId="0" applyNumberFormat="1" applyFont="1" applyBorder="1" applyAlignment="1">
      <alignment vertical="center"/>
    </xf>
    <xf numFmtId="41" fontId="284" fillId="0" borderId="21" xfId="0" applyNumberFormat="1" applyFont="1" applyBorder="1" applyAlignment="1">
      <alignment vertical="center"/>
    </xf>
    <xf numFmtId="9" fontId="284" fillId="0" borderId="48" xfId="0" applyNumberFormat="1" applyFont="1" applyBorder="1" applyAlignment="1">
      <alignment vertical="center"/>
    </xf>
    <xf numFmtId="9" fontId="284" fillId="0" borderId="62" xfId="0" applyNumberFormat="1" applyFont="1" applyBorder="1" applyAlignment="1">
      <alignment vertical="center"/>
    </xf>
    <xf numFmtId="9" fontId="284" fillId="0" borderId="46" xfId="0" applyNumberFormat="1" applyFont="1" applyBorder="1" applyAlignment="1">
      <alignment vertical="center"/>
    </xf>
    <xf numFmtId="0" fontId="284" fillId="0" borderId="66" xfId="0" applyFont="1" applyBorder="1" applyAlignment="1">
      <alignment horizontal="center" vertical="center"/>
    </xf>
    <xf numFmtId="41" fontId="284" fillId="0" borderId="49" xfId="0" applyNumberFormat="1" applyFont="1" applyBorder="1" applyAlignment="1">
      <alignment vertical="center"/>
    </xf>
    <xf numFmtId="0" fontId="284" fillId="0" borderId="65" xfId="0" applyFont="1" applyBorder="1" applyAlignment="1">
      <alignment vertical="center"/>
    </xf>
    <xf numFmtId="0" fontId="285" fillId="128" borderId="76" xfId="0" applyFont="1" applyFill="1" applyBorder="1" applyAlignment="1">
      <alignment horizontal="center" vertical="center"/>
    </xf>
    <xf numFmtId="0" fontId="285" fillId="128" borderId="39" xfId="0" applyFont="1" applyFill="1" applyBorder="1" applyAlignment="1">
      <alignment horizontal="center" vertical="center"/>
    </xf>
    <xf numFmtId="0" fontId="285" fillId="128" borderId="63" xfId="0" applyFont="1" applyFill="1" applyBorder="1" applyAlignment="1">
      <alignment horizontal="center" vertical="center"/>
    </xf>
    <xf numFmtId="0" fontId="284" fillId="0" borderId="8" xfId="0" applyFont="1" applyBorder="1" applyAlignment="1">
      <alignment horizontal="center" vertical="center"/>
    </xf>
    <xf numFmtId="188" fontId="284" fillId="0" borderId="14" xfId="0" applyNumberFormat="1" applyFont="1" applyBorder="1" applyAlignment="1">
      <alignment vertical="center"/>
    </xf>
    <xf numFmtId="41" fontId="284" fillId="0" borderId="14" xfId="0" applyNumberFormat="1" applyFont="1" applyBorder="1" applyAlignment="1">
      <alignment vertical="center"/>
    </xf>
    <xf numFmtId="41" fontId="284" fillId="0" borderId="4" xfId="2" applyFont="1" applyBorder="1" applyAlignment="1">
      <alignment vertical="center"/>
    </xf>
    <xf numFmtId="188" fontId="284" fillId="0" borderId="49" xfId="0" applyNumberFormat="1" applyFont="1" applyBorder="1" applyAlignment="1">
      <alignment vertical="center"/>
    </xf>
    <xf numFmtId="10" fontId="284" fillId="0" borderId="8" xfId="0" applyNumberFormat="1" applyFont="1" applyBorder="1" applyAlignment="1">
      <alignment horizontal="center" vertical="center"/>
    </xf>
    <xf numFmtId="43" fontId="284" fillId="0" borderId="14" xfId="0" applyNumberFormat="1" applyFont="1" applyBorder="1" applyAlignment="1">
      <alignment horizontal="center" vertical="center"/>
    </xf>
    <xf numFmtId="41" fontId="284" fillId="0" borderId="14" xfId="0" applyNumberFormat="1" applyFont="1" applyBorder="1" applyAlignment="1">
      <alignment horizontal="center" vertical="center"/>
    </xf>
    <xf numFmtId="10" fontId="284" fillId="0" borderId="14" xfId="1" applyNumberFormat="1" applyFont="1" applyBorder="1" applyAlignment="1">
      <alignment horizontal="center" vertical="center"/>
    </xf>
    <xf numFmtId="0" fontId="284" fillId="0" borderId="4" xfId="0" applyFont="1" applyBorder="1" applyAlignment="1">
      <alignment horizontal="center" vertical="center"/>
    </xf>
    <xf numFmtId="41" fontId="284" fillId="0" borderId="14" xfId="2" applyFont="1" applyBorder="1" applyAlignment="1">
      <alignment horizontal="center" vertical="center"/>
    </xf>
    <xf numFmtId="10" fontId="286" fillId="96" borderId="8" xfId="0" applyNumberFormat="1" applyFont="1" applyFill="1" applyBorder="1" applyAlignment="1">
      <alignment horizontal="center" vertical="center"/>
    </xf>
    <xf numFmtId="41" fontId="286" fillId="96" borderId="14" xfId="2" applyFont="1" applyFill="1" applyBorder="1" applyAlignment="1">
      <alignment horizontal="center" vertical="center"/>
    </xf>
    <xf numFmtId="41" fontId="286" fillId="96" borderId="14" xfId="0" applyNumberFormat="1" applyFont="1" applyFill="1" applyBorder="1" applyAlignment="1">
      <alignment horizontal="center" vertical="center"/>
    </xf>
    <xf numFmtId="10" fontId="284" fillId="96" borderId="14" xfId="1" applyNumberFormat="1" applyFont="1" applyFill="1" applyBorder="1" applyAlignment="1">
      <alignment horizontal="center" vertical="center"/>
    </xf>
    <xf numFmtId="0" fontId="286" fillId="96" borderId="4" xfId="0" applyFont="1" applyFill="1" applyBorder="1" applyAlignment="1">
      <alignment horizontal="center" vertical="center"/>
    </xf>
    <xf numFmtId="188" fontId="284" fillId="0" borderId="0" xfId="0" applyNumberFormat="1" applyFont="1" applyAlignment="1">
      <alignment vertical="center"/>
    </xf>
    <xf numFmtId="10" fontId="284" fillId="0" borderId="0" xfId="1" applyNumberFormat="1" applyFont="1" applyAlignment="1">
      <alignment vertical="center"/>
    </xf>
    <xf numFmtId="0" fontId="284" fillId="0" borderId="0" xfId="0" applyFont="1" applyAlignment="1">
      <alignment horizontal="center" vertical="center"/>
    </xf>
    <xf numFmtId="10" fontId="284" fillId="0" borderId="8" xfId="0" applyNumberFormat="1" applyFont="1" applyFill="1" applyBorder="1" applyAlignment="1">
      <alignment horizontal="center" vertical="center"/>
    </xf>
    <xf numFmtId="41" fontId="284" fillId="0" borderId="14" xfId="0" applyNumberFormat="1" applyFont="1" applyFill="1" applyBorder="1" applyAlignment="1">
      <alignment horizontal="center" vertical="center"/>
    </xf>
    <xf numFmtId="10" fontId="284" fillId="0" borderId="1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284" fillId="0" borderId="14" xfId="2" applyNumberFormat="1" applyFont="1" applyBorder="1" applyAlignment="1">
      <alignment horizontal="center" vertical="center"/>
    </xf>
    <xf numFmtId="41" fontId="284" fillId="0" borderId="14" xfId="2" applyNumberFormat="1" applyFont="1" applyFill="1" applyBorder="1" applyAlignment="1">
      <alignment horizontal="center" vertical="center"/>
    </xf>
    <xf numFmtId="0" fontId="284" fillId="0" borderId="4" xfId="0" applyFont="1" applyFill="1" applyBorder="1" applyAlignment="1">
      <alignment horizontal="center" vertical="center"/>
    </xf>
    <xf numFmtId="0" fontId="287" fillId="0" borderId="4" xfId="0" applyFont="1" applyFill="1" applyBorder="1" applyAlignment="1">
      <alignment horizontal="center" vertical="center"/>
    </xf>
    <xf numFmtId="10" fontId="289" fillId="0" borderId="14" xfId="1" applyNumberFormat="1" applyFont="1" applyFill="1" applyBorder="1" applyAlignment="1">
      <alignment horizontal="center" vertical="center"/>
    </xf>
    <xf numFmtId="10" fontId="289" fillId="0" borderId="8" xfId="0" applyNumberFormat="1" applyFont="1" applyFill="1" applyBorder="1" applyAlignment="1">
      <alignment horizontal="center" vertical="center"/>
    </xf>
    <xf numFmtId="10" fontId="286" fillId="122" borderId="8" xfId="0" applyNumberFormat="1" applyFont="1" applyFill="1" applyBorder="1" applyAlignment="1">
      <alignment horizontal="center" vertical="center"/>
    </xf>
    <xf numFmtId="41" fontId="284" fillId="122" borderId="14" xfId="2" applyNumberFormat="1" applyFont="1" applyFill="1" applyBorder="1" applyAlignment="1">
      <alignment horizontal="center" vertical="center"/>
    </xf>
    <xf numFmtId="41" fontId="284" fillId="122" borderId="14" xfId="0" applyNumberFormat="1" applyFont="1" applyFill="1" applyBorder="1" applyAlignment="1">
      <alignment horizontal="center" vertical="center"/>
    </xf>
    <xf numFmtId="10" fontId="284" fillId="122" borderId="14" xfId="1" applyNumberFormat="1" applyFont="1" applyFill="1" applyBorder="1" applyAlignment="1">
      <alignment horizontal="center" vertical="center"/>
    </xf>
    <xf numFmtId="0" fontId="286" fillId="122" borderId="4" xfId="0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10" xfId="2" applyFont="1" applyFill="1" applyBorder="1" applyAlignment="1">
      <alignment vertical="center"/>
    </xf>
    <xf numFmtId="41" fontId="30" fillId="0" borderId="10" xfId="2" applyFont="1" applyFill="1" applyBorder="1" applyAlignment="1">
      <alignment horizontal="center" vertical="center"/>
    </xf>
    <xf numFmtId="41" fontId="40" fillId="0" borderId="10" xfId="2" applyFont="1" applyFill="1" applyBorder="1" applyAlignment="1">
      <alignment horizontal="center" vertical="center"/>
    </xf>
    <xf numFmtId="41" fontId="40" fillId="0" borderId="22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10" xfId="2" applyNumberFormat="1" applyFont="1" applyFill="1" applyBorder="1" applyAlignment="1">
      <alignment horizontal="center" vertical="center"/>
    </xf>
    <xf numFmtId="10" fontId="30" fillId="0" borderId="10" xfId="2" applyNumberFormat="1" applyFont="1" applyFill="1" applyBorder="1" applyAlignment="1">
      <alignment horizontal="center" vertical="center"/>
    </xf>
    <xf numFmtId="41" fontId="30" fillId="0" borderId="10" xfId="2" applyNumberFormat="1" applyFont="1" applyFill="1" applyBorder="1" applyAlignment="1">
      <alignment horizontal="center" vertical="center"/>
    </xf>
    <xf numFmtId="10" fontId="30" fillId="0" borderId="10" xfId="2" applyNumberFormat="1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41" fontId="40" fillId="0" borderId="10" xfId="2" applyFont="1" applyFill="1" applyBorder="1" applyAlignment="1">
      <alignment horizontal="center" vertical="center"/>
    </xf>
    <xf numFmtId="41" fontId="40" fillId="0" borderId="22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0" fontId="30" fillId="17" borderId="153" xfId="2" applyNumberFormat="1" applyFont="1" applyFill="1" applyBorder="1" applyAlignment="1">
      <alignment horizontal="center" vertical="center" wrapText="1"/>
    </xf>
    <xf numFmtId="41" fontId="30" fillId="0" borderId="10" xfId="2" applyFont="1" applyFill="1" applyBorder="1" applyAlignment="1">
      <alignment horizontal="center" vertical="center"/>
    </xf>
    <xf numFmtId="41" fontId="39" fillId="0" borderId="195" xfId="2" applyFont="1" applyFill="1" applyBorder="1" applyAlignment="1">
      <alignment horizontal="center" vertical="center"/>
    </xf>
    <xf numFmtId="41" fontId="270" fillId="2" borderId="195" xfId="2" applyFont="1" applyFill="1" applyBorder="1" applyAlignment="1">
      <alignment horizontal="center" vertical="center"/>
    </xf>
    <xf numFmtId="41" fontId="270" fillId="2" borderId="73" xfId="2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41" fontId="39" fillId="11" borderId="154" xfId="2" applyFont="1" applyFill="1" applyBorder="1" applyAlignment="1">
      <alignment horizontal="center" vertical="center"/>
    </xf>
    <xf numFmtId="41" fontId="39" fillId="11" borderId="195" xfId="2" applyFont="1" applyFill="1" applyBorder="1" applyAlignment="1">
      <alignment horizontal="center" vertical="center"/>
    </xf>
    <xf numFmtId="41" fontId="39" fillId="11" borderId="153" xfId="2" applyFont="1" applyFill="1" applyBorder="1" applyAlignment="1">
      <alignment horizontal="center" vertical="center"/>
    </xf>
    <xf numFmtId="41" fontId="39" fillId="0" borderId="153" xfId="2" applyFont="1" applyBorder="1" applyAlignment="1">
      <alignment horizontal="center" vertical="center"/>
    </xf>
    <xf numFmtId="41" fontId="270" fillId="2" borderId="243" xfId="2" applyFont="1" applyFill="1" applyBorder="1" applyAlignment="1">
      <alignment horizontal="center" vertical="center"/>
    </xf>
    <xf numFmtId="41" fontId="30" fillId="0" borderId="25" xfId="2" applyFont="1" applyFill="1" applyBorder="1" applyAlignment="1">
      <alignment vertical="center"/>
    </xf>
    <xf numFmtId="0" fontId="30" fillId="17" borderId="183" xfId="2" applyNumberFormat="1" applyFont="1" applyFill="1" applyBorder="1" applyAlignment="1">
      <alignment vertical="center" wrapText="1"/>
    </xf>
    <xf numFmtId="0" fontId="30" fillId="17" borderId="18" xfId="2" applyNumberFormat="1" applyFont="1" applyFill="1" applyBorder="1" applyAlignment="1">
      <alignment vertical="center" wrapText="1"/>
    </xf>
    <xf numFmtId="187" fontId="29" fillId="17" borderId="153" xfId="2" applyNumberFormat="1" applyFont="1" applyFill="1" applyBorder="1" applyAlignment="1">
      <alignment vertical="center" wrapText="1"/>
    </xf>
    <xf numFmtId="41" fontId="31" fillId="0" borderId="15" xfId="2" applyFont="1" applyFill="1" applyBorder="1" applyAlignment="1">
      <alignment vertical="center"/>
    </xf>
    <xf numFmtId="0" fontId="30" fillId="17" borderId="252" xfId="2" applyNumberFormat="1" applyFont="1" applyFill="1" applyBorder="1" applyAlignment="1">
      <alignment vertical="center" wrapText="1"/>
    </xf>
    <xf numFmtId="0" fontId="30" fillId="17" borderId="281" xfId="2" applyNumberFormat="1" applyFont="1" applyFill="1" applyBorder="1" applyAlignment="1">
      <alignment vertical="center" wrapText="1"/>
    </xf>
    <xf numFmtId="10" fontId="31" fillId="17" borderId="0" xfId="1" applyNumberFormat="1" applyFont="1" applyFill="1" applyAlignment="1">
      <alignment vertical="center"/>
    </xf>
    <xf numFmtId="9" fontId="30" fillId="17" borderId="0" xfId="1" applyFont="1" applyFill="1" applyAlignment="1">
      <alignment vertical="center"/>
    </xf>
    <xf numFmtId="0" fontId="30" fillId="17" borderId="0" xfId="3" applyNumberFormat="1" applyFont="1" applyFill="1">
      <alignment vertical="center"/>
    </xf>
    <xf numFmtId="41" fontId="31" fillId="17" borderId="0" xfId="2" applyFont="1" applyFill="1" applyAlignment="1">
      <alignment vertical="center"/>
    </xf>
    <xf numFmtId="41" fontId="31" fillId="17" borderId="0" xfId="2" applyFont="1" applyFill="1" applyAlignment="1">
      <alignment horizontal="center" vertical="center"/>
    </xf>
    <xf numFmtId="9" fontId="30" fillId="17" borderId="0" xfId="1" applyFont="1" applyFill="1" applyAlignment="1">
      <alignment horizontal="center" vertical="center"/>
    </xf>
    <xf numFmtId="0" fontId="30" fillId="17" borderId="0" xfId="3" applyNumberFormat="1" applyFont="1" applyFill="1" applyAlignment="1">
      <alignment horizontal="center" vertical="center"/>
    </xf>
    <xf numFmtId="41" fontId="35" fillId="17" borderId="0" xfId="2" applyFont="1" applyFill="1" applyAlignment="1">
      <alignment horizontal="center" vertical="center"/>
    </xf>
    <xf numFmtId="9" fontId="27" fillId="17" borderId="0" xfId="1" applyFont="1" applyFill="1" applyAlignment="1">
      <alignment horizontal="center" vertical="center"/>
    </xf>
    <xf numFmtId="0" fontId="27" fillId="17" borderId="0" xfId="3" applyNumberFormat="1" applyFont="1" applyFill="1" applyAlignment="1">
      <alignment horizontal="center" vertical="center"/>
    </xf>
    <xf numFmtId="187" fontId="30" fillId="17" borderId="276" xfId="2" applyNumberFormat="1" applyFont="1" applyFill="1" applyBorder="1" applyAlignment="1">
      <alignment vertical="center" wrapText="1"/>
    </xf>
    <xf numFmtId="187" fontId="30" fillId="17" borderId="252" xfId="2" applyNumberFormat="1" applyFont="1" applyFill="1" applyBorder="1" applyAlignment="1">
      <alignment vertical="center" wrapText="1"/>
    </xf>
    <xf numFmtId="187" fontId="30" fillId="17" borderId="282" xfId="2" applyNumberFormat="1" applyFont="1" applyFill="1" applyBorder="1" applyAlignment="1">
      <alignment vertical="center" wrapText="1"/>
    </xf>
    <xf numFmtId="41" fontId="30" fillId="17" borderId="0" xfId="2" applyFont="1" applyFill="1" applyAlignment="1">
      <alignment horizontal="center" vertical="center"/>
    </xf>
    <xf numFmtId="0" fontId="30" fillId="17" borderId="30" xfId="2" applyNumberFormat="1" applyFont="1" applyFill="1" applyBorder="1" applyAlignment="1">
      <alignment vertical="center" wrapText="1"/>
    </xf>
    <xf numFmtId="0" fontId="30" fillId="17" borderId="233" xfId="2" applyNumberFormat="1" applyFont="1" applyFill="1" applyBorder="1" applyAlignment="1">
      <alignment vertical="center" wrapText="1"/>
    </xf>
    <xf numFmtId="0" fontId="290" fillId="13" borderId="40" xfId="2" applyNumberFormat="1" applyFont="1" applyFill="1" applyBorder="1" applyAlignment="1">
      <alignment horizontal="center" vertical="center"/>
    </xf>
    <xf numFmtId="186" fontId="30" fillId="0" borderId="10" xfId="1" applyNumberFormat="1" applyFont="1" applyFill="1" applyBorder="1" applyAlignment="1">
      <alignment vertical="center"/>
    </xf>
    <xf numFmtId="41" fontId="270" fillId="0" borderId="153" xfId="2" applyFont="1" applyFill="1" applyBorder="1" applyAlignment="1">
      <alignment horizontal="center" vertical="center"/>
    </xf>
    <xf numFmtId="41" fontId="270" fillId="2" borderId="153" xfId="2" applyFont="1" applyFill="1" applyBorder="1" applyAlignment="1">
      <alignment horizontal="center" vertical="center"/>
    </xf>
    <xf numFmtId="41" fontId="39" fillId="0" borderId="153" xfId="2" applyFont="1" applyFill="1" applyBorder="1" applyAlignment="1">
      <alignment horizontal="center" vertical="center"/>
    </xf>
    <xf numFmtId="43" fontId="30" fillId="11" borderId="201" xfId="2" applyNumberFormat="1" applyFont="1" applyFill="1" applyBorder="1" applyAlignment="1">
      <alignment horizontal="center" vertical="center"/>
    </xf>
    <xf numFmtId="41" fontId="27" fillId="4" borderId="284" xfId="2" applyFont="1" applyFill="1" applyBorder="1" applyAlignment="1">
      <alignment horizontal="center" vertical="center"/>
    </xf>
    <xf numFmtId="41" fontId="270" fillId="0" borderId="285" xfId="2" applyFont="1" applyFill="1" applyBorder="1" applyAlignment="1">
      <alignment horizontal="center" vertical="center"/>
    </xf>
    <xf numFmtId="41" fontId="270" fillId="0" borderId="286" xfId="2" applyFont="1" applyFill="1" applyBorder="1" applyAlignment="1">
      <alignment horizontal="center" vertical="center"/>
    </xf>
    <xf numFmtId="41" fontId="270" fillId="2" borderId="286" xfId="2" applyFont="1" applyFill="1" applyBorder="1" applyAlignment="1">
      <alignment horizontal="center" vertical="center"/>
    </xf>
    <xf numFmtId="41" fontId="270" fillId="2" borderId="287" xfId="2" applyFont="1" applyFill="1" applyBorder="1" applyAlignment="1">
      <alignment horizontal="center" vertical="center"/>
    </xf>
    <xf numFmtId="41" fontId="39" fillId="11" borderId="286" xfId="2" applyFont="1" applyFill="1" applyBorder="1" applyAlignment="1">
      <alignment horizontal="center" vertical="center"/>
    </xf>
    <xf numFmtId="41" fontId="39" fillId="0" borderId="16" xfId="2" applyFont="1" applyBorder="1" applyAlignment="1">
      <alignment horizontal="center" vertical="center"/>
    </xf>
    <xf numFmtId="41" fontId="39" fillId="0" borderId="288" xfId="2" applyFont="1" applyBorder="1" applyAlignment="1">
      <alignment horizontal="center" vertical="center"/>
    </xf>
    <xf numFmtId="41" fontId="39" fillId="0" borderId="286" xfId="2" applyFont="1" applyBorder="1" applyAlignment="1">
      <alignment horizontal="center" vertical="center"/>
    </xf>
    <xf numFmtId="41" fontId="270" fillId="0" borderId="195" xfId="2" applyFont="1" applyFill="1" applyBorder="1" applyAlignment="1">
      <alignment horizontal="center" vertical="center"/>
    </xf>
    <xf numFmtId="41" fontId="39" fillId="0" borderId="195" xfId="2" applyFont="1" applyBorder="1" applyAlignment="1">
      <alignment horizontal="center" vertical="center"/>
    </xf>
    <xf numFmtId="41" fontId="27" fillId="4" borderId="289" xfId="2" applyFont="1" applyFill="1" applyBorder="1" applyAlignment="1">
      <alignment horizontal="center" vertical="center"/>
    </xf>
    <xf numFmtId="41" fontId="27" fillId="4" borderId="290" xfId="2" applyFont="1" applyFill="1" applyBorder="1" applyAlignment="1">
      <alignment horizontal="center" vertical="center" shrinkToFit="1"/>
    </xf>
    <xf numFmtId="41" fontId="270" fillId="0" borderId="291" xfId="2" applyFont="1" applyFill="1" applyBorder="1" applyAlignment="1">
      <alignment horizontal="center" vertical="center"/>
    </xf>
    <xf numFmtId="41" fontId="270" fillId="0" borderId="292" xfId="2" applyFont="1" applyFill="1" applyBorder="1" applyAlignment="1">
      <alignment horizontal="center" vertical="center"/>
    </xf>
    <xf numFmtId="41" fontId="270" fillId="2" borderId="292" xfId="2" applyFont="1" applyFill="1" applyBorder="1" applyAlignment="1">
      <alignment horizontal="center" vertical="center"/>
    </xf>
    <xf numFmtId="41" fontId="270" fillId="2" borderId="293" xfId="2" applyFont="1" applyFill="1" applyBorder="1" applyAlignment="1">
      <alignment horizontal="center" vertical="center"/>
    </xf>
    <xf numFmtId="41" fontId="39" fillId="11" borderId="292" xfId="2" applyFont="1" applyFill="1" applyBorder="1" applyAlignment="1">
      <alignment horizontal="center" vertical="center"/>
    </xf>
    <xf numFmtId="41" fontId="39" fillId="0" borderId="294" xfId="2" applyFont="1" applyBorder="1" applyAlignment="1">
      <alignment horizontal="center" vertical="center"/>
    </xf>
    <xf numFmtId="41" fontId="39" fillId="0" borderId="295" xfId="2" applyFont="1" applyBorder="1" applyAlignment="1">
      <alignment horizontal="center" vertical="center"/>
    </xf>
    <xf numFmtId="41" fontId="39" fillId="0" borderId="296" xfId="2" applyFont="1" applyBorder="1" applyAlignment="1">
      <alignment horizontal="center" vertical="center"/>
    </xf>
    <xf numFmtId="41" fontId="30" fillId="0" borderId="66" xfId="2" applyFont="1" applyFill="1" applyBorder="1" applyAlignment="1">
      <alignment vertical="center"/>
    </xf>
    <xf numFmtId="41" fontId="270" fillId="0" borderId="281" xfId="2" applyFont="1" applyFill="1" applyBorder="1" applyAlignment="1">
      <alignment horizontal="center" vertical="center"/>
    </xf>
    <xf numFmtId="41" fontId="270" fillId="0" borderId="276" xfId="2" applyFont="1" applyFill="1" applyBorder="1" applyAlignment="1">
      <alignment horizontal="center" vertical="center"/>
    </xf>
    <xf numFmtId="41" fontId="270" fillId="2" borderId="85" xfId="2" applyFont="1" applyFill="1" applyBorder="1" applyAlignment="1">
      <alignment horizontal="center" vertical="center"/>
    </xf>
    <xf numFmtId="41" fontId="39" fillId="0" borderId="281" xfId="2" applyFont="1" applyFill="1" applyBorder="1" applyAlignment="1">
      <alignment horizontal="center" vertical="center"/>
    </xf>
    <xf numFmtId="41" fontId="39" fillId="0" borderId="276" xfId="2" applyFont="1" applyFill="1" applyBorder="1" applyAlignment="1">
      <alignment horizontal="center" vertical="center"/>
    </xf>
    <xf numFmtId="41" fontId="270" fillId="2" borderId="298" xfId="2" applyFont="1" applyFill="1" applyBorder="1" applyAlignment="1">
      <alignment horizontal="center" vertical="center"/>
    </xf>
    <xf numFmtId="41" fontId="270" fillId="2" borderId="89" xfId="2" applyFont="1" applyFill="1" applyBorder="1" applyAlignment="1">
      <alignment horizontal="center" vertical="center"/>
    </xf>
    <xf numFmtId="41" fontId="39" fillId="0" borderId="154" xfId="2" applyFont="1" applyBorder="1" applyAlignment="1">
      <alignment horizontal="center" vertical="center"/>
    </xf>
    <xf numFmtId="41" fontId="39" fillId="0" borderId="300" xfId="2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41" fontId="32" fillId="6" borderId="153" xfId="2" applyFont="1" applyFill="1" applyBorder="1" applyAlignment="1">
      <alignment horizontal="center" vertical="center"/>
    </xf>
    <xf numFmtId="41" fontId="29" fillId="9" borderId="14" xfId="2" applyFont="1" applyFill="1" applyBorder="1" applyAlignment="1">
      <alignment vertical="center"/>
    </xf>
    <xf numFmtId="41" fontId="29" fillId="9" borderId="1" xfId="2" applyFont="1" applyFill="1" applyBorder="1" applyAlignment="1">
      <alignment vertical="center"/>
    </xf>
    <xf numFmtId="41" fontId="29" fillId="9" borderId="15" xfId="2" applyFont="1" applyFill="1" applyBorder="1" applyAlignment="1">
      <alignment vertical="center"/>
    </xf>
    <xf numFmtId="41" fontId="29" fillId="9" borderId="16" xfId="2" applyFont="1" applyFill="1" applyBorder="1" applyAlignment="1">
      <alignment vertical="center"/>
    </xf>
    <xf numFmtId="41" fontId="27" fillId="9" borderId="94" xfId="2" applyFont="1" applyFill="1" applyBorder="1" applyAlignment="1">
      <alignment vertical="center"/>
    </xf>
    <xf numFmtId="41" fontId="35" fillId="0" borderId="0" xfId="2" applyFont="1" applyFill="1" applyAlignment="1">
      <alignment vertical="center"/>
    </xf>
    <xf numFmtId="9" fontId="27" fillId="0" borderId="0" xfId="1" applyFont="1" applyFill="1" applyAlignment="1">
      <alignment vertical="center"/>
    </xf>
    <xf numFmtId="0" fontId="27" fillId="0" borderId="0" xfId="3" applyNumberFormat="1" applyFont="1" applyFill="1">
      <alignment vertical="center"/>
    </xf>
    <xf numFmtId="0" fontId="27" fillId="0" borderId="0" xfId="3" applyNumberFormat="1" applyFont="1">
      <alignment vertical="center"/>
    </xf>
    <xf numFmtId="181" fontId="29" fillId="11" borderId="14" xfId="2" applyNumberFormat="1" applyFont="1" applyFill="1" applyBorder="1" applyAlignment="1">
      <alignment vertical="center"/>
    </xf>
    <xf numFmtId="41" fontId="29" fillId="11" borderId="15" xfId="2" applyFont="1" applyFill="1" applyBorder="1" applyAlignment="1">
      <alignment vertical="center"/>
    </xf>
    <xf numFmtId="41" fontId="29" fillId="11" borderId="214" xfId="2" applyFont="1" applyFill="1" applyBorder="1" applyAlignment="1">
      <alignment vertical="center"/>
    </xf>
    <xf numFmtId="41" fontId="29" fillId="11" borderId="94" xfId="2" applyFont="1" applyFill="1" applyBorder="1" applyAlignment="1">
      <alignment vertical="center"/>
    </xf>
    <xf numFmtId="41" fontId="29" fillId="11" borderId="55" xfId="2" applyFont="1" applyFill="1" applyBorder="1" applyAlignment="1">
      <alignment vertical="center"/>
    </xf>
    <xf numFmtId="41" fontId="27" fillId="0" borderId="0" xfId="1" applyNumberFormat="1" applyFont="1" applyFill="1" applyAlignment="1">
      <alignment vertical="center"/>
    </xf>
    <xf numFmtId="181" fontId="29" fillId="11" borderId="186" xfId="2" applyNumberFormat="1" applyFont="1" applyFill="1" applyBorder="1" applyAlignment="1">
      <alignment vertical="center"/>
    </xf>
    <xf numFmtId="41" fontId="30" fillId="113" borderId="153" xfId="2" applyFont="1" applyFill="1" applyBorder="1" applyAlignment="1">
      <alignment horizontal="center" vertical="center"/>
    </xf>
    <xf numFmtId="41" fontId="270" fillId="2" borderId="302" xfId="2" applyFont="1" applyFill="1" applyBorder="1" applyAlignment="1">
      <alignment horizontal="center" vertical="center"/>
    </xf>
    <xf numFmtId="41" fontId="270" fillId="2" borderId="303" xfId="2" applyFont="1" applyFill="1" applyBorder="1" applyAlignment="1">
      <alignment horizontal="center" vertical="center"/>
    </xf>
    <xf numFmtId="41" fontId="30" fillId="0" borderId="153" xfId="2" applyFont="1" applyFill="1" applyBorder="1" applyAlignment="1">
      <alignment horizontal="center" vertical="center"/>
    </xf>
    <xf numFmtId="41" fontId="39" fillId="0" borderId="192" xfId="2" applyFont="1" applyBorder="1" applyAlignment="1">
      <alignment horizontal="center" vertical="center"/>
    </xf>
    <xf numFmtId="41" fontId="39" fillId="0" borderId="276" xfId="2" applyFont="1" applyBorder="1" applyAlignment="1">
      <alignment horizontal="center" vertical="center"/>
    </xf>
    <xf numFmtId="41" fontId="30" fillId="0" borderId="153" xfId="2" applyFont="1" applyFill="1" applyBorder="1" applyAlignment="1">
      <alignment horizontal="right" vertical="center"/>
    </xf>
    <xf numFmtId="41" fontId="39" fillId="0" borderId="252" xfId="2" applyFont="1" applyFill="1" applyBorder="1" applyAlignment="1">
      <alignment horizontal="center" vertical="center"/>
    </xf>
    <xf numFmtId="41" fontId="39" fillId="0" borderId="300" xfId="2" applyFont="1" applyBorder="1" applyAlignment="1">
      <alignment horizontal="center" vertical="center"/>
    </xf>
    <xf numFmtId="41" fontId="39" fillId="11" borderId="300" xfId="2" applyFont="1" applyFill="1" applyBorder="1" applyAlignment="1">
      <alignment horizontal="center" vertical="center"/>
    </xf>
    <xf numFmtId="41" fontId="39" fillId="11" borderId="300" xfId="2" applyNumberFormat="1" applyFont="1" applyFill="1" applyBorder="1" applyAlignment="1">
      <alignment horizontal="center" vertical="center"/>
    </xf>
    <xf numFmtId="41" fontId="39" fillId="0" borderId="304" xfId="2" applyFont="1" applyFill="1" applyBorder="1" applyAlignment="1">
      <alignment horizontal="center" vertical="center"/>
    </xf>
    <xf numFmtId="41" fontId="39" fillId="0" borderId="292" xfId="2" applyFont="1" applyFill="1" applyBorder="1" applyAlignment="1">
      <alignment horizontal="center" vertical="center"/>
    </xf>
    <xf numFmtId="41" fontId="39" fillId="0" borderId="292" xfId="2" applyFont="1" applyBorder="1" applyAlignment="1">
      <alignment horizontal="center" vertical="center"/>
    </xf>
    <xf numFmtId="41" fontId="270" fillId="11" borderId="209" xfId="2" applyFont="1" applyFill="1" applyBorder="1" applyAlignment="1">
      <alignment horizontal="center" vertical="center"/>
    </xf>
    <xf numFmtId="41" fontId="270" fillId="11" borderId="284" xfId="2" applyFont="1" applyFill="1" applyBorder="1" applyAlignment="1">
      <alignment horizontal="center" vertical="center" shrinkToFit="1"/>
    </xf>
    <xf numFmtId="41" fontId="270" fillId="11" borderId="290" xfId="2" applyFont="1" applyFill="1" applyBorder="1" applyAlignment="1">
      <alignment horizontal="center" vertical="center"/>
    </xf>
    <xf numFmtId="41" fontId="270" fillId="11" borderId="99" xfId="2" applyFont="1" applyFill="1" applyBorder="1" applyAlignment="1">
      <alignment horizontal="center" vertical="center"/>
    </xf>
    <xf numFmtId="41" fontId="270" fillId="11" borderId="182" xfId="2" applyFont="1" applyFill="1" applyBorder="1" applyAlignment="1">
      <alignment horizontal="center" vertical="center"/>
    </xf>
    <xf numFmtId="10" fontId="270" fillId="13" borderId="299" xfId="1" applyNumberFormat="1" applyFont="1" applyFill="1" applyBorder="1" applyAlignment="1">
      <alignment horizontal="center" vertical="center"/>
    </xf>
    <xf numFmtId="10" fontId="270" fillId="13" borderId="298" xfId="1" applyNumberFormat="1" applyFont="1" applyFill="1" applyBorder="1" applyAlignment="1">
      <alignment vertical="center"/>
    </xf>
    <xf numFmtId="10" fontId="270" fillId="13" borderId="243" xfId="1" applyNumberFormat="1" applyFont="1" applyFill="1" applyBorder="1" applyAlignment="1">
      <alignment vertical="center"/>
    </xf>
    <xf numFmtId="10" fontId="270" fillId="13" borderId="310" xfId="1" applyNumberFormat="1" applyFont="1" applyFill="1" applyBorder="1" applyAlignment="1">
      <alignment vertical="center"/>
    </xf>
    <xf numFmtId="41" fontId="27" fillId="11" borderId="153" xfId="2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center" vertical="center"/>
    </xf>
    <xf numFmtId="41" fontId="39" fillId="0" borderId="153" xfId="2" applyFont="1" applyFill="1" applyBorder="1" applyAlignment="1">
      <alignment horizontal="center" vertical="center"/>
    </xf>
    <xf numFmtId="41" fontId="39" fillId="0" borderId="154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181" fontId="32" fillId="129" borderId="153" xfId="2" applyNumberFormat="1" applyFont="1" applyFill="1" applyBorder="1" applyAlignment="1">
      <alignment vertical="center"/>
    </xf>
    <xf numFmtId="41" fontId="39" fillId="0" borderId="195" xfId="2" applyFont="1" applyFill="1" applyBorder="1" applyAlignment="1">
      <alignment horizontal="center" vertical="center"/>
    </xf>
    <xf numFmtId="41" fontId="30" fillId="113" borderId="300" xfId="2" applyFont="1" applyFill="1" applyBorder="1" applyAlignment="1">
      <alignment horizontal="center" vertical="center"/>
    </xf>
    <xf numFmtId="41" fontId="30" fillId="113" borderId="154" xfId="2" applyFont="1" applyFill="1" applyBorder="1" applyAlignment="1">
      <alignment horizontal="center" vertical="center"/>
    </xf>
    <xf numFmtId="41" fontId="30" fillId="0" borderId="0" xfId="2" applyNumberFormat="1" applyFont="1" applyFill="1" applyBorder="1" applyAlignment="1">
      <alignment horizontal="center" vertical="center"/>
    </xf>
    <xf numFmtId="10" fontId="30" fillId="0" borderId="0" xfId="2" applyNumberFormat="1" applyFont="1" applyFill="1" applyBorder="1" applyAlignment="1">
      <alignment horizontal="center" vertical="center"/>
    </xf>
    <xf numFmtId="41" fontId="40" fillId="0" borderId="0" xfId="2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center" vertical="center"/>
    </xf>
    <xf numFmtId="41" fontId="39" fillId="0" borderId="153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9" fillId="0" borderId="154" xfId="2" applyFont="1" applyFill="1" applyBorder="1" applyAlignment="1">
      <alignment horizontal="center" vertical="center"/>
    </xf>
    <xf numFmtId="41" fontId="39" fillId="0" borderId="153" xfId="2" applyFont="1" applyBorder="1" applyAlignment="1">
      <alignment horizontal="center" vertical="center"/>
    </xf>
    <xf numFmtId="41" fontId="30" fillId="0" borderId="153" xfId="2" applyFont="1" applyFill="1" applyBorder="1" applyAlignment="1">
      <alignment horizontal="right" vertical="center"/>
    </xf>
    <xf numFmtId="41" fontId="30" fillId="0" borderId="15" xfId="2" applyFont="1" applyFill="1" applyBorder="1" applyAlignment="1">
      <alignment horizontal="center" vertical="center"/>
    </xf>
    <xf numFmtId="177" fontId="30" fillId="0" borderId="0" xfId="2" applyNumberFormat="1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vertical="center"/>
    </xf>
    <xf numFmtId="41" fontId="30" fillId="0" borderId="1" xfId="2" applyFont="1" applyFill="1" applyBorder="1" applyAlignment="1">
      <alignment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3" xfId="2" applyFont="1" applyFill="1" applyBorder="1" applyAlignment="1">
      <alignment horizontal="center" vertical="center"/>
    </xf>
    <xf numFmtId="181" fontId="29" fillId="9" borderId="14" xfId="2" applyNumberFormat="1" applyFont="1" applyFill="1" applyBorder="1" applyAlignment="1">
      <alignment vertical="center"/>
    </xf>
    <xf numFmtId="41" fontId="32" fillId="8" borderId="1" xfId="2" applyFont="1" applyFill="1" applyBorder="1" applyAlignment="1">
      <alignment vertical="center"/>
    </xf>
    <xf numFmtId="41" fontId="30" fillId="8" borderId="94" xfId="2" applyFont="1" applyFill="1" applyBorder="1" applyAlignment="1">
      <alignment vertical="center"/>
    </xf>
    <xf numFmtId="41" fontId="32" fillId="8" borderId="16" xfId="2" applyFont="1" applyFill="1" applyBorder="1" applyAlignment="1">
      <alignment vertical="center"/>
    </xf>
    <xf numFmtId="41" fontId="32" fillId="8" borderId="17" xfId="2" applyFont="1" applyFill="1" applyBorder="1" applyAlignment="1">
      <alignment vertical="center"/>
    </xf>
    <xf numFmtId="41" fontId="32" fillId="8" borderId="14" xfId="2" applyFont="1" applyFill="1" applyBorder="1" applyAlignment="1">
      <alignment vertical="center"/>
    </xf>
    <xf numFmtId="41" fontId="29" fillId="9" borderId="17" xfId="2" applyFont="1" applyFill="1" applyBorder="1" applyAlignment="1">
      <alignment vertical="center"/>
    </xf>
    <xf numFmtId="181" fontId="29" fillId="9" borderId="1" xfId="2" applyNumberFormat="1" applyFont="1" applyFill="1" applyBorder="1" applyAlignment="1">
      <alignment vertical="center"/>
    </xf>
    <xf numFmtId="41" fontId="32" fillId="0" borderId="15" xfId="2" applyNumberFormat="1" applyFont="1" applyFill="1" applyBorder="1" applyAlignment="1">
      <alignment vertical="center"/>
    </xf>
    <xf numFmtId="41" fontId="29" fillId="9" borderId="15" xfId="2" applyNumberFormat="1" applyFont="1" applyFill="1" applyBorder="1" applyAlignment="1">
      <alignment vertical="center"/>
    </xf>
    <xf numFmtId="181" fontId="32" fillId="0" borderId="186" xfId="2" applyNumberFormat="1" applyFont="1" applyFill="1" applyBorder="1" applyAlignment="1">
      <alignment vertical="center"/>
    </xf>
    <xf numFmtId="181" fontId="32" fillId="0" borderId="15" xfId="2" applyNumberFormat="1" applyFont="1" applyFill="1" applyBorder="1" applyAlignment="1">
      <alignment vertical="center"/>
    </xf>
    <xf numFmtId="10" fontId="30" fillId="0" borderId="0" xfId="1" applyNumberFormat="1" applyFont="1" applyBorder="1" applyAlignment="1">
      <alignment vertical="center"/>
    </xf>
    <xf numFmtId="10" fontId="30" fillId="0" borderId="0" xfId="1" applyNumberFormat="1" applyFont="1" applyAlignment="1">
      <alignment vertical="center"/>
    </xf>
    <xf numFmtId="0" fontId="2" fillId="0" borderId="0" xfId="36933">
      <alignment vertical="center"/>
    </xf>
    <xf numFmtId="0" fontId="2" fillId="0" borderId="0" xfId="36933" applyFont="1">
      <alignment vertical="center"/>
    </xf>
    <xf numFmtId="0" fontId="291" fillId="131" borderId="0" xfId="36933" applyFont="1" applyFill="1" applyAlignment="1">
      <alignment horizontal="center" vertical="center"/>
    </xf>
    <xf numFmtId="9" fontId="94" fillId="0" borderId="0" xfId="36933" applyNumberFormat="1" applyFont="1">
      <alignment vertical="center"/>
    </xf>
    <xf numFmtId="0" fontId="94" fillId="0" borderId="0" xfId="36933" applyFont="1">
      <alignment vertical="center"/>
    </xf>
    <xf numFmtId="0" fontId="273" fillId="12" borderId="0" xfId="36933" applyFont="1" applyFill="1">
      <alignment vertical="center"/>
    </xf>
    <xf numFmtId="0" fontId="94" fillId="123" borderId="76" xfId="36933" applyFont="1" applyFill="1" applyBorder="1" applyAlignment="1">
      <alignment horizontal="center" vertical="center"/>
    </xf>
    <xf numFmtId="300" fontId="94" fillId="0" borderId="39" xfId="36933" applyNumberFormat="1" applyFont="1" applyBorder="1">
      <alignment vertical="center"/>
    </xf>
    <xf numFmtId="300" fontId="94" fillId="0" borderId="63" xfId="36933" applyNumberFormat="1" applyFont="1" applyBorder="1">
      <alignment vertical="center"/>
    </xf>
    <xf numFmtId="300" fontId="94" fillId="0" borderId="0" xfId="36933" applyNumberFormat="1" applyFont="1">
      <alignment vertical="center"/>
    </xf>
    <xf numFmtId="0" fontId="94" fillId="123" borderId="66" xfId="36933" applyFont="1" applyFill="1" applyBorder="1" applyAlignment="1">
      <alignment horizontal="center" vertical="center"/>
    </xf>
    <xf numFmtId="0" fontId="94" fillId="0" borderId="49" xfId="36933" applyFont="1" applyBorder="1">
      <alignment vertical="center"/>
    </xf>
    <xf numFmtId="0" fontId="94" fillId="130" borderId="272" xfId="36933" applyFont="1" applyFill="1" applyBorder="1">
      <alignment vertical="center"/>
    </xf>
    <xf numFmtId="0" fontId="94" fillId="130" borderId="90" xfId="36933" applyFont="1" applyFill="1" applyBorder="1">
      <alignment vertical="center"/>
    </xf>
    <xf numFmtId="0" fontId="94" fillId="0" borderId="0" xfId="36933" applyFont="1" applyFill="1" applyBorder="1">
      <alignment vertical="center"/>
    </xf>
    <xf numFmtId="0" fontId="94" fillId="0" borderId="0" xfId="36933" applyFont="1" applyAlignment="1">
      <alignment horizontal="center" vertical="center"/>
    </xf>
    <xf numFmtId="302" fontId="94" fillId="10" borderId="0" xfId="36933" applyNumberFormat="1" applyFont="1" applyFill="1">
      <alignment vertical="center"/>
    </xf>
    <xf numFmtId="0" fontId="94" fillId="0" borderId="0" xfId="36933" applyFont="1" applyFill="1">
      <alignment vertical="center"/>
    </xf>
    <xf numFmtId="0" fontId="94" fillId="113" borderId="0" xfId="36933" applyFont="1" applyFill="1">
      <alignment vertical="center"/>
    </xf>
    <xf numFmtId="301" fontId="94" fillId="0" borderId="0" xfId="36933" applyNumberFormat="1" applyFont="1">
      <alignment vertical="center"/>
    </xf>
    <xf numFmtId="41" fontId="2" fillId="0" borderId="0" xfId="36934" applyFont="1">
      <alignment vertical="center"/>
    </xf>
    <xf numFmtId="0" fontId="2" fillId="0" borderId="0" xfId="36933" applyFont="1" applyAlignment="1">
      <alignment horizontal="right" vertical="center"/>
    </xf>
    <xf numFmtId="300" fontId="94" fillId="0" borderId="0" xfId="36933" applyNumberFormat="1" applyFont="1" applyBorder="1">
      <alignment vertical="center"/>
    </xf>
    <xf numFmtId="0" fontId="94" fillId="0" borderId="0" xfId="36933" applyFont="1" applyBorder="1">
      <alignment vertical="center"/>
    </xf>
    <xf numFmtId="0" fontId="94" fillId="130" borderId="0" xfId="36933" applyFont="1" applyFill="1" applyBorder="1">
      <alignment vertical="center"/>
    </xf>
    <xf numFmtId="0" fontId="94" fillId="0" borderId="23" xfId="36933" applyFont="1" applyBorder="1">
      <alignment vertical="center"/>
    </xf>
    <xf numFmtId="303" fontId="94" fillId="130" borderId="313" xfId="36933" applyNumberFormat="1" applyFont="1" applyFill="1" applyBorder="1">
      <alignment vertical="center"/>
    </xf>
    <xf numFmtId="303" fontId="2" fillId="0" borderId="0" xfId="36933" applyNumberFormat="1" applyFont="1">
      <alignment vertical="center"/>
    </xf>
    <xf numFmtId="300" fontId="94" fillId="0" borderId="43" xfId="36933" applyNumberFormat="1" applyFont="1" applyBorder="1">
      <alignment vertical="center"/>
    </xf>
    <xf numFmtId="303" fontId="94" fillId="0" borderId="53" xfId="36933" applyNumberFormat="1" applyFont="1" applyBorder="1">
      <alignment vertical="center"/>
    </xf>
    <xf numFmtId="41" fontId="2" fillId="0" borderId="0" xfId="2" applyFont="1" applyAlignment="1">
      <alignment vertical="center"/>
    </xf>
    <xf numFmtId="41" fontId="2" fillId="0" borderId="0" xfId="36933" applyNumberFormat="1" applyFont="1" applyAlignment="1">
      <alignment horizontal="right" vertical="center"/>
    </xf>
    <xf numFmtId="10" fontId="94" fillId="0" borderId="0" xfId="36933" applyNumberFormat="1" applyFont="1">
      <alignment vertical="center"/>
    </xf>
    <xf numFmtId="41" fontId="94" fillId="113" borderId="0" xfId="2" applyFont="1" applyFill="1" applyAlignment="1">
      <alignment vertical="center"/>
    </xf>
    <xf numFmtId="41" fontId="94" fillId="10" borderId="0" xfId="2" applyFont="1" applyFill="1" applyAlignment="1">
      <alignment vertical="center"/>
    </xf>
    <xf numFmtId="41" fontId="35" fillId="0" borderId="0" xfId="2" applyFont="1" applyFill="1" applyAlignment="1">
      <alignment horizontal="center" vertical="center"/>
    </xf>
    <xf numFmtId="10" fontId="27" fillId="0" borderId="0" xfId="1" applyNumberFormat="1" applyFont="1" applyBorder="1" applyAlignment="1">
      <alignment vertical="center"/>
    </xf>
    <xf numFmtId="10" fontId="27" fillId="13" borderId="90" xfId="1" applyNumberFormat="1" applyFont="1" applyFill="1" applyBorder="1" applyAlignment="1">
      <alignment vertical="center"/>
    </xf>
    <xf numFmtId="41" fontId="30" fillId="0" borderId="7" xfId="2" applyFont="1" applyFill="1" applyBorder="1" applyAlignment="1">
      <alignment vertical="center"/>
    </xf>
    <xf numFmtId="10" fontId="34" fillId="0" borderId="8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2" fillId="0" borderId="0" xfId="0" applyFont="1" applyAlignment="1">
      <alignment horizontal="center" vertical="center"/>
    </xf>
    <xf numFmtId="304" fontId="293" fillId="132" borderId="153" xfId="0" applyNumberFormat="1" applyFont="1" applyFill="1" applyBorder="1" applyAlignment="1">
      <alignment horizontal="center" vertical="center"/>
    </xf>
    <xf numFmtId="0" fontId="293" fillId="0" borderId="0" xfId="0" applyFont="1" applyAlignment="1">
      <alignment vertical="center"/>
    </xf>
    <xf numFmtId="0" fontId="293" fillId="0" borderId="153" xfId="0" applyFont="1" applyBorder="1" applyAlignment="1">
      <alignment horizontal="center" vertical="center"/>
    </xf>
    <xf numFmtId="0" fontId="293" fillId="0" borderId="300" xfId="0" applyFont="1" applyBorder="1" applyAlignment="1">
      <alignment vertical="center"/>
    </xf>
    <xf numFmtId="10" fontId="293" fillId="0" borderId="195" xfId="0" applyNumberFormat="1" applyFont="1" applyBorder="1" applyAlignment="1">
      <alignment vertical="center"/>
    </xf>
    <xf numFmtId="10" fontId="293" fillId="0" borderId="153" xfId="1" applyNumberFormat="1" applyFont="1" applyFill="1" applyBorder="1" applyAlignment="1">
      <alignment horizontal="center" vertical="center"/>
    </xf>
    <xf numFmtId="305" fontId="293" fillId="0" borderId="195" xfId="0" applyNumberFormat="1" applyFont="1" applyBorder="1" applyAlignment="1">
      <alignment horizontal="center" vertical="center"/>
    </xf>
    <xf numFmtId="0" fontId="292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2" fillId="0" borderId="30" xfId="0" applyFont="1" applyBorder="1"/>
    <xf numFmtId="0" fontId="292" fillId="0" borderId="233" xfId="0" applyFont="1" applyBorder="1"/>
    <xf numFmtId="10" fontId="292" fillId="0" borderId="99" xfId="35493" applyNumberFormat="1" applyFont="1" applyFill="1" applyBorder="1" applyAlignment="1" applyProtection="1">
      <alignment horizontal="right" vertical="center"/>
    </xf>
    <xf numFmtId="10" fontId="292" fillId="86" borderId="233" xfId="35493" applyNumberFormat="1" applyFont="1" applyFill="1" applyBorder="1" applyAlignment="1" applyProtection="1">
      <alignment horizontal="right" vertical="center"/>
    </xf>
    <xf numFmtId="0" fontId="292" fillId="0" borderId="183" xfId="0" applyFont="1" applyBorder="1"/>
    <xf numFmtId="0" fontId="292" fillId="0" borderId="18" xfId="0" applyFont="1" applyBorder="1"/>
    <xf numFmtId="10" fontId="292" fillId="0" borderId="0" xfId="35493" applyNumberFormat="1" applyFont="1" applyFill="1" applyBorder="1" applyAlignment="1" applyProtection="1">
      <alignment horizontal="right" vertical="center"/>
    </xf>
    <xf numFmtId="10" fontId="292" fillId="86" borderId="18" xfId="35493" applyNumberFormat="1" applyFont="1" applyFill="1" applyBorder="1" applyAlignment="1" applyProtection="1">
      <alignment horizontal="right" vertical="center"/>
    </xf>
    <xf numFmtId="10" fontId="294" fillId="0" borderId="0" xfId="35493" applyNumberFormat="1" applyFont="1" applyFill="1" applyBorder="1" applyAlignment="1" applyProtection="1">
      <alignment horizontal="right" vertical="center"/>
    </xf>
    <xf numFmtId="0" fontId="292" fillId="0" borderId="252" xfId="0" applyFont="1" applyBorder="1"/>
    <xf numFmtId="0" fontId="292" fillId="0" borderId="281" xfId="0" applyFont="1" applyBorder="1"/>
    <xf numFmtId="10" fontId="292" fillId="0" borderId="192" xfId="35493" applyNumberFormat="1" applyFont="1" applyFill="1" applyBorder="1" applyAlignment="1" applyProtection="1">
      <alignment horizontal="right" vertical="center"/>
    </xf>
    <xf numFmtId="10" fontId="292" fillId="86" borderId="281" xfId="35493" applyNumberFormat="1" applyFont="1" applyFill="1" applyBorder="1" applyAlignment="1" applyProtection="1">
      <alignment horizontal="right" vertical="center"/>
    </xf>
    <xf numFmtId="177" fontId="30" fillId="0" borderId="0" xfId="2" applyNumberFormat="1" applyFont="1" applyFill="1" applyBorder="1" applyAlignment="1">
      <alignment horizontal="center" vertical="center"/>
    </xf>
    <xf numFmtId="177" fontId="267" fillId="86" borderId="15" xfId="34534" applyNumberFormat="1" applyFont="1" applyFill="1" applyBorder="1" applyAlignment="1">
      <alignment horizontal="center" vertical="center"/>
    </xf>
    <xf numFmtId="41" fontId="267" fillId="86" borderId="15" xfId="34534" applyFont="1" applyFill="1" applyBorder="1" applyAlignment="1">
      <alignment horizontal="center" vertical="center"/>
    </xf>
    <xf numFmtId="188" fontId="262" fillId="0" borderId="190" xfId="36916" applyNumberFormat="1" applyFont="1" applyBorder="1" applyAlignment="1">
      <alignment horizontal="center" vertical="center"/>
    </xf>
    <xf numFmtId="41" fontId="267" fillId="86" borderId="16" xfId="34534" applyNumberFormat="1" applyFont="1" applyFill="1" applyBorder="1" applyAlignment="1">
      <alignment horizontal="center" vertical="center"/>
    </xf>
    <xf numFmtId="41" fontId="267" fillId="86" borderId="17" xfId="34534" applyNumberFormat="1" applyFont="1" applyFill="1" applyBorder="1" applyAlignment="1">
      <alignment horizontal="center" vertical="center"/>
    </xf>
    <xf numFmtId="41" fontId="267" fillId="86" borderId="33" xfId="34534" applyNumberFormat="1" applyFont="1" applyFill="1" applyBorder="1" applyAlignment="1">
      <alignment horizontal="center" vertical="center"/>
    </xf>
    <xf numFmtId="41" fontId="267" fillId="86" borderId="34" xfId="34534" applyNumberFormat="1" applyFont="1" applyFill="1" applyBorder="1" applyAlignment="1">
      <alignment horizontal="center" vertical="center"/>
    </xf>
    <xf numFmtId="188" fontId="267" fillId="86" borderId="15" xfId="36916" applyNumberFormat="1" applyFont="1" applyFill="1" applyBorder="1" applyAlignment="1">
      <alignment horizontal="center" vertical="center"/>
    </xf>
    <xf numFmtId="41" fontId="267" fillId="0" borderId="16" xfId="34534" applyNumberFormat="1" applyFont="1" applyBorder="1" applyAlignment="1">
      <alignment horizontal="center" vertical="center"/>
    </xf>
    <xf numFmtId="41" fontId="267" fillId="0" borderId="17" xfId="34534" applyNumberFormat="1" applyFont="1" applyBorder="1" applyAlignment="1">
      <alignment horizontal="center" vertical="center"/>
    </xf>
    <xf numFmtId="41" fontId="265" fillId="2" borderId="16" xfId="34534" applyFont="1" applyFill="1" applyBorder="1" applyAlignment="1">
      <alignment horizontal="center" vertical="center"/>
    </xf>
    <xf numFmtId="41" fontId="265" fillId="2" borderId="17" xfId="34534" applyFont="1" applyFill="1" applyBorder="1" applyAlignment="1">
      <alignment horizontal="center" vertical="center"/>
    </xf>
    <xf numFmtId="41" fontId="267" fillId="0" borderId="15" xfId="36916" applyNumberFormat="1" applyFont="1" applyBorder="1" applyAlignment="1">
      <alignment horizontal="center" vertical="center"/>
    </xf>
    <xf numFmtId="41" fontId="265" fillId="2" borderId="16" xfId="34534" applyNumberFormat="1" applyFont="1" applyFill="1" applyBorder="1" applyAlignment="1">
      <alignment horizontal="center" vertical="center"/>
    </xf>
    <xf numFmtId="41" fontId="265" fillId="2" borderId="17" xfId="34534" applyNumberFormat="1" applyFont="1" applyFill="1" applyBorder="1" applyAlignment="1">
      <alignment horizontal="center" vertical="center"/>
    </xf>
    <xf numFmtId="41" fontId="267" fillId="0" borderId="33" xfId="34534" applyNumberFormat="1" applyFont="1" applyBorder="1" applyAlignment="1">
      <alignment horizontal="center" vertical="center"/>
    </xf>
    <xf numFmtId="41" fontId="267" fillId="0" borderId="34" xfId="34534" applyNumberFormat="1" applyFont="1" applyBorder="1" applyAlignment="1">
      <alignment horizontal="center" vertical="center"/>
    </xf>
    <xf numFmtId="0" fontId="262" fillId="0" borderId="0" xfId="36916" applyFont="1" applyAlignment="1">
      <alignment horizontal="center" vertical="center"/>
    </xf>
    <xf numFmtId="41" fontId="267" fillId="2" borderId="16" xfId="34534" applyNumberFormat="1" applyFont="1" applyFill="1" applyBorder="1" applyAlignment="1">
      <alignment horizontal="center" vertical="center"/>
    </xf>
    <xf numFmtId="41" fontId="267" fillId="2" borderId="17" xfId="34534" applyNumberFormat="1" applyFont="1" applyFill="1" applyBorder="1" applyAlignment="1">
      <alignment horizontal="center" vertical="center"/>
    </xf>
    <xf numFmtId="41" fontId="268" fillId="2" borderId="16" xfId="34534" applyNumberFormat="1" applyFont="1" applyFill="1" applyBorder="1" applyAlignment="1">
      <alignment horizontal="center" vertical="center"/>
    </xf>
    <xf numFmtId="41" fontId="268" fillId="2" borderId="17" xfId="34534" applyNumberFormat="1" applyFont="1" applyFill="1" applyBorder="1" applyAlignment="1">
      <alignment horizontal="center" vertical="center"/>
    </xf>
    <xf numFmtId="41" fontId="265" fillId="2" borderId="1" xfId="34534" applyFont="1" applyFill="1" applyBorder="1" applyAlignment="1">
      <alignment horizontal="center" vertical="center"/>
    </xf>
    <xf numFmtId="41" fontId="267" fillId="0" borderId="32" xfId="34534" applyFont="1" applyBorder="1" applyAlignment="1">
      <alignment horizontal="center" vertical="center"/>
    </xf>
    <xf numFmtId="41" fontId="267" fillId="0" borderId="141" xfId="34534" applyFont="1" applyBorder="1" applyAlignment="1">
      <alignment horizontal="center" vertical="center"/>
    </xf>
    <xf numFmtId="41" fontId="267" fillId="0" borderId="145" xfId="34534" applyFont="1" applyBorder="1" applyAlignment="1">
      <alignment horizontal="center" vertical="center"/>
    </xf>
    <xf numFmtId="182" fontId="267" fillId="86" borderId="16" xfId="34534" applyNumberFormat="1" applyFont="1" applyFill="1" applyBorder="1" applyAlignment="1">
      <alignment horizontal="center" vertical="center"/>
    </xf>
    <xf numFmtId="182" fontId="267" fillId="86" borderId="17" xfId="34534" applyNumberFormat="1" applyFont="1" applyFill="1" applyBorder="1" applyAlignment="1">
      <alignment horizontal="center" vertical="center"/>
    </xf>
    <xf numFmtId="182" fontId="267" fillId="0" borderId="16" xfId="34534" applyNumberFormat="1" applyFont="1" applyFill="1" applyBorder="1" applyAlignment="1">
      <alignment horizontal="center" vertical="center"/>
    </xf>
    <xf numFmtId="182" fontId="267" fillId="0" borderId="17" xfId="34534" applyNumberFormat="1" applyFont="1" applyFill="1" applyBorder="1" applyAlignment="1">
      <alignment horizontal="center" vertical="center"/>
    </xf>
    <xf numFmtId="41" fontId="266" fillId="2" borderId="16" xfId="34534" applyFont="1" applyFill="1" applyBorder="1" applyAlignment="1">
      <alignment horizontal="center" vertical="center"/>
    </xf>
    <xf numFmtId="41" fontId="266" fillId="2" borderId="17" xfId="34534" applyFont="1" applyFill="1" applyBorder="1" applyAlignment="1">
      <alignment horizontal="center" vertical="center"/>
    </xf>
    <xf numFmtId="182" fontId="265" fillId="9" borderId="16" xfId="34534" applyNumberFormat="1" applyFont="1" applyFill="1" applyBorder="1" applyAlignment="1">
      <alignment horizontal="center" vertical="center"/>
    </xf>
    <xf numFmtId="182" fontId="265" fillId="9" borderId="17" xfId="34534" applyNumberFormat="1" applyFont="1" applyFill="1" applyBorder="1" applyAlignment="1">
      <alignment horizontal="center" vertical="center"/>
    </xf>
    <xf numFmtId="188" fontId="277" fillId="86" borderId="16" xfId="34534" applyNumberFormat="1" applyFont="1" applyFill="1" applyBorder="1" applyAlignment="1">
      <alignment horizontal="center" vertical="center"/>
    </xf>
    <xf numFmtId="188" fontId="277" fillId="86" borderId="17" xfId="34534" applyNumberFormat="1" applyFont="1" applyFill="1" applyBorder="1" applyAlignment="1">
      <alignment horizontal="center" vertical="center"/>
    </xf>
    <xf numFmtId="41" fontId="265" fillId="9" borderId="16" xfId="34534" applyNumberFormat="1" applyFont="1" applyFill="1" applyBorder="1" applyAlignment="1">
      <alignment horizontal="center" vertical="center"/>
    </xf>
    <xf numFmtId="41" fontId="265" fillId="9" borderId="17" xfId="34534" applyNumberFormat="1" applyFont="1" applyFill="1" applyBorder="1" applyAlignment="1">
      <alignment horizontal="center" vertical="center"/>
    </xf>
    <xf numFmtId="188" fontId="267" fillId="86" borderId="16" xfId="34534" applyNumberFormat="1" applyFont="1" applyFill="1" applyBorder="1" applyAlignment="1">
      <alignment horizontal="center" vertical="center"/>
    </xf>
    <xf numFmtId="188" fontId="267" fillId="86" borderId="17" xfId="34534" applyNumberFormat="1" applyFont="1" applyFill="1" applyBorder="1" applyAlignment="1">
      <alignment horizontal="center" vertical="center"/>
    </xf>
    <xf numFmtId="41" fontId="267" fillId="0" borderId="16" xfId="2" applyFont="1" applyBorder="1" applyAlignment="1">
      <alignment horizontal="center" vertical="center"/>
    </xf>
    <xf numFmtId="41" fontId="267" fillId="0" borderId="17" xfId="2" applyFont="1" applyBorder="1" applyAlignment="1">
      <alignment horizontal="center" vertical="center"/>
    </xf>
    <xf numFmtId="43" fontId="267" fillId="0" borderId="16" xfId="34534" applyNumberFormat="1" applyFont="1" applyBorder="1" applyAlignment="1">
      <alignment horizontal="center" vertical="center"/>
    </xf>
    <xf numFmtId="43" fontId="267" fillId="0" borderId="17" xfId="34534" applyNumberFormat="1" applyFont="1" applyBorder="1" applyAlignment="1">
      <alignment horizontal="center" vertical="center"/>
    </xf>
    <xf numFmtId="188" fontId="267" fillId="0" borderId="15" xfId="36916" applyNumberFormat="1" applyFont="1" applyBorder="1" applyAlignment="1">
      <alignment horizontal="center" vertical="center"/>
    </xf>
    <xf numFmtId="181" fontId="267" fillId="86" borderId="16" xfId="36916" applyNumberFormat="1" applyFont="1" applyFill="1" applyBorder="1" applyAlignment="1">
      <alignment horizontal="center" vertical="center"/>
    </xf>
    <xf numFmtId="181" fontId="267" fillId="86" borderId="17" xfId="36916" applyNumberFormat="1" applyFont="1" applyFill="1" applyBorder="1" applyAlignment="1">
      <alignment horizontal="center" vertical="center"/>
    </xf>
    <xf numFmtId="0" fontId="264" fillId="2" borderId="15" xfId="36916" applyFont="1" applyFill="1" applyBorder="1" applyAlignment="1">
      <alignment horizontal="center" vertical="center"/>
    </xf>
    <xf numFmtId="180" fontId="265" fillId="2" borderId="16" xfId="34534" applyNumberFormat="1" applyFont="1" applyFill="1" applyBorder="1" applyAlignment="1">
      <alignment horizontal="center" vertical="center"/>
    </xf>
    <xf numFmtId="180" fontId="265" fillId="2" borderId="17" xfId="34534" applyNumberFormat="1" applyFont="1" applyFill="1" applyBorder="1" applyAlignment="1">
      <alignment horizontal="center" vertical="center"/>
    </xf>
    <xf numFmtId="41" fontId="265" fillId="2" borderId="15" xfId="34534" applyFont="1" applyFill="1" applyBorder="1" applyAlignment="1">
      <alignment horizontal="center" vertical="center"/>
    </xf>
    <xf numFmtId="181" fontId="267" fillId="0" borderId="15" xfId="36916" applyNumberFormat="1" applyFont="1" applyFill="1" applyBorder="1" applyAlignment="1">
      <alignment horizontal="center" vertical="center"/>
    </xf>
    <xf numFmtId="181" fontId="267" fillId="86" borderId="15" xfId="36916" applyNumberFormat="1" applyFont="1" applyFill="1" applyBorder="1" applyAlignment="1">
      <alignment horizontal="center" vertical="center"/>
    </xf>
    <xf numFmtId="0" fontId="264" fillId="2" borderId="16" xfId="36916" applyFont="1" applyFill="1" applyBorder="1" applyAlignment="1">
      <alignment horizontal="center" vertical="center"/>
    </xf>
    <xf numFmtId="0" fontId="264" fillId="2" borderId="1" xfId="36916" applyFont="1" applyFill="1" applyBorder="1" applyAlignment="1">
      <alignment horizontal="center" vertical="center"/>
    </xf>
    <xf numFmtId="0" fontId="264" fillId="2" borderId="17" xfId="36916" applyFont="1" applyFill="1" applyBorder="1" applyAlignment="1">
      <alignment horizontal="center" vertical="center"/>
    </xf>
    <xf numFmtId="0" fontId="262" fillId="117" borderId="142" xfId="36916" applyFont="1" applyFill="1" applyBorder="1" applyAlignment="1">
      <alignment horizontal="center" vertical="center"/>
    </xf>
    <xf numFmtId="41" fontId="267" fillId="86" borderId="15" xfId="36916" applyNumberFormat="1" applyFont="1" applyFill="1" applyBorder="1" applyAlignment="1">
      <alignment horizontal="center" vertical="center"/>
    </xf>
    <xf numFmtId="41" fontId="265" fillId="10" borderId="15" xfId="34534" applyFont="1" applyFill="1" applyBorder="1" applyAlignment="1">
      <alignment horizontal="center" vertical="center"/>
    </xf>
    <xf numFmtId="177" fontId="267" fillId="86" borderId="15" xfId="36916" applyNumberFormat="1" applyFont="1" applyFill="1" applyBorder="1" applyAlignment="1">
      <alignment horizontal="center" vertical="center"/>
    </xf>
    <xf numFmtId="177" fontId="30" fillId="0" borderId="3" xfId="2" applyNumberFormat="1" applyFont="1" applyFill="1" applyBorder="1" applyAlignment="1">
      <alignment horizontal="center" vertical="center"/>
    </xf>
    <xf numFmtId="177" fontId="30" fillId="0" borderId="4" xfId="2" applyNumberFormat="1" applyFont="1" applyFill="1" applyBorder="1" applyAlignment="1">
      <alignment horizontal="center" vertical="center"/>
    </xf>
    <xf numFmtId="177" fontId="30" fillId="0" borderId="64" xfId="2" applyNumberFormat="1" applyFont="1" applyFill="1" applyBorder="1" applyAlignment="1">
      <alignment horizontal="center" vertical="center"/>
    </xf>
    <xf numFmtId="41" fontId="30" fillId="0" borderId="2" xfId="2" applyFont="1" applyFill="1" applyBorder="1" applyAlignment="1">
      <alignment horizontal="left" vertical="center"/>
    </xf>
    <xf numFmtId="41" fontId="30" fillId="0" borderId="3" xfId="2" applyFont="1" applyFill="1" applyBorder="1" applyAlignment="1">
      <alignment horizontal="left" vertical="center"/>
    </xf>
    <xf numFmtId="41" fontId="30" fillId="0" borderId="7" xfId="2" applyFont="1" applyFill="1" applyBorder="1" applyAlignment="1">
      <alignment horizontal="left" vertical="center"/>
    </xf>
    <xf numFmtId="177" fontId="30" fillId="11" borderId="27" xfId="2" applyNumberFormat="1" applyFont="1" applyFill="1" applyBorder="1" applyAlignment="1">
      <alignment horizontal="center" vertical="center"/>
    </xf>
    <xf numFmtId="177" fontId="30" fillId="11" borderId="70" xfId="2" applyNumberFormat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41" fontId="30" fillId="0" borderId="4" xfId="2" applyFont="1" applyFill="1" applyBorder="1" applyAlignment="1">
      <alignment horizontal="left" vertical="center"/>
    </xf>
    <xf numFmtId="41" fontId="30" fillId="0" borderId="1" xfId="2" applyFont="1" applyFill="1" applyBorder="1" applyAlignment="1">
      <alignment horizontal="left" vertical="center"/>
    </xf>
    <xf numFmtId="41" fontId="30" fillId="0" borderId="8" xfId="2" applyFont="1" applyFill="1" applyBorder="1" applyAlignment="1">
      <alignment horizontal="left" vertical="center"/>
    </xf>
    <xf numFmtId="177" fontId="30" fillId="0" borderId="6" xfId="2" applyNumberFormat="1" applyFont="1" applyFill="1" applyBorder="1" applyAlignment="1">
      <alignment horizontal="center" vertical="center"/>
    </xf>
    <xf numFmtId="178" fontId="30" fillId="0" borderId="4" xfId="2" applyNumberFormat="1" applyFont="1" applyFill="1" applyBorder="1" applyAlignment="1">
      <alignment horizontal="left" vertical="center"/>
    </xf>
    <xf numFmtId="178" fontId="30" fillId="0" borderId="1" xfId="2" applyNumberFormat="1" applyFont="1" applyFill="1" applyBorder="1" applyAlignment="1">
      <alignment horizontal="left" vertical="center"/>
    </xf>
    <xf numFmtId="178" fontId="30" fillId="0" borderId="8" xfId="2" applyNumberFormat="1" applyFont="1" applyFill="1" applyBorder="1" applyAlignment="1">
      <alignment horizontal="left" vertical="center"/>
    </xf>
    <xf numFmtId="177" fontId="30" fillId="0" borderId="23" xfId="2" applyNumberFormat="1" applyFont="1" applyFill="1" applyBorder="1" applyAlignment="1">
      <alignment horizontal="center" vertical="center"/>
    </xf>
    <xf numFmtId="177" fontId="30" fillId="0" borderId="87" xfId="2" applyNumberFormat="1" applyFont="1" applyFill="1" applyBorder="1" applyAlignment="1">
      <alignment horizontal="center" vertical="center"/>
    </xf>
    <xf numFmtId="178" fontId="30" fillId="0" borderId="5" xfId="2" applyNumberFormat="1" applyFont="1" applyFill="1" applyBorder="1" applyAlignment="1">
      <alignment horizontal="left" vertical="center"/>
    </xf>
    <xf numFmtId="178" fontId="30" fillId="0" borderId="6" xfId="2" applyNumberFormat="1" applyFont="1" applyFill="1" applyBorder="1" applyAlignment="1">
      <alignment horizontal="left" vertical="center"/>
    </xf>
    <xf numFmtId="178" fontId="30" fillId="0" borderId="9" xfId="2" applyNumberFormat="1" applyFont="1" applyFill="1" applyBorder="1" applyAlignment="1">
      <alignment horizontal="left" vertical="center"/>
    </xf>
    <xf numFmtId="177" fontId="30" fillId="0" borderId="5" xfId="2" applyNumberFormat="1" applyFont="1" applyFill="1" applyBorder="1" applyAlignment="1">
      <alignment horizontal="center" vertical="center"/>
    </xf>
    <xf numFmtId="177" fontId="30" fillId="0" borderId="150" xfId="2" applyNumberFormat="1" applyFont="1" applyFill="1" applyBorder="1" applyAlignment="1">
      <alignment horizontal="center" vertical="center"/>
    </xf>
    <xf numFmtId="41" fontId="30" fillId="0" borderId="23" xfId="2" applyFont="1" applyFill="1" applyBorder="1" applyAlignment="1">
      <alignment horizontal="left" vertical="center"/>
    </xf>
    <xf numFmtId="41" fontId="30" fillId="0" borderId="25" xfId="2" applyFont="1" applyFill="1" applyBorder="1" applyAlignment="1">
      <alignment horizontal="left" vertical="center"/>
    </xf>
    <xf numFmtId="41" fontId="30" fillId="0" borderId="24" xfId="2" applyFont="1" applyFill="1" applyBorder="1" applyAlignment="1">
      <alignment horizontal="left" vertical="center"/>
    </xf>
    <xf numFmtId="10" fontId="30" fillId="0" borderId="1" xfId="2" applyNumberFormat="1" applyFont="1" applyFill="1" applyBorder="1" applyAlignment="1">
      <alignment horizontal="center" vertical="center"/>
    </xf>
    <xf numFmtId="41" fontId="30" fillId="0" borderId="25" xfId="2" applyFont="1" applyFill="1" applyBorder="1" applyAlignment="1">
      <alignment vertical="center"/>
    </xf>
    <xf numFmtId="177" fontId="30" fillId="0" borderId="2" xfId="2" applyNumberFormat="1" applyFont="1" applyFill="1" applyBorder="1" applyAlignment="1">
      <alignment horizontal="center" vertical="center"/>
    </xf>
    <xf numFmtId="177" fontId="30" fillId="0" borderId="185" xfId="2" applyNumberFormat="1" applyFont="1" applyFill="1" applyBorder="1" applyAlignment="1">
      <alignment horizontal="center" vertical="center"/>
    </xf>
    <xf numFmtId="41" fontId="30" fillId="0" borderId="10" xfId="2" applyFont="1" applyFill="1" applyBorder="1" applyAlignment="1">
      <alignment vertical="center"/>
    </xf>
    <xf numFmtId="41" fontId="30" fillId="0" borderId="0" xfId="2" applyFont="1" applyFill="1" applyBorder="1" applyAlignment="1">
      <alignment horizontal="center" vertical="center"/>
    </xf>
    <xf numFmtId="41" fontId="261" fillId="0" borderId="153" xfId="2" applyFont="1" applyFill="1" applyBorder="1" applyAlignment="1">
      <alignment horizontal="left" vertical="center"/>
    </xf>
    <xf numFmtId="41" fontId="39" fillId="0" borderId="153" xfId="2" applyFont="1" applyFill="1" applyBorder="1" applyAlignment="1">
      <alignment horizontal="center" vertical="center"/>
    </xf>
    <xf numFmtId="41" fontId="30" fillId="0" borderId="153" xfId="2" applyFont="1" applyFill="1" applyBorder="1" applyAlignment="1">
      <alignment horizontal="left" vertical="center"/>
    </xf>
    <xf numFmtId="41" fontId="39" fillId="0" borderId="153" xfId="2" applyFont="1" applyBorder="1" applyAlignment="1">
      <alignment horizontal="center" vertical="center"/>
    </xf>
    <xf numFmtId="41" fontId="30" fillId="0" borderId="10" xfId="2" applyFont="1" applyFill="1" applyBorder="1" applyAlignment="1">
      <alignment horizontal="center" vertical="center"/>
    </xf>
    <xf numFmtId="41" fontId="30" fillId="0" borderId="153" xfId="2" applyFont="1" applyFill="1" applyBorder="1" applyAlignment="1">
      <alignment horizontal="center" vertical="center"/>
    </xf>
    <xf numFmtId="41" fontId="30" fillId="0" borderId="1" xfId="2" applyNumberFormat="1" applyFont="1" applyFill="1" applyBorder="1" applyAlignment="1">
      <alignment horizontal="right" vertical="center"/>
    </xf>
    <xf numFmtId="41" fontId="30" fillId="0" borderId="1" xfId="2" applyNumberFormat="1" applyFont="1" applyFill="1" applyBorder="1" applyAlignment="1">
      <alignment vertical="center"/>
    </xf>
    <xf numFmtId="41" fontId="30" fillId="0" borderId="3" xfId="2" applyFont="1" applyFill="1" applyBorder="1" applyAlignment="1">
      <alignment vertical="center"/>
    </xf>
    <xf numFmtId="41" fontId="30" fillId="113" borderId="153" xfId="2" applyFont="1" applyFill="1" applyBorder="1" applyAlignment="1">
      <alignment horizontal="center" vertical="center"/>
    </xf>
    <xf numFmtId="178" fontId="39" fillId="0" borderId="4" xfId="2" applyNumberFormat="1" applyFont="1" applyFill="1" applyBorder="1" applyAlignment="1">
      <alignment horizontal="left" vertical="center"/>
    </xf>
    <xf numFmtId="178" fontId="39" fillId="0" borderId="1" xfId="2" applyNumberFormat="1" applyFont="1" applyFill="1" applyBorder="1" applyAlignment="1">
      <alignment horizontal="left" vertical="center"/>
    </xf>
    <xf numFmtId="178" fontId="39" fillId="0" borderId="8" xfId="2" applyNumberFormat="1" applyFont="1" applyFill="1" applyBorder="1" applyAlignment="1">
      <alignment horizontal="left" vertical="center"/>
    </xf>
    <xf numFmtId="294" fontId="30" fillId="0" borderId="1" xfId="2" applyNumberFormat="1" applyFont="1" applyFill="1" applyBorder="1" applyAlignment="1">
      <alignment horizontal="center" vertical="center"/>
    </xf>
    <xf numFmtId="294" fontId="30" fillId="0" borderId="8" xfId="2" applyNumberFormat="1" applyFont="1" applyFill="1" applyBorder="1" applyAlignment="1">
      <alignment horizontal="center" vertical="center"/>
    </xf>
    <xf numFmtId="10" fontId="30" fillId="0" borderId="154" xfId="2" applyNumberFormat="1" applyFont="1" applyFill="1" applyBorder="1" applyAlignment="1">
      <alignment horizontal="center" vertical="center"/>
    </xf>
    <xf numFmtId="41" fontId="39" fillId="0" borderId="5" xfId="2" applyFont="1" applyFill="1" applyBorder="1" applyAlignment="1">
      <alignment horizontal="left" vertical="center"/>
    </xf>
    <xf numFmtId="41" fontId="39" fillId="0" borderId="6" xfId="2" applyFont="1" applyFill="1" applyBorder="1" applyAlignment="1">
      <alignment horizontal="left" vertical="center"/>
    </xf>
    <xf numFmtId="41" fontId="39" fillId="0" borderId="9" xfId="2" applyFont="1" applyFill="1" applyBorder="1" applyAlignment="1">
      <alignment horizontal="left" vertical="center"/>
    </xf>
    <xf numFmtId="41" fontId="30" fillId="0" borderId="3" xfId="2" applyNumberFormat="1" applyFont="1" applyFill="1" applyBorder="1" applyAlignment="1">
      <alignment horizontal="right" vertical="center"/>
    </xf>
    <xf numFmtId="177" fontId="30" fillId="0" borderId="1" xfId="2" applyNumberFormat="1" applyFont="1" applyFill="1" applyBorder="1" applyAlignment="1">
      <alignment horizontal="center" vertical="center"/>
    </xf>
    <xf numFmtId="178" fontId="30" fillId="0" borderId="2" xfId="2" applyNumberFormat="1" applyFont="1" applyFill="1" applyBorder="1" applyAlignment="1">
      <alignment horizontal="left" vertical="center"/>
    </xf>
    <xf numFmtId="178" fontId="30" fillId="0" borderId="3" xfId="2" applyNumberFormat="1" applyFont="1" applyFill="1" applyBorder="1" applyAlignment="1">
      <alignment horizontal="left" vertical="center"/>
    </xf>
    <xf numFmtId="178" fontId="30" fillId="0" borderId="7" xfId="2" applyNumberFormat="1" applyFont="1" applyFill="1" applyBorder="1" applyAlignment="1">
      <alignment horizontal="left" vertical="center"/>
    </xf>
    <xf numFmtId="41" fontId="270" fillId="2" borderId="299" xfId="2" applyFont="1" applyFill="1" applyBorder="1" applyAlignment="1">
      <alignment horizontal="center" vertical="center"/>
    </xf>
    <xf numFmtId="41" fontId="270" fillId="2" borderId="90" xfId="2" applyFont="1" applyFill="1" applyBorder="1" applyAlignment="1">
      <alignment horizontal="center" vertical="center"/>
    </xf>
    <xf numFmtId="188" fontId="30" fillId="0" borderId="1" xfId="2" applyNumberFormat="1" applyFont="1" applyFill="1" applyBorder="1" applyAlignment="1">
      <alignment horizontal="center" vertical="center"/>
    </xf>
    <xf numFmtId="41" fontId="30" fillId="0" borderId="179" xfId="2" applyFont="1" applyFill="1" applyBorder="1" applyAlignment="1">
      <alignment horizontal="center" vertical="center"/>
    </xf>
    <xf numFmtId="188" fontId="39" fillId="0" borderId="153" xfId="2" applyNumberFormat="1" applyFont="1" applyFill="1" applyBorder="1" applyAlignment="1">
      <alignment horizontal="center" vertical="center"/>
    </xf>
    <xf numFmtId="41" fontId="39" fillId="11" borderId="153" xfId="2" applyFont="1" applyFill="1" applyBorder="1" applyAlignment="1">
      <alignment horizontal="center" vertical="center"/>
    </xf>
    <xf numFmtId="41" fontId="30" fillId="0" borderId="153" xfId="2" applyFont="1" applyFill="1" applyBorder="1" applyAlignment="1">
      <alignment horizontal="right" vertical="center"/>
    </xf>
    <xf numFmtId="9" fontId="27" fillId="0" borderId="0" xfId="2" applyNumberFormat="1" applyFont="1" applyFill="1" applyBorder="1" applyAlignment="1">
      <alignment horizontal="center" vertical="center"/>
    </xf>
    <xf numFmtId="41" fontId="30" fillId="0" borderId="276" xfId="2" applyFont="1" applyFill="1" applyBorder="1" applyAlignment="1">
      <alignment horizontal="center" vertical="center"/>
    </xf>
    <xf numFmtId="41" fontId="270" fillId="2" borderId="272" xfId="2" applyFont="1" applyFill="1" applyBorder="1" applyAlignment="1">
      <alignment horizontal="center" vertical="center"/>
    </xf>
    <xf numFmtId="41" fontId="270" fillId="2" borderId="243" xfId="2" applyFont="1" applyFill="1" applyBorder="1" applyAlignment="1">
      <alignment horizontal="center" vertical="center"/>
    </xf>
    <xf numFmtId="176" fontId="30" fillId="0" borderId="43" xfId="2" applyNumberFormat="1" applyFont="1" applyFill="1" applyBorder="1" applyAlignment="1">
      <alignment horizontal="center" vertical="center"/>
    </xf>
    <xf numFmtId="41" fontId="27" fillId="2" borderId="299" xfId="2" applyFont="1" applyFill="1" applyBorder="1" applyAlignment="1">
      <alignment horizontal="center" vertical="center"/>
    </xf>
    <xf numFmtId="41" fontId="27" fillId="2" borderId="90" xfId="2" applyFont="1" applyFill="1" applyBorder="1" applyAlignment="1">
      <alignment horizontal="center" vertical="center"/>
    </xf>
    <xf numFmtId="41" fontId="39" fillId="0" borderId="276" xfId="2" applyFont="1" applyFill="1" applyBorder="1" applyAlignment="1">
      <alignment horizontal="center" vertical="center"/>
    </xf>
    <xf numFmtId="41" fontId="30" fillId="0" borderId="154" xfId="2" applyFont="1" applyBorder="1" applyAlignment="1">
      <alignment vertical="center"/>
    </xf>
    <xf numFmtId="41" fontId="40" fillId="0" borderId="1" xfId="2" applyFont="1" applyFill="1" applyBorder="1" applyAlignment="1">
      <alignment horizontal="center" vertical="center"/>
    </xf>
    <xf numFmtId="41" fontId="40" fillId="0" borderId="8" xfId="2" applyFont="1" applyFill="1" applyBorder="1" applyAlignment="1">
      <alignment horizontal="center" vertical="center"/>
    </xf>
    <xf numFmtId="41" fontId="30" fillId="9" borderId="154" xfId="2" applyFont="1" applyFill="1" applyBorder="1" applyAlignment="1">
      <alignment horizontal="center" vertical="center"/>
    </xf>
    <xf numFmtId="41" fontId="30" fillId="9" borderId="195" xfId="2" applyFont="1" applyFill="1" applyBorder="1" applyAlignment="1">
      <alignment horizontal="center" vertical="center"/>
    </xf>
    <xf numFmtId="41" fontId="30" fillId="11" borderId="153" xfId="2" applyFont="1" applyFill="1" applyBorder="1" applyAlignment="1">
      <alignment horizontal="center" vertical="center"/>
    </xf>
    <xf numFmtId="41" fontId="39" fillId="0" borderId="153" xfId="2" applyFont="1" applyFill="1" applyBorder="1" applyAlignment="1">
      <alignment horizontal="right" vertical="center"/>
    </xf>
    <xf numFmtId="41" fontId="39" fillId="0" borderId="4" xfId="2" applyFont="1" applyFill="1" applyBorder="1" applyAlignment="1">
      <alignment horizontal="center" vertical="center"/>
    </xf>
    <xf numFmtId="41" fontId="39" fillId="0" borderId="1" xfId="2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horizontal="right" vertical="center"/>
    </xf>
    <xf numFmtId="41" fontId="30" fillId="0" borderId="4" xfId="2" applyFont="1" applyFill="1" applyBorder="1" applyAlignment="1">
      <alignment horizontal="right" vertical="center"/>
    </xf>
    <xf numFmtId="41" fontId="275" fillId="0" borderId="153" xfId="2" applyFont="1" applyFill="1" applyBorder="1" applyAlignment="1">
      <alignment horizontal="center" vertical="center"/>
    </xf>
    <xf numFmtId="41" fontId="30" fillId="0" borderId="0" xfId="2" applyFont="1" applyFill="1" applyBorder="1" applyAlignment="1">
      <alignment horizontal="right" vertical="center"/>
    </xf>
    <xf numFmtId="178" fontId="30" fillId="0" borderId="1" xfId="2" applyNumberFormat="1" applyFont="1" applyFill="1" applyBorder="1" applyAlignment="1">
      <alignment horizontal="center" vertical="center"/>
    </xf>
    <xf numFmtId="41" fontId="30" fillId="0" borderId="4" xfId="2" applyFont="1" applyFill="1" applyBorder="1" applyAlignment="1">
      <alignment horizontal="center" vertical="center"/>
    </xf>
    <xf numFmtId="10" fontId="31" fillId="10" borderId="1" xfId="2" applyNumberFormat="1" applyFont="1" applyFill="1" applyBorder="1" applyAlignment="1">
      <alignment horizontal="center" vertical="center"/>
    </xf>
    <xf numFmtId="177" fontId="30" fillId="0" borderId="16" xfId="2" applyNumberFormat="1" applyFont="1" applyFill="1" applyBorder="1" applyAlignment="1">
      <alignment horizontal="center" vertical="center"/>
    </xf>
    <xf numFmtId="177" fontId="30" fillId="0" borderId="8" xfId="2" applyNumberFormat="1" applyFont="1" applyFill="1" applyBorder="1" applyAlignment="1">
      <alignment horizontal="center" vertical="center"/>
    </xf>
    <xf numFmtId="177" fontId="30" fillId="0" borderId="17" xfId="2" applyNumberFormat="1" applyFont="1" applyFill="1" applyBorder="1" applyAlignment="1">
      <alignment horizontal="center" vertical="center"/>
    </xf>
    <xf numFmtId="177" fontId="30" fillId="0" borderId="214" xfId="2" applyNumberFormat="1" applyFont="1" applyFill="1" applyBorder="1" applyAlignment="1">
      <alignment horizontal="center" vertical="center"/>
    </xf>
    <xf numFmtId="41" fontId="30" fillId="11" borderId="27" xfId="2" applyFont="1" applyFill="1" applyBorder="1" applyAlignment="1">
      <alignment horizontal="center" vertical="center"/>
    </xf>
    <xf numFmtId="41" fontId="30" fillId="11" borderId="154" xfId="2" applyFont="1" applyFill="1" applyBorder="1" applyAlignment="1">
      <alignment horizontal="center" vertical="center"/>
    </xf>
    <xf numFmtId="41" fontId="30" fillId="11" borderId="195" xfId="2" applyFont="1" applyFill="1" applyBorder="1" applyAlignment="1">
      <alignment horizontal="center" vertical="center"/>
    </xf>
    <xf numFmtId="41" fontId="30" fillId="11" borderId="28" xfId="2" applyFont="1" applyFill="1" applyBorder="1" applyAlignment="1">
      <alignment horizontal="center" vertical="center"/>
    </xf>
    <xf numFmtId="41" fontId="30" fillId="0" borderId="15" xfId="2" applyFont="1" applyFill="1" applyBorder="1" applyAlignment="1">
      <alignment horizontal="center" vertical="center"/>
    </xf>
    <xf numFmtId="177" fontId="30" fillId="0" borderId="15" xfId="2" applyNumberFormat="1" applyFont="1" applyFill="1" applyBorder="1" applyAlignment="1">
      <alignment horizontal="center" vertical="center"/>
    </xf>
    <xf numFmtId="41" fontId="30" fillId="0" borderId="8" xfId="2" applyFont="1" applyFill="1" applyBorder="1" applyAlignment="1">
      <alignment horizontal="center" vertical="center"/>
    </xf>
    <xf numFmtId="180" fontId="30" fillId="11" borderId="27" xfId="2" applyNumberFormat="1" applyFont="1" applyFill="1" applyBorder="1" applyAlignment="1">
      <alignment horizontal="center" vertical="center"/>
    </xf>
    <xf numFmtId="180" fontId="30" fillId="11" borderId="28" xfId="2" applyNumberFormat="1" applyFont="1" applyFill="1" applyBorder="1" applyAlignment="1">
      <alignment horizontal="center" vertical="center"/>
    </xf>
    <xf numFmtId="180" fontId="30" fillId="11" borderId="29" xfId="2" applyNumberFormat="1" applyFont="1" applyFill="1" applyBorder="1" applyAlignment="1">
      <alignment horizontal="center" vertical="center"/>
    </xf>
    <xf numFmtId="177" fontId="30" fillId="0" borderId="1" xfId="1" applyNumberFormat="1" applyFont="1" applyFill="1" applyBorder="1" applyAlignment="1">
      <alignment horizontal="right" vertical="center"/>
    </xf>
    <xf numFmtId="177" fontId="30" fillId="0" borderId="99" xfId="1" applyNumberFormat="1" applyFont="1" applyFill="1" applyBorder="1" applyAlignment="1">
      <alignment horizontal="right" vertical="center"/>
    </xf>
    <xf numFmtId="177" fontId="30" fillId="11" borderId="154" xfId="2" applyNumberFormat="1" applyFont="1" applyFill="1" applyBorder="1" applyAlignment="1">
      <alignment horizontal="center" vertical="center"/>
    </xf>
    <xf numFmtId="180" fontId="30" fillId="0" borderId="2" xfId="2" applyNumberFormat="1" applyFont="1" applyFill="1" applyBorder="1" applyAlignment="1">
      <alignment horizontal="center" vertical="center"/>
    </xf>
    <xf numFmtId="180" fontId="30" fillId="0" borderId="3" xfId="2" applyNumberFormat="1" applyFont="1" applyFill="1" applyBorder="1" applyAlignment="1">
      <alignment horizontal="center" vertical="center"/>
    </xf>
    <xf numFmtId="180" fontId="30" fillId="0" borderId="7" xfId="2" applyNumberFormat="1" applyFont="1" applyFill="1" applyBorder="1" applyAlignment="1">
      <alignment horizontal="center" vertical="center"/>
    </xf>
    <xf numFmtId="180" fontId="30" fillId="0" borderId="4" xfId="2" applyNumberFormat="1" applyFont="1" applyFill="1" applyBorder="1" applyAlignment="1">
      <alignment horizontal="left" vertical="center"/>
    </xf>
    <xf numFmtId="180" fontId="30" fillId="0" borderId="1" xfId="2" applyNumberFormat="1" applyFont="1" applyFill="1" applyBorder="1" applyAlignment="1">
      <alignment horizontal="left" vertical="center"/>
    </xf>
    <xf numFmtId="180" fontId="30" fillId="0" borderId="8" xfId="2" applyNumberFormat="1" applyFont="1" applyFill="1" applyBorder="1" applyAlignment="1">
      <alignment horizontal="left" vertical="center"/>
    </xf>
    <xf numFmtId="177" fontId="31" fillId="10" borderId="15" xfId="2" applyNumberFormat="1" applyFont="1" applyFill="1" applyBorder="1" applyAlignment="1">
      <alignment horizontal="center" vertical="center"/>
    </xf>
    <xf numFmtId="41" fontId="30" fillId="0" borderId="4" xfId="2" applyFont="1" applyFill="1" applyBorder="1" applyAlignment="1">
      <alignment horizontal="left" vertical="center" shrinkToFit="1"/>
    </xf>
    <xf numFmtId="41" fontId="30" fillId="0" borderId="1" xfId="2" applyFont="1" applyFill="1" applyBorder="1" applyAlignment="1">
      <alignment horizontal="left" vertical="center" shrinkToFit="1"/>
    </xf>
    <xf numFmtId="41" fontId="30" fillId="0" borderId="8" xfId="2" applyFont="1" applyFill="1" applyBorder="1" applyAlignment="1">
      <alignment horizontal="left" vertical="center" shrinkToFit="1"/>
    </xf>
    <xf numFmtId="178" fontId="278" fillId="0" borderId="23" xfId="2" applyNumberFormat="1" applyFont="1" applyFill="1" applyBorder="1" applyAlignment="1">
      <alignment horizontal="left" vertical="center"/>
    </xf>
    <xf numFmtId="178" fontId="278" fillId="0" borderId="25" xfId="2" applyNumberFormat="1" applyFont="1" applyFill="1" applyBorder="1" applyAlignment="1">
      <alignment horizontal="left" vertical="center"/>
    </xf>
    <xf numFmtId="178" fontId="278" fillId="0" borderId="24" xfId="2" applyNumberFormat="1" applyFont="1" applyFill="1" applyBorder="1" applyAlignment="1">
      <alignment horizontal="left" vertical="center"/>
    </xf>
    <xf numFmtId="41" fontId="34" fillId="0" borderId="4" xfId="2" applyFont="1" applyFill="1" applyBorder="1" applyAlignment="1">
      <alignment horizontal="center" vertical="center"/>
    </xf>
    <xf numFmtId="41" fontId="34" fillId="0" borderId="1" xfId="2" applyFont="1" applyFill="1" applyBorder="1" applyAlignment="1">
      <alignment horizontal="center" vertical="center"/>
    </xf>
    <xf numFmtId="41" fontId="30" fillId="0" borderId="183" xfId="2" applyFont="1" applyFill="1" applyBorder="1" applyAlignment="1">
      <alignment horizontal="left" vertical="center"/>
    </xf>
    <xf numFmtId="41" fontId="30" fillId="0" borderId="0" xfId="2" applyFont="1" applyFill="1" applyBorder="1" applyAlignment="1">
      <alignment horizontal="left" vertical="center"/>
    </xf>
    <xf numFmtId="41" fontId="30" fillId="0" borderId="18" xfId="2" applyFont="1" applyFill="1" applyBorder="1" applyAlignment="1">
      <alignment horizontal="left" vertical="center"/>
    </xf>
    <xf numFmtId="180" fontId="30" fillId="0" borderId="4" xfId="2" applyNumberFormat="1" applyFont="1" applyFill="1" applyBorder="1" applyAlignment="1">
      <alignment horizontal="center" vertical="center"/>
    </xf>
    <xf numFmtId="180" fontId="30" fillId="0" borderId="1" xfId="2" applyNumberFormat="1" applyFont="1" applyFill="1" applyBorder="1" applyAlignment="1">
      <alignment horizontal="center" vertical="center"/>
    </xf>
    <xf numFmtId="180" fontId="30" fillId="0" borderId="8" xfId="2" applyNumberFormat="1" applyFont="1" applyFill="1" applyBorder="1" applyAlignment="1">
      <alignment horizontal="center" vertical="center"/>
    </xf>
    <xf numFmtId="41" fontId="30" fillId="0" borderId="6" xfId="2" applyFont="1" applyFill="1" applyBorder="1" applyAlignment="1">
      <alignment horizontal="right" vertical="center"/>
    </xf>
    <xf numFmtId="41" fontId="30" fillId="0" borderId="1" xfId="2" applyFont="1" applyFill="1" applyBorder="1" applyAlignment="1">
      <alignment horizontal="center" vertical="center" shrinkToFit="1"/>
    </xf>
    <xf numFmtId="41" fontId="30" fillId="0" borderId="8" xfId="2" applyFont="1" applyFill="1" applyBorder="1" applyAlignment="1">
      <alignment horizontal="center" vertical="center" shrinkToFit="1"/>
    </xf>
    <xf numFmtId="177" fontId="30" fillId="0" borderId="0" xfId="2" applyNumberFormat="1" applyFont="1" applyFill="1" applyBorder="1" applyAlignment="1">
      <alignment horizontal="center" vertical="center"/>
    </xf>
    <xf numFmtId="177" fontId="30" fillId="0" borderId="183" xfId="2" applyNumberFormat="1" applyFont="1" applyFill="1" applyBorder="1" applyAlignment="1">
      <alignment horizontal="center" vertical="center"/>
    </xf>
    <xf numFmtId="177" fontId="30" fillId="0" borderId="58" xfId="2" applyNumberFormat="1" applyFont="1" applyFill="1" applyBorder="1" applyAlignment="1">
      <alignment horizontal="center" vertical="center"/>
    </xf>
    <xf numFmtId="177" fontId="30" fillId="0" borderId="1" xfId="2" applyNumberFormat="1" applyFont="1" applyFill="1" applyBorder="1" applyAlignment="1">
      <alignment horizontal="right" vertical="center"/>
    </xf>
    <xf numFmtId="177" fontId="30" fillId="0" borderId="10" xfId="2" applyNumberFormat="1" applyFont="1" applyFill="1" applyBorder="1" applyAlignment="1">
      <alignment horizontal="center" vertical="center"/>
    </xf>
    <xf numFmtId="177" fontId="30" fillId="0" borderId="79" xfId="2" applyNumberFormat="1" applyFont="1" applyFill="1" applyBorder="1" applyAlignment="1">
      <alignment horizontal="center" vertical="center"/>
    </xf>
    <xf numFmtId="41" fontId="30" fillId="0" borderId="25" xfId="2" applyFont="1" applyFill="1" applyBorder="1" applyAlignment="1">
      <alignment horizontal="right" vertical="center"/>
    </xf>
    <xf numFmtId="41" fontId="30" fillId="0" borderId="3" xfId="2" applyFont="1" applyFill="1" applyBorder="1" applyAlignment="1">
      <alignment horizontal="center" vertical="center"/>
    </xf>
    <xf numFmtId="41" fontId="30" fillId="0" borderId="17" xfId="2" applyFont="1" applyFill="1" applyBorder="1" applyAlignment="1">
      <alignment horizontal="center" vertical="center" shrinkToFit="1"/>
    </xf>
    <xf numFmtId="41" fontId="30" fillId="0" borderId="15" xfId="2" applyFont="1" applyFill="1" applyBorder="1" applyAlignment="1">
      <alignment horizontal="center" vertical="center" shrinkToFit="1"/>
    </xf>
    <xf numFmtId="177" fontId="30" fillId="0" borderId="25" xfId="2" applyNumberFormat="1" applyFont="1" applyFill="1" applyBorder="1" applyAlignment="1">
      <alignment horizontal="center" vertical="center"/>
    </xf>
    <xf numFmtId="41" fontId="30" fillId="0" borderId="153" xfId="3" applyNumberFormat="1" applyFont="1" applyBorder="1" applyAlignment="1">
      <alignment horizontal="center" vertical="center"/>
    </xf>
    <xf numFmtId="0" fontId="30" fillId="0" borderId="153" xfId="3" applyFont="1" applyBorder="1" applyAlignment="1">
      <alignment horizontal="center" vertical="center"/>
    </xf>
    <xf numFmtId="41" fontId="39" fillId="11" borderId="27" xfId="2" applyFont="1" applyFill="1" applyBorder="1" applyAlignment="1">
      <alignment horizontal="center" vertical="center"/>
    </xf>
    <xf numFmtId="41" fontId="39" fillId="11" borderId="154" xfId="2" applyFont="1" applyFill="1" applyBorder="1" applyAlignment="1">
      <alignment horizontal="center" vertical="center"/>
    </xf>
    <xf numFmtId="41" fontId="27" fillId="13" borderId="272" xfId="2" applyFont="1" applyFill="1" applyBorder="1" applyAlignment="1">
      <alignment horizontal="center" vertical="center"/>
    </xf>
    <xf numFmtId="41" fontId="27" fillId="13" borderId="90" xfId="2" applyFont="1" applyFill="1" applyBorder="1" applyAlignment="1">
      <alignment horizontal="center" vertical="center"/>
    </xf>
    <xf numFmtId="41" fontId="27" fillId="13" borderId="243" xfId="2" applyFont="1" applyFill="1" applyBorder="1" applyAlignment="1">
      <alignment horizontal="center" vertical="center"/>
    </xf>
    <xf numFmtId="41" fontId="30" fillId="11" borderId="30" xfId="2" applyFont="1" applyFill="1" applyBorder="1" applyAlignment="1">
      <alignment horizontal="center" vertical="center"/>
    </xf>
    <xf numFmtId="41" fontId="30" fillId="11" borderId="179" xfId="2" applyFont="1" applyFill="1" applyBorder="1" applyAlignment="1">
      <alignment horizontal="center" vertical="center"/>
    </xf>
    <xf numFmtId="41" fontId="30" fillId="11" borderId="99" xfId="2" applyFont="1" applyFill="1" applyBorder="1" applyAlignment="1">
      <alignment horizontal="center" vertical="center"/>
    </xf>
    <xf numFmtId="41" fontId="30" fillId="11" borderId="101" xfId="2" applyFont="1" applyFill="1" applyBorder="1" applyAlignment="1">
      <alignment horizontal="center" vertical="center"/>
    </xf>
    <xf numFmtId="41" fontId="30" fillId="11" borderId="0" xfId="2" applyFont="1" applyFill="1" applyBorder="1" applyAlignment="1">
      <alignment horizontal="center" vertical="center"/>
    </xf>
    <xf numFmtId="41" fontId="30" fillId="11" borderId="183" xfId="2" applyFont="1" applyFill="1" applyBorder="1" applyAlignment="1">
      <alignment horizontal="center" vertical="center"/>
    </xf>
    <xf numFmtId="41" fontId="30" fillId="11" borderId="19" xfId="2" applyFont="1" applyFill="1" applyBorder="1" applyAlignment="1">
      <alignment horizontal="center" vertical="center"/>
    </xf>
    <xf numFmtId="41" fontId="30" fillId="11" borderId="11" xfId="2" applyFont="1" applyFill="1" applyBorder="1" applyAlignment="1">
      <alignment horizontal="center" vertical="center"/>
    </xf>
    <xf numFmtId="0" fontId="30" fillId="10" borderId="153" xfId="3" applyFont="1" applyFill="1" applyBorder="1" applyAlignment="1">
      <alignment horizontal="center" vertical="center"/>
    </xf>
    <xf numFmtId="41" fontId="30" fillId="0" borderId="21" xfId="2" applyFont="1" applyFill="1" applyBorder="1" applyAlignment="1">
      <alignment vertical="center"/>
    </xf>
    <xf numFmtId="41" fontId="30" fillId="0" borderId="146" xfId="2" applyFont="1" applyFill="1" applyBorder="1" applyAlignment="1">
      <alignment vertical="center"/>
    </xf>
    <xf numFmtId="41" fontId="30" fillId="0" borderId="145" xfId="2" applyFont="1" applyFill="1" applyBorder="1" applyAlignment="1">
      <alignment horizontal="right" vertical="center"/>
    </xf>
    <xf numFmtId="0" fontId="0" fillId="0" borderId="1" xfId="0" applyBorder="1"/>
    <xf numFmtId="0" fontId="0" fillId="0" borderId="8" xfId="0" applyBorder="1"/>
    <xf numFmtId="41" fontId="31" fillId="0" borderId="17" xfId="2" applyFont="1" applyFill="1" applyBorder="1" applyAlignment="1">
      <alignment horizontal="center" vertical="center" shrinkToFit="1"/>
    </xf>
    <xf numFmtId="41" fontId="31" fillId="0" borderId="15" xfId="2" applyFont="1" applyFill="1" applyBorder="1" applyAlignment="1">
      <alignment horizontal="center" vertical="center" shrinkToFit="1"/>
    </xf>
    <xf numFmtId="41" fontId="30" fillId="0" borderId="5" xfId="2" applyFont="1" applyFill="1" applyBorder="1" applyAlignment="1">
      <alignment horizontal="left" vertical="center"/>
    </xf>
    <xf numFmtId="41" fontId="30" fillId="0" borderId="6" xfId="2" applyFont="1" applyFill="1" applyBorder="1" applyAlignment="1">
      <alignment horizontal="left" vertical="center"/>
    </xf>
    <xf numFmtId="41" fontId="30" fillId="0" borderId="9" xfId="2" applyFont="1" applyFill="1" applyBorder="1" applyAlignment="1">
      <alignment horizontal="left" vertical="center"/>
    </xf>
    <xf numFmtId="41" fontId="39" fillId="0" borderId="4" xfId="2" applyFont="1" applyBorder="1" applyAlignment="1">
      <alignment horizontal="center" vertical="center"/>
    </xf>
    <xf numFmtId="41" fontId="39" fillId="0" borderId="1" xfId="2" applyFont="1" applyBorder="1" applyAlignment="1">
      <alignment horizontal="center" vertical="center"/>
    </xf>
    <xf numFmtId="188" fontId="30" fillId="0" borderId="153" xfId="2" applyNumberFormat="1" applyFont="1" applyBorder="1" applyAlignment="1">
      <alignment horizontal="center" vertical="center"/>
    </xf>
    <xf numFmtId="41" fontId="30" fillId="0" borderId="153" xfId="2" applyFont="1" applyBorder="1" applyAlignment="1">
      <alignment horizontal="center" vertical="center"/>
    </xf>
    <xf numFmtId="0" fontId="30" fillId="10" borderId="153" xfId="3" applyFont="1" applyFill="1" applyBorder="1" applyAlignment="1">
      <alignment horizontal="center" vertical="center" wrapText="1"/>
    </xf>
    <xf numFmtId="41" fontId="270" fillId="11" borderId="305" xfId="2" applyFont="1" applyFill="1" applyBorder="1" applyAlignment="1">
      <alignment horizontal="center" vertical="center"/>
    </xf>
    <xf numFmtId="41" fontId="270" fillId="11" borderId="306" xfId="2" applyFont="1" applyFill="1" applyBorder="1" applyAlignment="1">
      <alignment horizontal="center" vertical="center"/>
    </xf>
    <xf numFmtId="41" fontId="270" fillId="13" borderId="307" xfId="1" applyNumberFormat="1" applyFont="1" applyFill="1" applyBorder="1" applyAlignment="1">
      <alignment horizontal="center" vertical="center"/>
    </xf>
    <xf numFmtId="41" fontId="270" fillId="13" borderId="308" xfId="1" applyNumberFormat="1" applyFont="1" applyFill="1" applyBorder="1" applyAlignment="1">
      <alignment horizontal="center" vertical="center"/>
    </xf>
    <xf numFmtId="41" fontId="270" fillId="13" borderId="309" xfId="1" applyNumberFormat="1" applyFont="1" applyFill="1" applyBorder="1" applyAlignment="1">
      <alignment horizontal="center" vertical="center"/>
    </xf>
    <xf numFmtId="41" fontId="27" fillId="13" borderId="301" xfId="1" applyNumberFormat="1" applyFont="1" applyFill="1" applyBorder="1" applyAlignment="1">
      <alignment horizontal="center" vertical="center"/>
    </xf>
    <xf numFmtId="9" fontId="27" fillId="13" borderId="90" xfId="1" applyFont="1" applyFill="1" applyBorder="1" applyAlignment="1">
      <alignment horizontal="center" vertical="center"/>
    </xf>
    <xf numFmtId="41" fontId="39" fillId="0" borderId="4" xfId="2" applyFont="1" applyFill="1" applyBorder="1" applyAlignment="1">
      <alignment horizontal="right" vertical="center"/>
    </xf>
    <xf numFmtId="41" fontId="39" fillId="0" borderId="1" xfId="2" applyFont="1" applyFill="1" applyBorder="1" applyAlignment="1">
      <alignment horizontal="right" vertical="center"/>
    </xf>
    <xf numFmtId="41" fontId="39" fillId="0" borderId="8" xfId="2" applyFont="1" applyFill="1" applyBorder="1" applyAlignment="1">
      <alignment horizontal="right" vertical="center"/>
    </xf>
    <xf numFmtId="41" fontId="30" fillId="0" borderId="228" xfId="2" applyFont="1" applyBorder="1" applyAlignment="1">
      <alignment vertical="center"/>
    </xf>
    <xf numFmtId="41" fontId="27" fillId="13" borderId="299" xfId="1" applyNumberFormat="1" applyFont="1" applyFill="1" applyBorder="1" applyAlignment="1">
      <alignment horizontal="center" vertical="center"/>
    </xf>
    <xf numFmtId="41" fontId="27" fillId="11" borderId="0" xfId="2" applyFont="1" applyFill="1" applyBorder="1" applyAlignment="1">
      <alignment horizontal="center" vertical="center"/>
    </xf>
    <xf numFmtId="41" fontId="27" fillId="11" borderId="18" xfId="2" applyFont="1" applyFill="1" applyBorder="1" applyAlignment="1">
      <alignment horizontal="center" vertical="center"/>
    </xf>
    <xf numFmtId="41" fontId="27" fillId="11" borderId="183" xfId="2" applyFont="1" applyFill="1" applyBorder="1" applyAlignment="1">
      <alignment horizontal="center" vertical="center"/>
    </xf>
    <xf numFmtId="41" fontId="27" fillId="11" borderId="191" xfId="2" applyFont="1" applyFill="1" applyBorder="1" applyAlignment="1">
      <alignment horizontal="center" vertical="center"/>
    </xf>
    <xf numFmtId="41" fontId="270" fillId="11" borderId="311" xfId="2" applyFont="1" applyFill="1" applyBorder="1" applyAlignment="1">
      <alignment horizontal="center" vertical="center"/>
    </xf>
    <xf numFmtId="41" fontId="270" fillId="11" borderId="312" xfId="2" applyFont="1" applyFill="1" applyBorder="1" applyAlignment="1">
      <alignment horizontal="center" vertical="center"/>
    </xf>
    <xf numFmtId="41" fontId="30" fillId="0" borderId="16" xfId="2" applyFont="1" applyFill="1" applyBorder="1" applyAlignment="1">
      <alignment horizontal="right" vertical="center"/>
    </xf>
    <xf numFmtId="41" fontId="30" fillId="0" borderId="241" xfId="2" applyFont="1" applyFill="1" applyBorder="1" applyAlignment="1">
      <alignment horizontal="right" vertical="center"/>
    </xf>
    <xf numFmtId="41" fontId="39" fillId="0" borderId="203" xfId="2" applyFont="1" applyFill="1" applyBorder="1" applyAlignment="1">
      <alignment horizontal="right" vertical="center"/>
    </xf>
    <xf numFmtId="41" fontId="30" fillId="8" borderId="4" xfId="2" applyFont="1" applyFill="1" applyBorder="1" applyAlignment="1">
      <alignment vertical="center"/>
    </xf>
    <xf numFmtId="41" fontId="30" fillId="8" borderId="1" xfId="2" applyFont="1" applyFill="1" applyBorder="1" applyAlignment="1">
      <alignment vertical="center"/>
    </xf>
    <xf numFmtId="41" fontId="30" fillId="8" borderId="17" xfId="2" applyFont="1" applyFill="1" applyBorder="1" applyAlignment="1">
      <alignment vertical="center"/>
    </xf>
    <xf numFmtId="41" fontId="30" fillId="0" borderId="17" xfId="2" applyFont="1" applyFill="1" applyBorder="1" applyAlignment="1">
      <alignment horizontal="right" vertical="center"/>
    </xf>
    <xf numFmtId="41" fontId="30" fillId="0" borderId="4" xfId="2" applyFont="1" applyFill="1" applyBorder="1" applyAlignment="1">
      <alignment vertical="center"/>
    </xf>
    <xf numFmtId="41" fontId="30" fillId="0" borderId="17" xfId="2" applyFont="1" applyFill="1" applyBorder="1" applyAlignment="1">
      <alignment vertical="center"/>
    </xf>
    <xf numFmtId="41" fontId="30" fillId="0" borderId="15" xfId="2" applyFont="1" applyFill="1" applyBorder="1" applyAlignment="1">
      <alignment horizontal="right" vertical="center"/>
    </xf>
    <xf numFmtId="41" fontId="30" fillId="0" borderId="153" xfId="2" applyFont="1" applyFill="1" applyBorder="1" applyAlignment="1">
      <alignment vertical="center"/>
    </xf>
    <xf numFmtId="41" fontId="30" fillId="0" borderId="153" xfId="2" applyFont="1" applyFill="1" applyBorder="1" applyAlignment="1">
      <alignment vertical="center" wrapText="1"/>
    </xf>
    <xf numFmtId="41" fontId="30" fillId="0" borderId="99" xfId="2" applyFont="1" applyFill="1" applyBorder="1" applyAlignment="1">
      <alignment horizontal="center" vertical="center"/>
    </xf>
    <xf numFmtId="41" fontId="30" fillId="0" borderId="197" xfId="2" applyFont="1" applyFill="1" applyBorder="1" applyAlignment="1">
      <alignment horizontal="center" vertical="center"/>
    </xf>
    <xf numFmtId="41" fontId="39" fillId="0" borderId="27" xfId="2" applyFont="1" applyBorder="1" applyAlignment="1">
      <alignment horizontal="center" vertical="center"/>
    </xf>
    <xf numFmtId="41" fontId="39" fillId="0" borderId="206" xfId="2" applyFont="1" applyBorder="1" applyAlignment="1">
      <alignment horizontal="center" vertical="center"/>
    </xf>
    <xf numFmtId="41" fontId="39" fillId="0" borderId="21" xfId="2" applyFont="1" applyBorder="1" applyAlignment="1">
      <alignment horizontal="center" vertical="center"/>
    </xf>
    <xf numFmtId="41" fontId="39" fillId="0" borderId="10" xfId="2" applyFont="1" applyBorder="1" applyAlignment="1">
      <alignment horizontal="center" vertical="center"/>
    </xf>
    <xf numFmtId="41" fontId="39" fillId="0" borderId="280" xfId="2" applyFont="1" applyFill="1" applyBorder="1" applyAlignment="1">
      <alignment horizontal="right" vertical="center"/>
    </xf>
    <xf numFmtId="41" fontId="39" fillId="0" borderId="10" xfId="2" applyFont="1" applyFill="1" applyBorder="1" applyAlignment="1">
      <alignment horizontal="right" vertical="center"/>
    </xf>
    <xf numFmtId="41" fontId="39" fillId="0" borderId="21" xfId="2" applyFont="1" applyFill="1" applyBorder="1" applyAlignment="1">
      <alignment horizontal="right" vertical="center"/>
    </xf>
    <xf numFmtId="41" fontId="39" fillId="0" borderId="22" xfId="2" applyFont="1" applyFill="1" applyBorder="1" applyAlignment="1">
      <alignment horizontal="right" vertical="center"/>
    </xf>
    <xf numFmtId="41" fontId="30" fillId="0" borderId="25" xfId="2" applyFont="1" applyFill="1" applyBorder="1" applyAlignment="1">
      <alignment horizontal="center" vertical="center"/>
    </xf>
    <xf numFmtId="41" fontId="39" fillId="0" borderId="10" xfId="2" applyFont="1" applyFill="1" applyBorder="1" applyAlignment="1">
      <alignment horizontal="center" vertical="center"/>
    </xf>
    <xf numFmtId="41" fontId="30" fillId="8" borderId="153" xfId="2" applyFont="1" applyFill="1" applyBorder="1" applyAlignment="1">
      <alignment horizontal="center" vertical="center"/>
    </xf>
    <xf numFmtId="41" fontId="39" fillId="8" borderId="153" xfId="2" applyFont="1" applyFill="1" applyBorder="1" applyAlignment="1">
      <alignment horizontal="center" vertical="center"/>
    </xf>
    <xf numFmtId="41" fontId="31" fillId="10" borderId="23" xfId="2" applyFont="1" applyFill="1" applyBorder="1" applyAlignment="1">
      <alignment horizontal="center" vertical="center"/>
    </xf>
    <xf numFmtId="41" fontId="31" fillId="10" borderId="25" xfId="2" applyFont="1" applyFill="1" applyBorder="1" applyAlignment="1">
      <alignment horizontal="center" vertical="center"/>
    </xf>
    <xf numFmtId="41" fontId="31" fillId="10" borderId="87" xfId="2" applyFont="1" applyFill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41" fontId="30" fillId="8" borderId="4" xfId="2" applyFont="1" applyFill="1" applyBorder="1" applyAlignment="1" applyProtection="1">
      <alignment horizontal="center" vertical="center"/>
    </xf>
    <xf numFmtId="41" fontId="30" fillId="8" borderId="1" xfId="2" applyFont="1" applyFill="1" applyBorder="1" applyAlignment="1" applyProtection="1">
      <alignment horizontal="center" vertical="center"/>
    </xf>
    <xf numFmtId="41" fontId="30" fillId="8" borderId="64" xfId="2" applyFont="1" applyFill="1" applyBorder="1" applyAlignment="1" applyProtection="1">
      <alignment horizontal="center" vertical="center"/>
    </xf>
    <xf numFmtId="179" fontId="30" fillId="0" borderId="65" xfId="2" applyNumberFormat="1" applyFont="1" applyFill="1" applyBorder="1" applyAlignment="1">
      <alignment horizontal="right" vertical="center"/>
    </xf>
    <xf numFmtId="179" fontId="30" fillId="0" borderId="53" xfId="2" applyNumberFormat="1" applyFont="1" applyFill="1" applyBorder="1" applyAlignment="1">
      <alignment horizontal="right" vertical="center"/>
    </xf>
    <xf numFmtId="176" fontId="30" fillId="3" borderId="154" xfId="2" applyNumberFormat="1" applyFont="1" applyFill="1" applyBorder="1" applyAlignment="1">
      <alignment horizontal="center" vertical="center"/>
    </xf>
    <xf numFmtId="41" fontId="30" fillId="3" borderId="154" xfId="2" applyFont="1" applyFill="1" applyBorder="1" applyAlignment="1">
      <alignment horizontal="center" vertical="center"/>
    </xf>
    <xf numFmtId="188" fontId="31" fillId="10" borderId="1" xfId="2" applyNumberFormat="1" applyFont="1" applyFill="1" applyBorder="1" applyAlignment="1">
      <alignment horizontal="center" vertical="center"/>
    </xf>
    <xf numFmtId="294" fontId="30" fillId="0" borderId="3" xfId="2" applyNumberFormat="1" applyFont="1" applyFill="1" applyBorder="1" applyAlignment="1">
      <alignment horizontal="center" vertical="center"/>
    </xf>
    <xf numFmtId="294" fontId="30" fillId="0" borderId="7" xfId="2" applyNumberFormat="1" applyFont="1" applyFill="1" applyBorder="1" applyAlignment="1">
      <alignment horizontal="center" vertical="center"/>
    </xf>
    <xf numFmtId="41" fontId="30" fillId="0" borderId="10" xfId="2" applyNumberFormat="1" applyFont="1" applyFill="1" applyBorder="1" applyAlignment="1">
      <alignment horizontal="center" vertical="center"/>
    </xf>
    <xf numFmtId="10" fontId="30" fillId="0" borderId="10" xfId="2" applyNumberFormat="1" applyFont="1" applyFill="1" applyBorder="1" applyAlignment="1">
      <alignment horizontal="center" vertical="center"/>
    </xf>
    <xf numFmtId="41" fontId="30" fillId="125" borderId="154" xfId="2" applyFont="1" applyFill="1" applyBorder="1" applyAlignment="1">
      <alignment horizontal="center" vertical="center"/>
    </xf>
    <xf numFmtId="41" fontId="40" fillId="0" borderId="10" xfId="2" applyFont="1" applyFill="1" applyBorder="1" applyAlignment="1">
      <alignment horizontal="center" vertical="center"/>
    </xf>
    <xf numFmtId="41" fontId="40" fillId="0" borderId="22" xfId="2" applyFont="1" applyFill="1" applyBorder="1" applyAlignment="1">
      <alignment horizontal="center" vertical="center"/>
    </xf>
    <xf numFmtId="41" fontId="30" fillId="9" borderId="154" xfId="2" applyFont="1" applyFill="1" applyBorder="1" applyAlignment="1">
      <alignment vertical="center"/>
    </xf>
    <xf numFmtId="41" fontId="30" fillId="0" borderId="3" xfId="2" applyNumberFormat="1" applyFont="1" applyFill="1" applyBorder="1" applyAlignment="1">
      <alignment vertical="center"/>
    </xf>
    <xf numFmtId="41" fontId="30" fillId="2" borderId="266" xfId="2" applyFont="1" applyFill="1" applyBorder="1" applyAlignment="1">
      <alignment horizontal="center" vertical="center"/>
    </xf>
    <xf numFmtId="41" fontId="40" fillId="0" borderId="43" xfId="2" applyFont="1" applyFill="1" applyBorder="1" applyAlignment="1">
      <alignment horizontal="center" vertical="center"/>
    </xf>
    <xf numFmtId="41" fontId="40" fillId="0" borderId="76" xfId="2" applyFont="1" applyFill="1" applyBorder="1" applyAlignment="1">
      <alignment horizontal="center" vertical="center"/>
    </xf>
    <xf numFmtId="41" fontId="30" fillId="0" borderId="43" xfId="2" applyFont="1" applyFill="1" applyBorder="1" applyAlignment="1">
      <alignment horizontal="center" vertical="center"/>
    </xf>
    <xf numFmtId="41" fontId="30" fillId="11" borderId="192" xfId="2" applyFont="1" applyFill="1" applyBorder="1" applyAlignment="1">
      <alignment horizontal="center" vertical="center"/>
    </xf>
    <xf numFmtId="178" fontId="30" fillId="0" borderId="23" xfId="2" applyNumberFormat="1" applyFont="1" applyFill="1" applyBorder="1" applyAlignment="1">
      <alignment horizontal="left" vertical="center"/>
    </xf>
    <xf numFmtId="178" fontId="30" fillId="0" borderId="25" xfId="2" applyNumberFormat="1" applyFont="1" applyFill="1" applyBorder="1" applyAlignment="1">
      <alignment horizontal="left" vertical="center"/>
    </xf>
    <xf numFmtId="178" fontId="30" fillId="0" borderId="24" xfId="2" applyNumberFormat="1" applyFont="1" applyFill="1" applyBorder="1" applyAlignment="1">
      <alignment horizontal="left" vertical="center"/>
    </xf>
    <xf numFmtId="41" fontId="30" fillId="0" borderId="2" xfId="2" applyFont="1" applyFill="1" applyBorder="1" applyAlignment="1">
      <alignment horizontal="right" vertical="center"/>
    </xf>
    <xf numFmtId="41" fontId="30" fillId="0" borderId="3" xfId="2" applyFont="1" applyFill="1" applyBorder="1" applyAlignment="1">
      <alignment horizontal="right" vertical="center"/>
    </xf>
    <xf numFmtId="41" fontId="30" fillId="11" borderId="27" xfId="2" applyFont="1" applyFill="1" applyBorder="1" applyAlignment="1">
      <alignment horizontal="left" vertical="center"/>
    </xf>
    <xf numFmtId="41" fontId="30" fillId="11" borderId="28" xfId="2" applyFont="1" applyFill="1" applyBorder="1" applyAlignment="1">
      <alignment horizontal="left" vertical="center"/>
    </xf>
    <xf numFmtId="41" fontId="30" fillId="11" borderId="29" xfId="2" applyFont="1" applyFill="1" applyBorder="1" applyAlignment="1">
      <alignment horizontal="left" vertical="center"/>
    </xf>
    <xf numFmtId="0" fontId="30" fillId="5" borderId="181" xfId="3" applyFont="1" applyFill="1" applyBorder="1" applyAlignment="1">
      <alignment horizontal="left" vertical="center"/>
    </xf>
    <xf numFmtId="0" fontId="30" fillId="5" borderId="43" xfId="3" applyFont="1" applyFill="1" applyBorder="1" applyAlignment="1">
      <alignment horizontal="left" vertical="center"/>
    </xf>
    <xf numFmtId="0" fontId="30" fillId="5" borderId="76" xfId="3" applyFont="1" applyFill="1" applyBorder="1" applyAlignment="1">
      <alignment horizontal="left" vertical="center"/>
    </xf>
    <xf numFmtId="41" fontId="27" fillId="4" borderId="111" xfId="2" applyFont="1" applyFill="1" applyBorder="1" applyAlignment="1">
      <alignment horizontal="center" vertical="center"/>
    </xf>
    <xf numFmtId="41" fontId="27" fillId="4" borderId="37" xfId="2" applyFont="1" applyFill="1" applyBorder="1" applyAlignment="1">
      <alignment horizontal="center" vertical="center"/>
    </xf>
    <xf numFmtId="41" fontId="27" fillId="4" borderId="38" xfId="2" applyFont="1" applyFill="1" applyBorder="1" applyAlignment="1">
      <alignment horizontal="center" vertical="center"/>
    </xf>
    <xf numFmtId="41" fontId="27" fillId="4" borderId="56" xfId="2" applyFont="1" applyFill="1" applyBorder="1" applyAlignment="1">
      <alignment horizontal="center" vertical="center"/>
    </xf>
    <xf numFmtId="41" fontId="27" fillId="4" borderId="0" xfId="2" applyFont="1" applyFill="1" applyBorder="1" applyAlignment="1">
      <alignment horizontal="center" vertical="center"/>
    </xf>
    <xf numFmtId="41" fontId="27" fillId="4" borderId="18" xfId="2" applyFont="1" applyFill="1" applyBorder="1" applyAlignment="1">
      <alignment horizontal="center" vertical="center"/>
    </xf>
    <xf numFmtId="41" fontId="27" fillId="11" borderId="111" xfId="2" applyFont="1" applyFill="1" applyBorder="1" applyAlignment="1">
      <alignment horizontal="center" vertical="center" wrapText="1"/>
    </xf>
    <xf numFmtId="41" fontId="27" fillId="11" borderId="56" xfId="2" applyFont="1" applyFill="1" applyBorder="1" applyAlignment="1">
      <alignment horizontal="center" vertical="center" wrapText="1"/>
    </xf>
    <xf numFmtId="41" fontId="30" fillId="10" borderId="276" xfId="2" applyFont="1" applyFill="1" applyBorder="1" applyAlignment="1">
      <alignment horizontal="center" vertical="center"/>
    </xf>
    <xf numFmtId="41" fontId="30" fillId="10" borderId="252" xfId="2" applyFont="1" applyFill="1" applyBorder="1" applyAlignment="1">
      <alignment horizontal="center" vertical="center"/>
    </xf>
    <xf numFmtId="41" fontId="30" fillId="10" borderId="97" xfId="2" applyFont="1" applyFill="1" applyBorder="1" applyAlignment="1">
      <alignment horizontal="center" vertical="center"/>
    </xf>
    <xf numFmtId="41" fontId="30" fillId="10" borderId="153" xfId="2" applyFont="1" applyFill="1" applyBorder="1" applyAlignment="1">
      <alignment horizontal="center" vertical="center"/>
    </xf>
    <xf numFmtId="41" fontId="30" fillId="10" borderId="27" xfId="2" applyFont="1" applyFill="1" applyBorder="1" applyAlignment="1">
      <alignment horizontal="center" vertical="center"/>
    </xf>
    <xf numFmtId="41" fontId="30" fillId="10" borderId="300" xfId="2" applyFont="1" applyFill="1" applyBorder="1" applyAlignment="1">
      <alignment horizontal="center" vertical="center"/>
    </xf>
    <xf numFmtId="41" fontId="30" fillId="10" borderId="30" xfId="2" applyFont="1" applyFill="1" applyBorder="1" applyAlignment="1">
      <alignment horizontal="center" vertical="center"/>
    </xf>
    <xf numFmtId="41" fontId="30" fillId="10" borderId="179" xfId="2" applyFont="1" applyFill="1" applyBorder="1" applyAlignment="1">
      <alignment horizontal="center" vertical="center"/>
    </xf>
    <xf numFmtId="41" fontId="30" fillId="10" borderId="183" xfId="2" applyFont="1" applyFill="1" applyBorder="1" applyAlignment="1">
      <alignment horizontal="center" vertical="center"/>
    </xf>
    <xf numFmtId="41" fontId="30" fillId="10" borderId="0" xfId="2" applyFont="1" applyFill="1" applyBorder="1" applyAlignment="1">
      <alignment horizontal="center" vertical="center"/>
    </xf>
    <xf numFmtId="41" fontId="30" fillId="10" borderId="101" xfId="2" applyFont="1" applyFill="1" applyBorder="1" applyAlignment="1">
      <alignment horizontal="center" vertical="center"/>
    </xf>
    <xf numFmtId="41" fontId="30" fillId="10" borderId="19" xfId="2" applyFont="1" applyFill="1" applyBorder="1" applyAlignment="1">
      <alignment horizontal="center" vertical="center"/>
    </xf>
    <xf numFmtId="41" fontId="30" fillId="10" borderId="11" xfId="2" applyFont="1" applyFill="1" applyBorder="1" applyAlignment="1">
      <alignment horizontal="center" vertical="center"/>
    </xf>
    <xf numFmtId="41" fontId="30" fillId="0" borderId="300" xfId="2" applyFont="1" applyFill="1" applyBorder="1" applyAlignment="1">
      <alignment horizontal="center" vertical="center"/>
    </xf>
    <xf numFmtId="41" fontId="30" fillId="0" borderId="154" xfId="2" applyFont="1" applyFill="1" applyBorder="1" applyAlignment="1">
      <alignment horizontal="center" vertical="center"/>
    </xf>
    <xf numFmtId="41" fontId="30" fillId="0" borderId="195" xfId="2" applyFont="1" applyFill="1" applyBorder="1" applyAlignment="1">
      <alignment horizontal="center" vertical="center"/>
    </xf>
    <xf numFmtId="296" fontId="30" fillId="0" borderId="4" xfId="2" applyNumberFormat="1" applyFont="1" applyFill="1" applyBorder="1" applyAlignment="1">
      <alignment horizontal="right" vertical="center"/>
    </xf>
    <xf numFmtId="296" fontId="30" fillId="0" borderId="1" xfId="2" applyNumberFormat="1" applyFont="1" applyFill="1" applyBorder="1" applyAlignment="1">
      <alignment horizontal="right" vertical="center"/>
    </xf>
    <xf numFmtId="296" fontId="30" fillId="0" borderId="49" xfId="2" applyNumberFormat="1" applyFont="1" applyFill="1" applyBorder="1" applyAlignment="1">
      <alignment horizontal="right" vertical="center"/>
    </xf>
    <xf numFmtId="296" fontId="30" fillId="0" borderId="65" xfId="2" applyNumberFormat="1" applyFont="1" applyFill="1" applyBorder="1" applyAlignment="1">
      <alignment horizontal="right" vertical="center"/>
    </xf>
    <xf numFmtId="296" fontId="30" fillId="0" borderId="14" xfId="2" applyNumberFormat="1" applyFont="1" applyFill="1" applyBorder="1" applyAlignment="1">
      <alignment horizontal="right" vertical="center"/>
    </xf>
    <xf numFmtId="0" fontId="30" fillId="0" borderId="63" xfId="3" applyFont="1" applyBorder="1" applyAlignment="1">
      <alignment horizontal="center" vertical="center"/>
    </xf>
    <xf numFmtId="0" fontId="30" fillId="0" borderId="43" xfId="3" applyFont="1" applyBorder="1" applyAlignment="1">
      <alignment horizontal="center" vertical="center"/>
    </xf>
    <xf numFmtId="0" fontId="30" fillId="0" borderId="77" xfId="3" applyFont="1" applyBorder="1" applyAlignment="1">
      <alignment horizontal="center" vertical="center"/>
    </xf>
    <xf numFmtId="183" fontId="30" fillId="0" borderId="65" xfId="3" applyNumberFormat="1" applyFont="1" applyBorder="1" applyAlignment="1">
      <alignment horizontal="center" vertical="center"/>
    </xf>
    <xf numFmtId="183" fontId="30" fillId="0" borderId="53" xfId="3" applyNumberFormat="1" applyFont="1" applyBorder="1" applyAlignment="1">
      <alignment horizontal="center" vertical="center"/>
    </xf>
    <xf numFmtId="183" fontId="30" fillId="0" borderId="67" xfId="3" applyNumberFormat="1" applyFont="1" applyBorder="1" applyAlignment="1">
      <alignment horizontal="center" vertical="center"/>
    </xf>
    <xf numFmtId="183" fontId="30" fillId="0" borderId="213" xfId="3" applyNumberFormat="1" applyFont="1" applyBorder="1" applyAlignment="1">
      <alignment horizontal="right" vertical="center"/>
    </xf>
    <xf numFmtId="183" fontId="30" fillId="0" borderId="40" xfId="3" applyNumberFormat="1" applyFont="1" applyBorder="1" applyAlignment="1">
      <alignment horizontal="right" vertical="center"/>
    </xf>
    <xf numFmtId="183" fontId="30" fillId="7" borderId="63" xfId="3" applyNumberFormat="1" applyFont="1" applyFill="1" applyBorder="1" applyAlignment="1">
      <alignment horizontal="center" vertical="center"/>
    </xf>
    <xf numFmtId="183" fontId="30" fillId="7" borderId="43" xfId="3" applyNumberFormat="1" applyFont="1" applyFill="1" applyBorder="1" applyAlignment="1">
      <alignment horizontal="center" vertical="center"/>
    </xf>
    <xf numFmtId="183" fontId="30" fillId="7" borderId="65" xfId="3" applyNumberFormat="1" applyFont="1" applyFill="1" applyBorder="1" applyAlignment="1">
      <alignment horizontal="center" vertical="center"/>
    </xf>
    <xf numFmtId="183" fontId="30" fillId="7" borderId="53" xfId="3" applyNumberFormat="1" applyFont="1" applyFill="1" applyBorder="1" applyAlignment="1">
      <alignment horizontal="center" vertical="center"/>
    </xf>
    <xf numFmtId="183" fontId="30" fillId="0" borderId="41" xfId="3" applyNumberFormat="1" applyFont="1" applyBorder="1" applyAlignment="1">
      <alignment horizontal="center" vertical="center"/>
    </xf>
    <xf numFmtId="183" fontId="30" fillId="0" borderId="77" xfId="3" applyNumberFormat="1" applyFont="1" applyBorder="1" applyAlignment="1">
      <alignment horizontal="center" vertical="center"/>
    </xf>
    <xf numFmtId="182" fontId="30" fillId="0" borderId="40" xfId="3" applyNumberFormat="1" applyFont="1" applyBorder="1" applyAlignment="1">
      <alignment horizontal="right" vertical="center"/>
    </xf>
    <xf numFmtId="182" fontId="30" fillId="0" borderId="15" xfId="3" applyNumberFormat="1" applyFont="1" applyBorder="1" applyAlignment="1">
      <alignment horizontal="right" vertical="center"/>
    </xf>
    <xf numFmtId="183" fontId="30" fillId="7" borderId="14" xfId="3" applyNumberFormat="1" applyFont="1" applyFill="1" applyBorder="1" applyAlignment="1">
      <alignment horizontal="center" vertical="center"/>
    </xf>
    <xf numFmtId="183" fontId="30" fillId="7" borderId="20" xfId="3" applyNumberFormat="1" applyFont="1" applyFill="1" applyBorder="1" applyAlignment="1">
      <alignment horizontal="center" vertical="center"/>
    </xf>
    <xf numFmtId="182" fontId="30" fillId="0" borderId="50" xfId="3" applyNumberFormat="1" applyFont="1" applyBorder="1" applyAlignment="1">
      <alignment horizontal="right" vertical="center"/>
    </xf>
    <xf numFmtId="176" fontId="30" fillId="0" borderId="63" xfId="2" applyNumberFormat="1" applyFont="1" applyFill="1" applyBorder="1" applyAlignment="1">
      <alignment horizontal="right" vertical="center"/>
    </xf>
    <xf numFmtId="176" fontId="30" fillId="0" borderId="43" xfId="2" applyNumberFormat="1" applyFont="1" applyFill="1" applyBorder="1" applyAlignment="1">
      <alignment horizontal="right" vertical="center"/>
    </xf>
    <xf numFmtId="41" fontId="30" fillId="10" borderId="4" xfId="2" applyFont="1" applyFill="1" applyBorder="1" applyAlignment="1">
      <alignment horizontal="right" vertical="center"/>
    </xf>
    <xf numFmtId="41" fontId="30" fillId="10" borderId="1" xfId="2" applyFont="1" applyFill="1" applyBorder="1" applyAlignment="1">
      <alignment horizontal="right" vertical="center"/>
    </xf>
    <xf numFmtId="176" fontId="30" fillId="0" borderId="4" xfId="2" applyNumberFormat="1" applyFont="1" applyFill="1" applyBorder="1" applyAlignment="1">
      <alignment horizontal="right" vertical="center"/>
    </xf>
    <xf numFmtId="176" fontId="30" fillId="0" borderId="1" xfId="2" applyNumberFormat="1" applyFont="1" applyFill="1" applyBorder="1" applyAlignment="1">
      <alignment horizontal="right" vertical="center"/>
    </xf>
    <xf numFmtId="0" fontId="30" fillId="0" borderId="15" xfId="0" applyFont="1" applyBorder="1" applyAlignment="1">
      <alignment horizontal="center" vertical="center"/>
    </xf>
    <xf numFmtId="41" fontId="31" fillId="10" borderId="186" xfId="2" applyFont="1" applyFill="1" applyBorder="1" applyAlignment="1">
      <alignment horizontal="center" vertical="center"/>
    </xf>
    <xf numFmtId="41" fontId="31" fillId="10" borderId="15" xfId="2" applyFont="1" applyFill="1" applyBorder="1" applyAlignment="1">
      <alignment horizontal="center" vertical="center"/>
    </xf>
    <xf numFmtId="41" fontId="31" fillId="10" borderId="214" xfId="2" applyFont="1" applyFill="1" applyBorder="1" applyAlignment="1">
      <alignment horizontal="center" vertical="center"/>
    </xf>
    <xf numFmtId="183" fontId="30" fillId="7" borderId="62" xfId="3" applyNumberFormat="1" applyFont="1" applyFill="1" applyBorder="1" applyAlignment="1">
      <alignment horizontal="center" vertical="center"/>
    </xf>
    <xf numFmtId="183" fontId="30" fillId="7" borderId="4" xfId="3" applyNumberFormat="1" applyFont="1" applyFill="1" applyBorder="1" applyAlignment="1">
      <alignment horizontal="center" vertical="center"/>
    </xf>
    <xf numFmtId="183" fontId="30" fillId="7" borderId="1" xfId="3" applyNumberFormat="1" applyFont="1" applyFill="1" applyBorder="1" applyAlignment="1">
      <alignment horizontal="center" vertical="center"/>
    </xf>
    <xf numFmtId="41" fontId="30" fillId="8" borderId="4" xfId="2" applyFont="1" applyFill="1" applyBorder="1" applyAlignment="1">
      <alignment horizontal="center" vertical="center"/>
    </xf>
    <xf numFmtId="41" fontId="30" fillId="8" borderId="1" xfId="2" applyFont="1" applyFill="1" applyBorder="1" applyAlignment="1">
      <alignment horizontal="center" vertical="center"/>
    </xf>
    <xf numFmtId="41" fontId="30" fillId="8" borderId="64" xfId="2" applyFont="1" applyFill="1" applyBorder="1" applyAlignment="1">
      <alignment horizontal="center" vertical="center"/>
    </xf>
    <xf numFmtId="41" fontId="30" fillId="11" borderId="30" xfId="2" applyFont="1" applyFill="1" applyBorder="1" applyAlignment="1">
      <alignment horizontal="center" vertical="center" wrapText="1"/>
    </xf>
    <xf numFmtId="41" fontId="30" fillId="11" borderId="179" xfId="2" applyFont="1" applyFill="1" applyBorder="1" applyAlignment="1">
      <alignment horizontal="center" vertical="center" wrapText="1"/>
    </xf>
    <xf numFmtId="41" fontId="30" fillId="11" borderId="99" xfId="2" applyFont="1" applyFill="1" applyBorder="1" applyAlignment="1">
      <alignment horizontal="center" vertical="center" wrapText="1"/>
    </xf>
    <xf numFmtId="41" fontId="30" fillId="11" borderId="101" xfId="2" applyFont="1" applyFill="1" applyBorder="1" applyAlignment="1">
      <alignment horizontal="center" vertical="center" wrapText="1"/>
    </xf>
    <xf numFmtId="41" fontId="30" fillId="11" borderId="0" xfId="2" applyFont="1" applyFill="1" applyBorder="1" applyAlignment="1">
      <alignment horizontal="center" vertical="center" wrapText="1"/>
    </xf>
    <xf numFmtId="41" fontId="30" fillId="11" borderId="183" xfId="2" applyFont="1" applyFill="1" applyBorder="1" applyAlignment="1">
      <alignment horizontal="center" vertical="center" wrapText="1"/>
    </xf>
    <xf numFmtId="41" fontId="30" fillId="11" borderId="19" xfId="2" applyFont="1" applyFill="1" applyBorder="1" applyAlignment="1">
      <alignment horizontal="center" vertical="center" wrapText="1"/>
    </xf>
    <xf numFmtId="41" fontId="30" fillId="11" borderId="11" xfId="2" applyFont="1" applyFill="1" applyBorder="1" applyAlignment="1">
      <alignment horizontal="center" vertical="center" wrapText="1"/>
    </xf>
    <xf numFmtId="41" fontId="30" fillId="11" borderId="192" xfId="2" applyFont="1" applyFill="1" applyBorder="1" applyAlignment="1">
      <alignment horizontal="center" vertical="center" wrapText="1"/>
    </xf>
    <xf numFmtId="183" fontId="30" fillId="7" borderId="57" xfId="3" applyNumberFormat="1" applyFont="1" applyFill="1" applyBorder="1" applyAlignment="1">
      <alignment horizontal="left" vertical="center"/>
    </xf>
    <xf numFmtId="183" fontId="30" fillId="7" borderId="49" xfId="3" applyNumberFormat="1" applyFont="1" applyFill="1" applyBorder="1" applyAlignment="1">
      <alignment horizontal="left" vertical="center"/>
    </xf>
    <xf numFmtId="183" fontId="30" fillId="7" borderId="55" xfId="3" applyNumberFormat="1" applyFont="1" applyFill="1" applyBorder="1" applyAlignment="1">
      <alignment horizontal="left" vertical="center"/>
    </xf>
    <xf numFmtId="183" fontId="30" fillId="7" borderId="14" xfId="3" applyNumberFormat="1" applyFont="1" applyFill="1" applyBorder="1" applyAlignment="1">
      <alignment horizontal="left" vertical="center"/>
    </xf>
    <xf numFmtId="41" fontId="30" fillId="11" borderId="300" xfId="2" applyFont="1" applyFill="1" applyBorder="1" applyAlignment="1">
      <alignment horizontal="center" vertical="center"/>
    </xf>
    <xf numFmtId="0" fontId="30" fillId="11" borderId="30" xfId="2" applyNumberFormat="1" applyFont="1" applyFill="1" applyBorder="1" applyAlignment="1">
      <alignment horizontal="center" vertical="center" wrapText="1"/>
    </xf>
    <xf numFmtId="0" fontId="30" fillId="11" borderId="179" xfId="2" applyNumberFormat="1" applyFont="1" applyFill="1" applyBorder="1" applyAlignment="1">
      <alignment horizontal="center" vertical="center" wrapText="1"/>
    </xf>
    <xf numFmtId="0" fontId="30" fillId="11" borderId="99" xfId="2" applyNumberFormat="1" applyFont="1" applyFill="1" applyBorder="1" applyAlignment="1">
      <alignment horizontal="center" vertical="center" wrapText="1"/>
    </xf>
    <xf numFmtId="0" fontId="30" fillId="11" borderId="101" xfId="2" applyNumberFormat="1" applyFont="1" applyFill="1" applyBorder="1" applyAlignment="1">
      <alignment horizontal="center" vertical="center" wrapText="1"/>
    </xf>
    <xf numFmtId="0" fontId="30" fillId="11" borderId="0" xfId="2" applyNumberFormat="1" applyFont="1" applyFill="1" applyBorder="1" applyAlignment="1">
      <alignment horizontal="center" vertical="center" wrapText="1"/>
    </xf>
    <xf numFmtId="0" fontId="30" fillId="11" borderId="183" xfId="2" applyNumberFormat="1" applyFont="1" applyFill="1" applyBorder="1" applyAlignment="1">
      <alignment horizontal="center" vertical="center" wrapText="1"/>
    </xf>
    <xf numFmtId="0" fontId="30" fillId="11" borderId="19" xfId="2" applyNumberFormat="1" applyFont="1" applyFill="1" applyBorder="1" applyAlignment="1">
      <alignment horizontal="center" vertical="center" wrapText="1"/>
    </xf>
    <xf numFmtId="0" fontId="30" fillId="11" borderId="11" xfId="2" applyNumberFormat="1" applyFont="1" applyFill="1" applyBorder="1" applyAlignment="1">
      <alignment horizontal="center" vertical="center" wrapText="1"/>
    </xf>
    <xf numFmtId="0" fontId="30" fillId="11" borderId="192" xfId="2" applyNumberFormat="1" applyFont="1" applyFill="1" applyBorder="1" applyAlignment="1">
      <alignment horizontal="center" vertical="center" wrapText="1"/>
    </xf>
    <xf numFmtId="41" fontId="30" fillId="10" borderId="99" xfId="2" applyFont="1" applyFill="1" applyBorder="1" applyAlignment="1">
      <alignment horizontal="center" vertical="center"/>
    </xf>
    <xf numFmtId="41" fontId="30" fillId="10" borderId="192" xfId="2" applyFont="1" applyFill="1" applyBorder="1" applyAlignment="1">
      <alignment horizontal="center" vertical="center"/>
    </xf>
    <xf numFmtId="41" fontId="27" fillId="4" borderId="184" xfId="2" applyFont="1" applyFill="1" applyBorder="1" applyAlignment="1">
      <alignment horizontal="center" vertical="center"/>
    </xf>
    <xf numFmtId="41" fontId="27" fillId="4" borderId="99" xfId="2" applyFont="1" applyFill="1" applyBorder="1" applyAlignment="1">
      <alignment horizontal="center" vertical="center"/>
    </xf>
    <xf numFmtId="41" fontId="27" fillId="2" borderId="301" xfId="2" applyFont="1" applyFill="1" applyBorder="1" applyAlignment="1">
      <alignment horizontal="center" vertical="center"/>
    </xf>
    <xf numFmtId="41" fontId="30" fillId="11" borderId="178" xfId="2" applyFont="1" applyFill="1" applyBorder="1" applyAlignment="1">
      <alignment horizontal="center" vertical="center"/>
    </xf>
    <xf numFmtId="41" fontId="27" fillId="4" borderId="30" xfId="2" applyFont="1" applyFill="1" applyBorder="1" applyAlignment="1">
      <alignment horizontal="center" vertical="center"/>
    </xf>
    <xf numFmtId="41" fontId="27" fillId="4" borderId="36" xfId="2" applyFont="1" applyFill="1" applyBorder="1" applyAlignment="1">
      <alignment horizontal="center" vertical="center"/>
    </xf>
    <xf numFmtId="41" fontId="27" fillId="4" borderId="174" xfId="2" applyFont="1" applyFill="1" applyBorder="1" applyAlignment="1">
      <alignment horizontal="center" vertical="center"/>
    </xf>
    <xf numFmtId="41" fontId="27" fillId="4" borderId="175" xfId="2" applyFont="1" applyFill="1" applyBorder="1" applyAlignment="1">
      <alignment horizontal="center" vertical="center"/>
    </xf>
    <xf numFmtId="41" fontId="27" fillId="4" borderId="176" xfId="2" applyFont="1" applyFill="1" applyBorder="1" applyAlignment="1">
      <alignment horizontal="center" vertical="center"/>
    </xf>
    <xf numFmtId="41" fontId="30" fillId="2" borderId="27" xfId="2" applyFont="1" applyFill="1" applyBorder="1" applyAlignment="1">
      <alignment horizontal="center" vertical="center"/>
    </xf>
    <xf numFmtId="41" fontId="30" fillId="2" borderId="154" xfId="2" applyFont="1" applyFill="1" applyBorder="1" applyAlignment="1">
      <alignment horizontal="center" vertical="center"/>
    </xf>
    <xf numFmtId="41" fontId="30" fillId="2" borderId="178" xfId="2" applyFont="1" applyFill="1" applyBorder="1" applyAlignment="1">
      <alignment horizontal="center" vertical="center"/>
    </xf>
    <xf numFmtId="183" fontId="30" fillId="0" borderId="0" xfId="3" applyNumberFormat="1" applyFont="1" applyFill="1" applyBorder="1" applyAlignment="1">
      <alignment vertical="center"/>
    </xf>
    <xf numFmtId="176" fontId="30" fillId="0" borderId="0" xfId="2" applyNumberFormat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41" fontId="27" fillId="4" borderId="231" xfId="2" applyFont="1" applyFill="1" applyBorder="1" applyAlignment="1">
      <alignment horizontal="center" vertical="center"/>
    </xf>
    <xf numFmtId="41" fontId="27" fillId="4" borderId="230" xfId="2" applyFont="1" applyFill="1" applyBorder="1" applyAlignment="1">
      <alignment horizontal="center" vertical="center"/>
    </xf>
    <xf numFmtId="41" fontId="27" fillId="4" borderId="229" xfId="2" applyFont="1" applyFill="1" applyBorder="1" applyAlignment="1">
      <alignment horizontal="center" vertical="center"/>
    </xf>
    <xf numFmtId="41" fontId="30" fillId="0" borderId="0" xfId="2" applyFont="1" applyBorder="1" applyAlignment="1">
      <alignment horizontal="right" vertical="center"/>
    </xf>
    <xf numFmtId="183" fontId="30" fillId="7" borderId="39" xfId="3" applyNumberFormat="1" applyFont="1" applyFill="1" applyBorder="1" applyAlignment="1">
      <alignment horizontal="center" vertical="center"/>
    </xf>
    <xf numFmtId="182" fontId="30" fillId="0" borderId="14" xfId="2" applyNumberFormat="1" applyFont="1" applyFill="1" applyBorder="1" applyAlignment="1">
      <alignment horizontal="right" vertical="center"/>
    </xf>
    <xf numFmtId="182" fontId="30" fillId="0" borderId="4" xfId="2" applyNumberFormat="1" applyFont="1" applyFill="1" applyBorder="1" applyAlignment="1">
      <alignment horizontal="right" vertical="center"/>
    </xf>
    <xf numFmtId="9" fontId="27" fillId="4" borderId="36" xfId="2" applyNumberFormat="1" applyFont="1" applyFill="1" applyBorder="1" applyAlignment="1">
      <alignment horizontal="center" vertical="center"/>
    </xf>
    <xf numFmtId="9" fontId="27" fillId="4" borderId="98" xfId="2" applyNumberFormat="1" applyFont="1" applyFill="1" applyBorder="1" applyAlignment="1">
      <alignment horizontal="center" vertical="center"/>
    </xf>
    <xf numFmtId="9" fontId="27" fillId="4" borderId="183" xfId="2" applyNumberFormat="1" applyFont="1" applyFill="1" applyBorder="1" applyAlignment="1">
      <alignment horizontal="center" vertical="center"/>
    </xf>
    <xf numFmtId="9" fontId="27" fillId="4" borderId="58" xfId="2" applyNumberFormat="1" applyFont="1" applyFill="1" applyBorder="1" applyAlignment="1">
      <alignment horizontal="center" vertical="center"/>
    </xf>
    <xf numFmtId="41" fontId="27" fillId="4" borderId="283" xfId="2" applyFont="1" applyFill="1" applyBorder="1" applyAlignment="1">
      <alignment horizontal="center" vertical="center"/>
    </xf>
    <xf numFmtId="41" fontId="27" fillId="4" borderId="202" xfId="2" applyFont="1" applyFill="1" applyBorder="1" applyAlignment="1">
      <alignment horizontal="center" vertical="center"/>
    </xf>
    <xf numFmtId="191" fontId="27" fillId="4" borderId="231" xfId="2" applyNumberFormat="1" applyFont="1" applyFill="1" applyBorder="1" applyAlignment="1">
      <alignment horizontal="center" vertical="center"/>
    </xf>
    <xf numFmtId="191" fontId="27" fillId="4" borderId="230" xfId="2" applyNumberFormat="1" applyFont="1" applyFill="1" applyBorder="1" applyAlignment="1">
      <alignment horizontal="center" vertical="center"/>
    </xf>
    <xf numFmtId="191" fontId="27" fillId="4" borderId="232" xfId="2" applyNumberFormat="1" applyFont="1" applyFill="1" applyBorder="1" applyAlignment="1">
      <alignment horizontal="center" vertical="center"/>
    </xf>
    <xf numFmtId="41" fontId="27" fillId="4" borderId="297" xfId="2" applyFont="1" applyFill="1" applyBorder="1" applyAlignment="1">
      <alignment horizontal="center" vertical="center"/>
    </xf>
    <xf numFmtId="41" fontId="27" fillId="4" borderId="192" xfId="2" applyFont="1" applyFill="1" applyBorder="1" applyAlignment="1">
      <alignment horizontal="center" vertical="center"/>
    </xf>
    <xf numFmtId="183" fontId="30" fillId="7" borderId="54" xfId="3" applyNumberFormat="1" applyFont="1" applyFill="1" applyBorder="1" applyAlignment="1">
      <alignment horizontal="left" vertical="center"/>
    </xf>
    <xf numFmtId="183" fontId="30" fillId="7" borderId="39" xfId="3" applyNumberFormat="1" applyFont="1" applyFill="1" applyBorder="1" applyAlignment="1">
      <alignment horizontal="left" vertical="center"/>
    </xf>
    <xf numFmtId="182" fontId="30" fillId="0" borderId="39" xfId="2" applyNumberFormat="1" applyFont="1" applyFill="1" applyBorder="1" applyAlignment="1">
      <alignment horizontal="right" vertical="center"/>
    </xf>
    <xf numFmtId="182" fontId="30" fillId="0" borderId="63" xfId="2" applyNumberFormat="1" applyFont="1" applyFill="1" applyBorder="1" applyAlignment="1">
      <alignment horizontal="right" vertical="center"/>
    </xf>
    <xf numFmtId="41" fontId="27" fillId="4" borderId="233" xfId="2" applyFont="1" applyFill="1" applyBorder="1" applyAlignment="1">
      <alignment horizontal="center" vertical="center"/>
    </xf>
    <xf numFmtId="0" fontId="270" fillId="11" borderId="211" xfId="3" applyFont="1" applyFill="1" applyBorder="1" applyAlignment="1">
      <alignment horizontal="center" vertical="center"/>
    </xf>
    <xf numFmtId="0" fontId="270" fillId="11" borderId="195" xfId="3" applyFont="1" applyFill="1" applyBorder="1" applyAlignment="1">
      <alignment horizontal="center" vertical="center"/>
    </xf>
    <xf numFmtId="0" fontId="30" fillId="13" borderId="71" xfId="3" applyFont="1" applyFill="1" applyBorder="1" applyAlignment="1">
      <alignment horizontal="center" vertical="center"/>
    </xf>
    <xf numFmtId="0" fontId="30" fillId="13" borderId="73" xfId="3" applyFont="1" applyFill="1" applyBorder="1" applyAlignment="1">
      <alignment horizontal="center" vertical="center"/>
    </xf>
    <xf numFmtId="177" fontId="30" fillId="0" borderId="21" xfId="2" applyNumberFormat="1" applyFont="1" applyFill="1" applyBorder="1" applyAlignment="1">
      <alignment horizontal="center" vertical="center"/>
    </xf>
    <xf numFmtId="178" fontId="30" fillId="0" borderId="21" xfId="2" applyNumberFormat="1" applyFont="1" applyFill="1" applyBorder="1" applyAlignment="1">
      <alignment horizontal="left" vertical="center"/>
    </xf>
    <xf numFmtId="178" fontId="30" fillId="0" borderId="10" xfId="2" applyNumberFormat="1" applyFont="1" applyFill="1" applyBorder="1" applyAlignment="1">
      <alignment horizontal="left" vertical="center"/>
    </xf>
    <xf numFmtId="178" fontId="30" fillId="0" borderId="22" xfId="2" applyNumberFormat="1" applyFont="1" applyFill="1" applyBorder="1" applyAlignment="1">
      <alignment horizontal="left" vertical="center"/>
    </xf>
    <xf numFmtId="41" fontId="31" fillId="0" borderId="4" xfId="2" applyFont="1" applyFill="1" applyBorder="1" applyAlignment="1">
      <alignment horizontal="left" vertical="center"/>
    </xf>
    <xf numFmtId="41" fontId="31" fillId="0" borderId="1" xfId="2" applyFont="1" applyFill="1" applyBorder="1" applyAlignment="1">
      <alignment horizontal="left" vertical="center"/>
    </xf>
    <xf numFmtId="41" fontId="31" fillId="0" borderId="8" xfId="2" applyFont="1" applyFill="1" applyBorder="1" applyAlignment="1">
      <alignment horizontal="left" vertical="center"/>
    </xf>
    <xf numFmtId="179" fontId="30" fillId="0" borderId="2" xfId="2" applyNumberFormat="1" applyFont="1" applyFill="1" applyBorder="1" applyAlignment="1">
      <alignment horizontal="left" vertical="center"/>
    </xf>
    <xf numFmtId="179" fontId="30" fillId="0" borderId="3" xfId="2" applyNumberFormat="1" applyFont="1" applyFill="1" applyBorder="1" applyAlignment="1">
      <alignment horizontal="left" vertical="center"/>
    </xf>
    <xf numFmtId="179" fontId="30" fillId="0" borderId="7" xfId="2" applyNumberFormat="1" applyFont="1" applyFill="1" applyBorder="1" applyAlignment="1">
      <alignment horizontal="left" vertical="center"/>
    </xf>
    <xf numFmtId="293" fontId="30" fillId="0" borderId="2" xfId="2" applyNumberFormat="1" applyFont="1" applyFill="1" applyBorder="1" applyAlignment="1">
      <alignment horizontal="center" vertical="center" shrinkToFit="1"/>
    </xf>
    <xf numFmtId="293" fontId="30" fillId="0" borderId="3" xfId="2" applyNumberFormat="1" applyFont="1" applyFill="1" applyBorder="1" applyAlignment="1">
      <alignment horizontal="center" vertical="center" shrinkToFit="1"/>
    </xf>
    <xf numFmtId="293" fontId="30" fillId="0" borderId="7" xfId="2" applyNumberFormat="1" applyFont="1" applyFill="1" applyBorder="1" applyAlignment="1">
      <alignment horizontal="center" vertical="center" shrinkToFit="1"/>
    </xf>
    <xf numFmtId="177" fontId="27" fillId="2" borderId="270" xfId="2" applyNumberFormat="1" applyFont="1" applyFill="1" applyBorder="1" applyAlignment="1">
      <alignment horizontal="center" vertical="center"/>
    </xf>
    <xf numFmtId="177" fontId="27" fillId="2" borderId="271" xfId="2" applyNumberFormat="1" applyFont="1" applyFill="1" applyBorder="1" applyAlignment="1">
      <alignment horizontal="center" vertical="center"/>
    </xf>
    <xf numFmtId="41" fontId="30" fillId="9" borderId="262" xfId="2" applyFont="1" applyFill="1" applyBorder="1" applyAlignment="1">
      <alignment horizontal="center" vertical="center"/>
    </xf>
    <xf numFmtId="41" fontId="30" fillId="9" borderId="215" xfId="2" applyFont="1" applyFill="1" applyBorder="1" applyAlignment="1">
      <alignment horizontal="center" vertical="center"/>
    </xf>
    <xf numFmtId="41" fontId="30" fillId="9" borderId="215" xfId="2" applyFont="1" applyFill="1" applyBorder="1" applyAlignment="1">
      <alignment horizontal="center" vertical="center" shrinkToFit="1"/>
    </xf>
    <xf numFmtId="177" fontId="30" fillId="0" borderId="234" xfId="2" applyNumberFormat="1" applyFont="1" applyBorder="1" applyAlignment="1">
      <alignment horizontal="center" vertical="center"/>
    </xf>
    <xf numFmtId="177" fontId="30" fillId="0" borderId="237" xfId="2" applyNumberFormat="1" applyFont="1" applyBorder="1" applyAlignment="1">
      <alignment horizontal="center" vertical="center"/>
    </xf>
    <xf numFmtId="177" fontId="30" fillId="0" borderId="27" xfId="2" applyNumberFormat="1" applyFont="1" applyBorder="1" applyAlignment="1">
      <alignment horizontal="center" vertical="center"/>
    </xf>
    <xf numFmtId="177" fontId="30" fillId="0" borderId="70" xfId="2" applyNumberFormat="1" applyFont="1" applyBorder="1" applyAlignment="1">
      <alignment horizontal="center" vertical="center"/>
    </xf>
    <xf numFmtId="0" fontId="30" fillId="9" borderId="80" xfId="3" applyFont="1" applyFill="1" applyBorder="1" applyAlignment="1">
      <alignment horizontal="center" vertical="center"/>
    </xf>
    <xf numFmtId="0" fontId="30" fillId="9" borderId="68" xfId="3" applyFont="1" applyFill="1" applyBorder="1" applyAlignment="1">
      <alignment horizontal="center" vertical="center"/>
    </xf>
    <xf numFmtId="0" fontId="30" fillId="9" borderId="81" xfId="3" applyFont="1" applyFill="1" applyBorder="1" applyAlignment="1">
      <alignment horizontal="center" vertical="center"/>
    </xf>
    <xf numFmtId="0" fontId="30" fillId="0" borderId="80" xfId="3" applyFont="1" applyBorder="1" applyAlignment="1">
      <alignment horizontal="center" vertical="center"/>
    </xf>
    <xf numFmtId="0" fontId="30" fillId="0" borderId="68" xfId="3" applyFont="1" applyBorder="1" applyAlignment="1">
      <alignment horizontal="center" vertical="center"/>
    </xf>
    <xf numFmtId="0" fontId="270" fillId="9" borderId="211" xfId="3" applyFont="1" applyFill="1" applyBorder="1" applyAlignment="1">
      <alignment horizontal="center" vertical="center"/>
    </xf>
    <xf numFmtId="0" fontId="270" fillId="9" borderId="195" xfId="3" applyFont="1" applyFill="1" applyBorder="1" applyAlignment="1">
      <alignment horizontal="center" vertical="center"/>
    </xf>
    <xf numFmtId="41" fontId="30" fillId="8" borderId="262" xfId="2" applyFont="1" applyFill="1" applyBorder="1" applyAlignment="1">
      <alignment horizontal="center" vertical="center"/>
    </xf>
    <xf numFmtId="41" fontId="30" fillId="8" borderId="215" xfId="2" applyFont="1" applyFill="1" applyBorder="1" applyAlignment="1">
      <alignment horizontal="center" vertical="center"/>
    </xf>
    <xf numFmtId="41" fontId="30" fillId="10" borderId="215" xfId="2" applyFont="1" applyFill="1" applyBorder="1" applyAlignment="1">
      <alignment horizontal="center" vertical="center" shrinkToFit="1"/>
    </xf>
    <xf numFmtId="177" fontId="27" fillId="2" borderId="234" xfId="2" applyNumberFormat="1" applyFont="1" applyFill="1" applyBorder="1" applyAlignment="1">
      <alignment horizontal="center" vertical="center"/>
    </xf>
    <xf numFmtId="177" fontId="27" fillId="2" borderId="237" xfId="2" applyNumberFormat="1" applyFont="1" applyFill="1" applyBorder="1" applyAlignment="1">
      <alignment horizontal="center" vertical="center"/>
    </xf>
    <xf numFmtId="179" fontId="27" fillId="2" borderId="299" xfId="2" applyNumberFormat="1" applyFont="1" applyFill="1" applyBorder="1" applyAlignment="1">
      <alignment horizontal="center" vertical="center"/>
    </xf>
    <xf numFmtId="179" fontId="27" fillId="2" borderId="90" xfId="2" applyNumberFormat="1" applyFont="1" applyFill="1" applyBorder="1" applyAlignment="1">
      <alignment horizontal="center" vertical="center"/>
    </xf>
    <xf numFmtId="179" fontId="27" fillId="2" borderId="243" xfId="2" applyNumberFormat="1" applyFont="1" applyFill="1" applyBorder="1" applyAlignment="1">
      <alignment horizontal="center" vertical="center"/>
    </xf>
    <xf numFmtId="41" fontId="30" fillId="0" borderId="215" xfId="2" applyFont="1" applyFill="1" applyBorder="1" applyAlignment="1">
      <alignment horizontal="center" vertical="center" shrinkToFit="1"/>
    </xf>
    <xf numFmtId="177" fontId="30" fillId="0" borderId="63" xfId="2" applyNumberFormat="1" applyFont="1" applyFill="1" applyBorder="1" applyAlignment="1">
      <alignment horizontal="center" vertical="center"/>
    </xf>
    <xf numFmtId="177" fontId="30" fillId="0" borderId="77" xfId="2" applyNumberFormat="1" applyFont="1" applyFill="1" applyBorder="1" applyAlignment="1">
      <alignment horizontal="center" vertical="center"/>
    </xf>
    <xf numFmtId="41" fontId="30" fillId="8" borderId="244" xfId="2" applyFont="1" applyFill="1" applyBorder="1" applyAlignment="1">
      <alignment horizontal="center" vertical="center" wrapText="1"/>
    </xf>
    <xf numFmtId="41" fontId="30" fillId="8" borderId="245" xfId="2" applyFont="1" applyFill="1" applyBorder="1" applyAlignment="1">
      <alignment horizontal="center" vertical="center" wrapText="1"/>
    </xf>
    <xf numFmtId="41" fontId="30" fillId="8" borderId="246" xfId="2" applyFont="1" applyFill="1" applyBorder="1" applyAlignment="1">
      <alignment horizontal="center" vertical="center" wrapText="1"/>
    </xf>
    <xf numFmtId="41" fontId="30" fillId="8" borderId="247" xfId="2" applyFont="1" applyFill="1" applyBorder="1" applyAlignment="1">
      <alignment horizontal="center" vertical="center" wrapText="1"/>
    </xf>
    <xf numFmtId="41" fontId="30" fillId="8" borderId="248" xfId="2" applyFont="1" applyFill="1" applyBorder="1" applyAlignment="1">
      <alignment horizontal="center" vertical="center" wrapText="1"/>
    </xf>
    <xf numFmtId="41" fontId="30" fillId="8" borderId="249" xfId="2" applyFont="1" applyFill="1" applyBorder="1" applyAlignment="1">
      <alignment horizontal="center" vertical="center" wrapText="1"/>
    </xf>
    <xf numFmtId="41" fontId="30" fillId="8" borderId="259" xfId="2" applyFont="1" applyFill="1" applyBorder="1" applyAlignment="1">
      <alignment horizontal="center" vertical="center"/>
    </xf>
    <xf numFmtId="41" fontId="30" fillId="8" borderId="257" xfId="2" applyFont="1" applyFill="1" applyBorder="1" applyAlignment="1">
      <alignment horizontal="center" vertical="center"/>
    </xf>
    <xf numFmtId="41" fontId="30" fillId="10" borderId="257" xfId="2" applyFont="1" applyFill="1" applyBorder="1" applyAlignment="1">
      <alignment horizontal="center" vertical="center" shrinkToFit="1"/>
    </xf>
    <xf numFmtId="41" fontId="30" fillId="8" borderId="255" xfId="2" applyFont="1" applyFill="1" applyBorder="1" applyAlignment="1">
      <alignment horizontal="center" vertical="center"/>
    </xf>
    <xf numFmtId="41" fontId="30" fillId="8" borderId="253" xfId="2" applyFont="1" applyFill="1" applyBorder="1" applyAlignment="1">
      <alignment horizontal="center" vertical="center"/>
    </xf>
    <xf numFmtId="41" fontId="30" fillId="10" borderId="253" xfId="2" applyFont="1" applyFill="1" applyBorder="1" applyAlignment="1">
      <alignment horizontal="center" vertical="center" shrinkToFit="1"/>
    </xf>
    <xf numFmtId="41" fontId="30" fillId="0" borderId="228" xfId="2" applyFont="1" applyFill="1" applyBorder="1" applyAlignment="1">
      <alignment horizontal="center" vertical="center"/>
    </xf>
    <xf numFmtId="41" fontId="30" fillId="0" borderId="69" xfId="2" applyFont="1" applyFill="1" applyBorder="1" applyAlignment="1">
      <alignment horizontal="center" vertical="center"/>
    </xf>
    <xf numFmtId="41" fontId="39" fillId="0" borderId="27" xfId="2" applyFont="1" applyFill="1" applyBorder="1" applyAlignment="1">
      <alignment horizontal="center" vertical="center"/>
    </xf>
    <xf numFmtId="41" fontId="39" fillId="0" borderId="154" xfId="2" applyFont="1" applyFill="1" applyBorder="1" applyAlignment="1">
      <alignment horizontal="center" vertical="center"/>
    </xf>
    <xf numFmtId="41" fontId="39" fillId="0" borderId="195" xfId="2" applyFont="1" applyFill="1" applyBorder="1" applyAlignment="1">
      <alignment horizontal="center" vertical="center"/>
    </xf>
    <xf numFmtId="41" fontId="39" fillId="0" borderId="268" xfId="2" applyFont="1" applyFill="1" applyBorder="1" applyAlignment="1">
      <alignment horizontal="center" vertical="center"/>
    </xf>
    <xf numFmtId="41" fontId="39" fillId="0" borderId="257" xfId="2" applyFont="1" applyFill="1" applyBorder="1" applyAlignment="1">
      <alignment horizontal="center" vertical="center"/>
    </xf>
    <xf numFmtId="41" fontId="39" fillId="0" borderId="258" xfId="2" applyFont="1" applyFill="1" applyBorder="1" applyAlignment="1">
      <alignment horizontal="center" vertical="center"/>
    </xf>
    <xf numFmtId="176" fontId="30" fillId="3" borderId="228" xfId="2" applyNumberFormat="1" applyFont="1" applyFill="1" applyBorder="1" applyAlignment="1">
      <alignment horizontal="center" vertical="center"/>
    </xf>
    <xf numFmtId="41" fontId="30" fillId="3" borderId="228" xfId="2" applyFont="1" applyFill="1" applyBorder="1" applyAlignment="1">
      <alignment horizontal="center" vertical="center"/>
    </xf>
    <xf numFmtId="41" fontId="30" fillId="125" borderId="228" xfId="2" applyFont="1" applyFill="1" applyBorder="1" applyAlignment="1">
      <alignment horizontal="center" vertical="center"/>
    </xf>
    <xf numFmtId="41" fontId="27" fillId="2" borderId="264" xfId="2" applyFont="1" applyFill="1" applyBorder="1" applyAlignment="1">
      <alignment horizontal="center" vertical="center" wrapText="1"/>
    </xf>
    <xf numFmtId="41" fontId="27" fillId="2" borderId="228" xfId="2" applyFont="1" applyFill="1" applyBorder="1" applyAlignment="1">
      <alignment horizontal="center" vertical="center" wrapText="1"/>
    </xf>
    <xf numFmtId="41" fontId="27" fillId="2" borderId="69" xfId="2" applyFont="1" applyFill="1" applyBorder="1" applyAlignment="1">
      <alignment horizontal="center" vertical="center" wrapText="1"/>
    </xf>
    <xf numFmtId="41" fontId="27" fillId="2" borderId="211" xfId="2" applyFont="1" applyFill="1" applyBorder="1" applyAlignment="1">
      <alignment horizontal="center" vertical="center" wrapText="1"/>
    </xf>
    <xf numFmtId="41" fontId="27" fillId="2" borderId="154" xfId="2" applyFont="1" applyFill="1" applyBorder="1" applyAlignment="1">
      <alignment horizontal="center" vertical="center" wrapText="1"/>
    </xf>
    <xf numFmtId="41" fontId="27" fillId="2" borderId="195" xfId="2" applyFont="1" applyFill="1" applyBorder="1" applyAlignment="1">
      <alignment horizontal="center" vertical="center" wrapText="1"/>
    </xf>
    <xf numFmtId="41" fontId="27" fillId="9" borderId="154" xfId="2" applyFont="1" applyFill="1" applyBorder="1" applyAlignment="1">
      <alignment horizontal="center" vertical="center" wrapText="1"/>
    </xf>
    <xf numFmtId="41" fontId="27" fillId="9" borderId="195" xfId="2" applyFont="1" applyFill="1" applyBorder="1" applyAlignment="1">
      <alignment horizontal="center" vertical="center" wrapText="1"/>
    </xf>
    <xf numFmtId="41" fontId="27" fillId="2" borderId="71" xfId="2" applyFont="1" applyFill="1" applyBorder="1" applyAlignment="1">
      <alignment horizontal="center" vertical="center" wrapText="1"/>
    </xf>
    <xf numFmtId="41" fontId="27" fillId="2" borderId="72" xfId="2" applyFont="1" applyFill="1" applyBorder="1" applyAlignment="1">
      <alignment horizontal="center" vertical="center" wrapText="1"/>
    </xf>
    <xf numFmtId="41" fontId="27" fillId="2" borderId="73" xfId="2" applyFont="1" applyFill="1" applyBorder="1" applyAlignment="1">
      <alignment horizontal="center" vertical="center" wrapText="1"/>
    </xf>
    <xf numFmtId="41" fontId="27" fillId="2" borderId="74" xfId="2" applyFont="1" applyFill="1" applyBorder="1" applyAlignment="1">
      <alignment horizontal="center" vertical="center"/>
    </xf>
    <xf numFmtId="41" fontId="27" fillId="2" borderId="72" xfId="2" applyFont="1" applyFill="1" applyBorder="1" applyAlignment="1">
      <alignment horizontal="center" vertical="center"/>
    </xf>
    <xf numFmtId="41" fontId="27" fillId="2" borderId="177" xfId="2" applyFont="1" applyFill="1" applyBorder="1" applyAlignment="1">
      <alignment horizontal="center" vertical="center"/>
    </xf>
    <xf numFmtId="41" fontId="270" fillId="2" borderId="250" xfId="2" applyNumberFormat="1" applyFont="1" applyFill="1" applyBorder="1" applyAlignment="1">
      <alignment horizontal="center" vertical="center" shrinkToFit="1"/>
    </xf>
    <xf numFmtId="41" fontId="270" fillId="2" borderId="72" xfId="2" applyNumberFormat="1" applyFont="1" applyFill="1" applyBorder="1" applyAlignment="1">
      <alignment horizontal="center" vertical="center" shrinkToFit="1"/>
    </xf>
    <xf numFmtId="41" fontId="270" fillId="2" borderId="74" xfId="2" applyFont="1" applyFill="1" applyBorder="1" applyAlignment="1">
      <alignment horizontal="center" vertical="center"/>
    </xf>
    <xf numFmtId="41" fontId="270" fillId="2" borderId="72" xfId="2" applyFont="1" applyFill="1" applyBorder="1" applyAlignment="1">
      <alignment horizontal="center" vertical="center"/>
    </xf>
    <xf numFmtId="41" fontId="270" fillId="2" borderId="73" xfId="2" applyFont="1" applyFill="1" applyBorder="1" applyAlignment="1">
      <alignment horizontal="center" vertical="center"/>
    </xf>
    <xf numFmtId="179" fontId="27" fillId="2" borderId="74" xfId="2" applyNumberFormat="1" applyFont="1" applyFill="1" applyBorder="1" applyAlignment="1">
      <alignment horizontal="center" vertical="center"/>
    </xf>
    <xf numFmtId="179" fontId="27" fillId="2" borderId="72" xfId="2" applyNumberFormat="1" applyFont="1" applyFill="1" applyBorder="1" applyAlignment="1">
      <alignment horizontal="center" vertical="center"/>
    </xf>
    <xf numFmtId="179" fontId="27" fillId="2" borderId="73" xfId="2" applyNumberFormat="1" applyFont="1" applyFill="1" applyBorder="1" applyAlignment="1">
      <alignment horizontal="center" vertical="center"/>
    </xf>
    <xf numFmtId="41" fontId="30" fillId="2" borderId="234" xfId="2" applyFont="1" applyFill="1" applyBorder="1" applyAlignment="1">
      <alignment horizontal="center" vertical="center"/>
    </xf>
    <xf numFmtId="41" fontId="30" fillId="2" borderId="228" xfId="2" applyFont="1" applyFill="1" applyBorder="1" applyAlignment="1">
      <alignment horizontal="center" vertical="center"/>
    </xf>
    <xf numFmtId="41" fontId="30" fillId="2" borderId="235" xfId="2" applyFont="1" applyFill="1" applyBorder="1" applyAlignment="1">
      <alignment horizontal="center" vertical="center"/>
    </xf>
    <xf numFmtId="41" fontId="39" fillId="0" borderId="267" xfId="2" applyFont="1" applyFill="1" applyBorder="1" applyAlignment="1">
      <alignment horizontal="center" vertical="center"/>
    </xf>
    <xf numFmtId="41" fontId="39" fillId="0" borderId="253" xfId="2" applyFont="1" applyFill="1" applyBorder="1" applyAlignment="1">
      <alignment horizontal="center" vertical="center"/>
    </xf>
    <xf numFmtId="41" fontId="39" fillId="0" borderId="254" xfId="2" applyFont="1" applyFill="1" applyBorder="1" applyAlignment="1">
      <alignment horizontal="center" vertical="center"/>
    </xf>
    <xf numFmtId="41" fontId="39" fillId="0" borderId="234" xfId="2" applyFont="1" applyFill="1" applyBorder="1" applyAlignment="1">
      <alignment horizontal="center" vertical="center"/>
    </xf>
    <xf numFmtId="41" fontId="39" fillId="0" borderId="228" xfId="2" applyFont="1" applyFill="1" applyBorder="1" applyAlignment="1">
      <alignment horizontal="center" vertical="center"/>
    </xf>
    <xf numFmtId="41" fontId="39" fillId="0" borderId="69" xfId="2" applyFont="1" applyFill="1" applyBorder="1" applyAlignment="1">
      <alignment horizontal="center" vertical="center"/>
    </xf>
    <xf numFmtId="41" fontId="30" fillId="0" borderId="215" xfId="2" applyFont="1" applyFill="1" applyBorder="1" applyAlignment="1">
      <alignment horizontal="center" vertical="center"/>
    </xf>
    <xf numFmtId="41" fontId="30" fillId="0" borderId="261" xfId="2" applyFont="1" applyFill="1" applyBorder="1" applyAlignment="1">
      <alignment horizontal="center" vertical="center"/>
    </xf>
    <xf numFmtId="41" fontId="30" fillId="125" borderId="215" xfId="2" applyFont="1" applyFill="1" applyBorder="1" applyAlignment="1">
      <alignment horizontal="center" vertical="center"/>
    </xf>
    <xf numFmtId="41" fontId="31" fillId="3" borderId="215" xfId="2" applyFont="1" applyFill="1" applyBorder="1" applyAlignment="1">
      <alignment horizontal="center" vertical="center"/>
    </xf>
    <xf numFmtId="41" fontId="30" fillId="0" borderId="215" xfId="2" applyFont="1" applyBorder="1" applyAlignment="1">
      <alignment vertical="center"/>
    </xf>
    <xf numFmtId="41" fontId="39" fillId="0" borderId="269" xfId="2" applyFont="1" applyFill="1" applyBorder="1" applyAlignment="1">
      <alignment horizontal="center" vertical="center"/>
    </xf>
    <xf numFmtId="41" fontId="39" fillId="0" borderId="215" xfId="2" applyFont="1" applyFill="1" applyBorder="1" applyAlignment="1">
      <alignment horizontal="center" vertical="center"/>
    </xf>
    <xf numFmtId="41" fontId="39" fillId="0" borderId="261" xfId="2" applyFont="1" applyFill="1" applyBorder="1" applyAlignment="1">
      <alignment horizontal="center" vertical="center"/>
    </xf>
    <xf numFmtId="188" fontId="39" fillId="0" borderId="27" xfId="2" applyNumberFormat="1" applyFont="1" applyFill="1" applyBorder="1" applyAlignment="1">
      <alignment horizontal="center" vertical="center"/>
    </xf>
    <xf numFmtId="188" fontId="39" fillId="0" borderId="154" xfId="2" applyNumberFormat="1" applyFont="1" applyFill="1" applyBorder="1" applyAlignment="1">
      <alignment horizontal="center" vertical="center"/>
    </xf>
    <xf numFmtId="188" fontId="39" fillId="0" borderId="195" xfId="2" applyNumberFormat="1" applyFont="1" applyFill="1" applyBorder="1" applyAlignment="1">
      <alignment horizontal="center" vertical="center"/>
    </xf>
    <xf numFmtId="176" fontId="30" fillId="9" borderId="72" xfId="2" applyNumberFormat="1" applyFont="1" applyFill="1" applyBorder="1" applyAlignment="1">
      <alignment horizontal="center" vertical="center"/>
    </xf>
    <xf numFmtId="176" fontId="30" fillId="3" borderId="215" xfId="2" applyNumberFormat="1" applyFont="1" applyFill="1" applyBorder="1" applyAlignment="1">
      <alignment horizontal="center" vertical="center"/>
    </xf>
    <xf numFmtId="41" fontId="27" fillId="2" borderId="36" xfId="2" applyFont="1" applyFill="1" applyBorder="1" applyAlignment="1">
      <alignment horizontal="center" vertical="center" wrapText="1"/>
    </xf>
    <xf numFmtId="41" fontId="27" fillId="2" borderId="183" xfId="2" applyFont="1" applyFill="1" applyBorder="1" applyAlignment="1">
      <alignment horizontal="center" vertical="center" wrapText="1"/>
    </xf>
    <xf numFmtId="41" fontId="27" fillId="2" borderId="46" xfId="2" applyFont="1" applyFill="1" applyBorder="1" applyAlignment="1">
      <alignment horizontal="center" vertical="center" wrapText="1"/>
    </xf>
    <xf numFmtId="176" fontId="30" fillId="9" borderId="154" xfId="2" applyNumberFormat="1" applyFont="1" applyFill="1" applyBorder="1" applyAlignment="1">
      <alignment horizontal="center" vertical="center"/>
    </xf>
    <xf numFmtId="41" fontId="270" fillId="2" borderId="204" xfId="2" applyFont="1" applyFill="1" applyBorder="1" applyAlignment="1">
      <alignment horizontal="center" vertical="center"/>
    </xf>
    <xf numFmtId="41" fontId="270" fillId="2" borderId="154" xfId="2" applyFont="1" applyFill="1" applyBorder="1" applyAlignment="1">
      <alignment horizontal="center" vertical="center"/>
    </xf>
    <xf numFmtId="41" fontId="270" fillId="2" borderId="195" xfId="2" applyFont="1" applyFill="1" applyBorder="1" applyAlignment="1">
      <alignment horizontal="center" vertical="center"/>
    </xf>
    <xf numFmtId="41" fontId="270" fillId="2" borderId="27" xfId="2" applyFont="1" applyFill="1" applyBorder="1" applyAlignment="1">
      <alignment horizontal="center" vertical="center"/>
    </xf>
    <xf numFmtId="41" fontId="270" fillId="2" borderId="208" xfId="2" applyFont="1" applyFill="1" applyBorder="1" applyAlignment="1">
      <alignment horizontal="center" vertical="center"/>
    </xf>
    <xf numFmtId="41" fontId="27" fillId="2" borderId="265" xfId="2" applyFont="1" applyFill="1" applyBorder="1" applyAlignment="1">
      <alignment horizontal="center" vertical="center" wrapText="1"/>
    </xf>
    <xf numFmtId="41" fontId="27" fillId="2" borderId="179" xfId="2" applyFont="1" applyFill="1" applyBorder="1" applyAlignment="1">
      <alignment horizontal="center" vertical="center" wrapText="1"/>
    </xf>
    <xf numFmtId="41" fontId="27" fillId="2" borderId="56" xfId="2" applyFont="1" applyFill="1" applyBorder="1" applyAlignment="1">
      <alignment horizontal="center" vertical="center" wrapText="1"/>
    </xf>
    <xf numFmtId="41" fontId="27" fillId="2" borderId="0" xfId="2" applyFont="1" applyFill="1" applyBorder="1" applyAlignment="1">
      <alignment horizontal="center" vertical="center" wrapText="1"/>
    </xf>
    <xf numFmtId="41" fontId="27" fillId="2" borderId="242" xfId="2" applyFont="1" applyFill="1" applyBorder="1" applyAlignment="1">
      <alignment horizontal="center" vertical="center" wrapText="1"/>
    </xf>
    <xf numFmtId="41" fontId="27" fillId="2" borderId="192" xfId="2" applyFont="1" applyFill="1" applyBorder="1" applyAlignment="1">
      <alignment horizontal="center" vertical="center" wrapText="1"/>
    </xf>
    <xf numFmtId="41" fontId="30" fillId="0" borderId="276" xfId="2" applyFont="1" applyFill="1" applyBorder="1" applyAlignment="1">
      <alignment horizontal="left" vertical="center"/>
    </xf>
    <xf numFmtId="41" fontId="27" fillId="2" borderId="90" xfId="2" applyFont="1" applyFill="1" applyBorder="1" applyAlignment="1">
      <alignment horizontal="center" vertical="center" wrapText="1"/>
    </xf>
    <xf numFmtId="41" fontId="27" fillId="2" borderId="243" xfId="2" applyFont="1" applyFill="1" applyBorder="1" applyAlignment="1">
      <alignment horizontal="center" vertical="center" wrapText="1"/>
    </xf>
    <xf numFmtId="41" fontId="27" fillId="4" borderId="69" xfId="2" applyFont="1" applyFill="1" applyBorder="1" applyAlignment="1">
      <alignment horizontal="center" vertical="center"/>
    </xf>
    <xf numFmtId="41" fontId="27" fillId="4" borderId="73" xfId="2" applyFont="1" applyFill="1" applyBorder="1" applyAlignment="1">
      <alignment horizontal="center" vertical="center"/>
    </xf>
    <xf numFmtId="41" fontId="27" fillId="4" borderId="68" xfId="2" applyFont="1" applyFill="1" applyBorder="1" applyAlignment="1">
      <alignment horizontal="center" vertical="center"/>
    </xf>
    <xf numFmtId="41" fontId="27" fillId="4" borderId="85" xfId="2" applyFont="1" applyFill="1" applyBorder="1" applyAlignment="1">
      <alignment horizontal="center" vertical="center"/>
    </xf>
    <xf numFmtId="41" fontId="279" fillId="11" borderId="153" xfId="2" applyFont="1" applyFill="1" applyBorder="1" applyAlignment="1">
      <alignment horizontal="center" vertical="center"/>
    </xf>
    <xf numFmtId="0" fontId="30" fillId="0" borderId="153" xfId="2" applyNumberFormat="1" applyFont="1" applyFill="1" applyBorder="1" applyAlignment="1">
      <alignment horizontal="center" vertical="center" wrapText="1"/>
    </xf>
    <xf numFmtId="41" fontId="39" fillId="11" borderId="204" xfId="2" applyFont="1" applyFill="1" applyBorder="1" applyAlignment="1">
      <alignment horizontal="center" vertical="center"/>
    </xf>
    <xf numFmtId="41" fontId="39" fillId="11" borderId="195" xfId="2" applyFont="1" applyFill="1" applyBorder="1" applyAlignment="1">
      <alignment horizontal="center" vertical="center"/>
    </xf>
    <xf numFmtId="41" fontId="279" fillId="11" borderId="27" xfId="2" applyFont="1" applyFill="1" applyBorder="1" applyAlignment="1">
      <alignment horizontal="center" vertical="center"/>
    </xf>
    <xf numFmtId="41" fontId="279" fillId="11" borderId="154" xfId="2" applyFont="1" applyFill="1" applyBorder="1" applyAlignment="1">
      <alignment horizontal="center" vertical="center"/>
    </xf>
    <xf numFmtId="10" fontId="31" fillId="10" borderId="15" xfId="2" applyNumberFormat="1" applyFont="1" applyFill="1" applyBorder="1" applyAlignment="1">
      <alignment horizontal="center" vertical="center"/>
    </xf>
    <xf numFmtId="9" fontId="30" fillId="0" borderId="14" xfId="1" applyFont="1" applyFill="1" applyBorder="1" applyAlignment="1">
      <alignment horizontal="center" vertical="center"/>
    </xf>
    <xf numFmtId="0" fontId="30" fillId="0" borderId="14" xfId="1" applyNumberFormat="1" applyFont="1" applyFill="1" applyBorder="1" applyAlignment="1">
      <alignment horizontal="center" vertical="center"/>
    </xf>
    <xf numFmtId="41" fontId="30" fillId="9" borderId="14" xfId="2" applyNumberFormat="1" applyFont="1" applyFill="1" applyBorder="1" applyAlignment="1">
      <alignment horizontal="center" vertical="center" wrapText="1"/>
    </xf>
    <xf numFmtId="0" fontId="30" fillId="9" borderId="14" xfId="2" applyNumberFormat="1" applyFont="1" applyFill="1" applyBorder="1" applyAlignment="1">
      <alignment horizontal="center" vertical="center"/>
    </xf>
    <xf numFmtId="0" fontId="30" fillId="9" borderId="4" xfId="2" applyNumberFormat="1" applyFont="1" applyFill="1" applyBorder="1" applyAlignment="1">
      <alignment horizontal="center" vertical="center"/>
    </xf>
    <xf numFmtId="0" fontId="30" fillId="17" borderId="153" xfId="2" applyNumberFormat="1" applyFont="1" applyFill="1" applyBorder="1" applyAlignment="1">
      <alignment horizontal="center" vertical="center" wrapText="1"/>
    </xf>
    <xf numFmtId="41" fontId="30" fillId="0" borderId="4" xfId="2" applyNumberFormat="1" applyFont="1" applyFill="1" applyBorder="1" applyAlignment="1">
      <alignment horizontal="left" vertical="center"/>
    </xf>
    <xf numFmtId="0" fontId="30" fillId="0" borderId="1" xfId="2" applyNumberFormat="1" applyFont="1" applyFill="1" applyBorder="1" applyAlignment="1">
      <alignment horizontal="left" vertical="center"/>
    </xf>
    <xf numFmtId="0" fontId="30" fillId="0" borderId="8" xfId="2" applyNumberFormat="1" applyFont="1" applyFill="1" applyBorder="1" applyAlignment="1">
      <alignment horizontal="left" vertical="center"/>
    </xf>
    <xf numFmtId="41" fontId="30" fillId="9" borderId="39" xfId="2" applyNumberFormat="1" applyFont="1" applyFill="1" applyBorder="1" applyAlignment="1">
      <alignment horizontal="center" vertical="center"/>
    </xf>
    <xf numFmtId="0" fontId="30" fillId="9" borderId="39" xfId="2" applyNumberFormat="1" applyFont="1" applyFill="1" applyBorder="1" applyAlignment="1">
      <alignment horizontal="center" vertical="center"/>
    </xf>
    <xf numFmtId="0" fontId="30" fillId="0" borderId="39" xfId="1" applyNumberFormat="1" applyFont="1" applyFill="1" applyBorder="1" applyAlignment="1">
      <alignment horizontal="center" vertical="center"/>
    </xf>
    <xf numFmtId="9" fontId="30" fillId="0" borderId="39" xfId="1" applyFont="1" applyFill="1" applyBorder="1" applyAlignment="1">
      <alignment horizontal="center" vertical="center"/>
    </xf>
    <xf numFmtId="0" fontId="27" fillId="17" borderId="27" xfId="2" applyNumberFormat="1" applyFont="1" applyFill="1" applyBorder="1" applyAlignment="1">
      <alignment horizontal="center" vertical="center" wrapText="1"/>
    </xf>
    <xf numFmtId="0" fontId="27" fillId="17" borderId="154" xfId="2" applyNumberFormat="1" applyFont="1" applyFill="1" applyBorder="1" applyAlignment="1">
      <alignment horizontal="center" vertical="center" wrapText="1"/>
    </xf>
    <xf numFmtId="0" fontId="27" fillId="17" borderId="195" xfId="2" applyNumberFormat="1" applyFont="1" applyFill="1" applyBorder="1" applyAlignment="1">
      <alignment horizontal="center" vertical="center" wrapText="1"/>
    </xf>
    <xf numFmtId="0" fontId="27" fillId="9" borderId="111" xfId="2" applyNumberFormat="1" applyFont="1" applyFill="1" applyBorder="1" applyAlignment="1">
      <alignment horizontal="center" vertical="distributed"/>
    </xf>
    <xf numFmtId="0" fontId="27" fillId="9" borderId="56" xfId="2" applyNumberFormat="1" applyFont="1" applyFill="1" applyBorder="1" applyAlignment="1">
      <alignment horizontal="center" vertical="distributed"/>
    </xf>
    <xf numFmtId="0" fontId="27" fillId="9" borderId="93" xfId="2" applyNumberFormat="1" applyFont="1" applyFill="1" applyBorder="1" applyAlignment="1">
      <alignment horizontal="center" vertical="distributed"/>
    </xf>
    <xf numFmtId="41" fontId="30" fillId="0" borderId="1" xfId="2" applyNumberFormat="1" applyFont="1" applyFill="1" applyBorder="1" applyAlignment="1">
      <alignment horizontal="left" vertical="center"/>
    </xf>
    <xf numFmtId="41" fontId="30" fillId="0" borderId="8" xfId="2" applyNumberFormat="1" applyFont="1" applyFill="1" applyBorder="1" applyAlignment="1">
      <alignment horizontal="left" vertical="center"/>
    </xf>
    <xf numFmtId="41" fontId="30" fillId="0" borderId="14" xfId="2" applyNumberFormat="1" applyFont="1" applyFill="1" applyBorder="1" applyAlignment="1">
      <alignment horizontal="left" vertical="center"/>
    </xf>
    <xf numFmtId="0" fontId="30" fillId="0" borderId="14" xfId="2" applyNumberFormat="1" applyFont="1" applyFill="1" applyBorder="1" applyAlignment="1">
      <alignment horizontal="left" vertical="center"/>
    </xf>
    <xf numFmtId="0" fontId="30" fillId="9" borderId="14" xfId="2" applyNumberFormat="1" applyFont="1" applyFill="1" applyBorder="1" applyAlignment="1">
      <alignment horizontal="center" vertical="center" wrapText="1"/>
    </xf>
    <xf numFmtId="0" fontId="30" fillId="9" borderId="4" xfId="2" applyNumberFormat="1" applyFont="1" applyFill="1" applyBorder="1" applyAlignment="1">
      <alignment horizontal="center" vertical="center" wrapText="1"/>
    </xf>
    <xf numFmtId="0" fontId="27" fillId="9" borderId="8" xfId="2" applyNumberFormat="1" applyFont="1" applyFill="1" applyBorder="1" applyAlignment="1">
      <alignment horizontal="center" vertical="center"/>
    </xf>
    <xf numFmtId="0" fontId="27" fillId="9" borderId="14" xfId="2" applyNumberFormat="1" applyFont="1" applyFill="1" applyBorder="1" applyAlignment="1">
      <alignment horizontal="center" vertical="center"/>
    </xf>
    <xf numFmtId="0" fontId="27" fillId="9" borderId="14" xfId="1" applyNumberFormat="1" applyFont="1" applyFill="1" applyBorder="1" applyAlignment="1">
      <alignment horizontal="center" vertical="center"/>
    </xf>
    <xf numFmtId="0" fontId="30" fillId="9" borderId="8" xfId="1" applyNumberFormat="1" applyFont="1" applyFill="1" applyBorder="1" applyAlignment="1">
      <alignment horizontal="center" vertical="center"/>
    </xf>
    <xf numFmtId="0" fontId="30" fillId="9" borderId="14" xfId="1" applyNumberFormat="1" applyFont="1" applyFill="1" applyBorder="1" applyAlignment="1">
      <alignment horizontal="center" vertical="center"/>
    </xf>
    <xf numFmtId="0" fontId="27" fillId="11" borderId="1" xfId="2" applyNumberFormat="1" applyFont="1" applyFill="1" applyBorder="1" applyAlignment="1">
      <alignment horizontal="center" vertical="center"/>
    </xf>
    <xf numFmtId="0" fontId="27" fillId="11" borderId="8" xfId="2" applyNumberFormat="1" applyFont="1" applyFill="1" applyBorder="1" applyAlignment="1">
      <alignment horizontal="center" vertical="center"/>
    </xf>
    <xf numFmtId="0" fontId="30" fillId="11" borderId="14" xfId="2" applyNumberFormat="1" applyFont="1" applyFill="1" applyBorder="1" applyAlignment="1">
      <alignment horizontal="center" vertical="center"/>
    </xf>
    <xf numFmtId="0" fontId="30" fillId="11" borderId="4" xfId="2" applyNumberFormat="1" applyFont="1" applyFill="1" applyBorder="1" applyAlignment="1">
      <alignment horizontal="center" vertical="center"/>
    </xf>
    <xf numFmtId="41" fontId="30" fillId="9" borderId="23" xfId="2" applyNumberFormat="1" applyFont="1" applyFill="1" applyBorder="1" applyAlignment="1">
      <alignment horizontal="center" vertical="center"/>
    </xf>
    <xf numFmtId="41" fontId="30" fillId="9" borderId="25" xfId="2" applyNumberFormat="1" applyFont="1" applyFill="1" applyBorder="1" applyAlignment="1">
      <alignment horizontal="center" vertical="center"/>
    </xf>
    <xf numFmtId="41" fontId="30" fillId="9" borderId="24" xfId="2" applyNumberFormat="1" applyFont="1" applyFill="1" applyBorder="1" applyAlignment="1">
      <alignment horizontal="center" vertical="center"/>
    </xf>
    <xf numFmtId="41" fontId="30" fillId="9" borderId="183" xfId="2" applyNumberFormat="1" applyFont="1" applyFill="1" applyBorder="1" applyAlignment="1">
      <alignment horizontal="center" vertical="center"/>
    </xf>
    <xf numFmtId="41" fontId="30" fillId="9" borderId="0" xfId="2" applyNumberFormat="1" applyFont="1" applyFill="1" applyBorder="1" applyAlignment="1">
      <alignment horizontal="center" vertical="center"/>
    </xf>
    <xf numFmtId="41" fontId="30" fillId="9" borderId="18" xfId="2" applyNumberFormat="1" applyFont="1" applyFill="1" applyBorder="1" applyAlignment="1">
      <alignment horizontal="center" vertical="center"/>
    </xf>
    <xf numFmtId="41" fontId="30" fillId="9" borderId="21" xfId="2" applyNumberFormat="1" applyFont="1" applyFill="1" applyBorder="1" applyAlignment="1">
      <alignment horizontal="center" vertical="center"/>
    </xf>
    <xf numFmtId="41" fontId="30" fillId="9" borderId="10" xfId="2" applyNumberFormat="1" applyFont="1" applyFill="1" applyBorder="1" applyAlignment="1">
      <alignment horizontal="center" vertical="center"/>
    </xf>
    <xf numFmtId="41" fontId="30" fillId="9" borderId="22" xfId="2" applyNumberFormat="1" applyFont="1" applyFill="1" applyBorder="1" applyAlignment="1">
      <alignment horizontal="center" vertical="center"/>
    </xf>
    <xf numFmtId="41" fontId="30" fillId="0" borderId="4" xfId="2" applyNumberFormat="1" applyFont="1" applyFill="1" applyBorder="1" applyAlignment="1">
      <alignment horizontal="center" vertical="center"/>
    </xf>
    <xf numFmtId="0" fontId="30" fillId="0" borderId="1" xfId="2" applyNumberFormat="1" applyFont="1" applyFill="1" applyBorder="1" applyAlignment="1">
      <alignment horizontal="center" vertical="center"/>
    </xf>
    <xf numFmtId="41" fontId="30" fillId="0" borderId="1" xfId="2" applyNumberFormat="1" applyFont="1" applyFill="1" applyBorder="1" applyAlignment="1">
      <alignment horizontal="center" vertical="center"/>
    </xf>
    <xf numFmtId="10" fontId="30" fillId="0" borderId="1" xfId="2" applyNumberFormat="1" applyFont="1" applyBorder="1" applyAlignment="1">
      <alignment horizontal="center" vertical="center"/>
    </xf>
    <xf numFmtId="10" fontId="30" fillId="0" borderId="8" xfId="2" applyNumberFormat="1" applyFont="1" applyBorder="1" applyAlignment="1">
      <alignment horizontal="center" vertical="center"/>
    </xf>
    <xf numFmtId="177" fontId="30" fillId="0" borderId="1" xfId="2" applyNumberFormat="1" applyFont="1" applyBorder="1" applyAlignment="1">
      <alignment horizontal="center" vertical="center"/>
    </xf>
    <xf numFmtId="177" fontId="30" fillId="0" borderId="8" xfId="2" applyNumberFormat="1" applyFont="1" applyBorder="1" applyAlignment="1">
      <alignment horizontal="center" vertical="center"/>
    </xf>
    <xf numFmtId="41" fontId="261" fillId="0" borderId="23" xfId="2" applyNumberFormat="1" applyFont="1" applyFill="1" applyBorder="1" applyAlignment="1">
      <alignment horizontal="center" vertical="center"/>
    </xf>
    <xf numFmtId="41" fontId="261" fillId="0" borderId="25" xfId="2" applyNumberFormat="1" applyFont="1" applyFill="1" applyBorder="1" applyAlignment="1">
      <alignment horizontal="center" vertical="center"/>
    </xf>
    <xf numFmtId="41" fontId="261" fillId="0" borderId="183" xfId="2" applyNumberFormat="1" applyFont="1" applyFill="1" applyBorder="1" applyAlignment="1">
      <alignment horizontal="center" vertical="center"/>
    </xf>
    <xf numFmtId="41" fontId="261" fillId="0" borderId="0" xfId="2" applyNumberFormat="1" applyFont="1" applyFill="1" applyBorder="1" applyAlignment="1">
      <alignment horizontal="center" vertical="center"/>
    </xf>
    <xf numFmtId="41" fontId="261" fillId="0" borderId="10" xfId="2" applyNumberFormat="1" applyFont="1" applyFill="1" applyBorder="1" applyAlignment="1">
      <alignment horizontal="center" vertical="center"/>
    </xf>
    <xf numFmtId="41" fontId="30" fillId="0" borderId="23" xfId="2" applyNumberFormat="1" applyFont="1" applyFill="1" applyBorder="1" applyAlignment="1">
      <alignment horizontal="center" vertical="center"/>
    </xf>
    <xf numFmtId="41" fontId="30" fillId="0" borderId="25" xfId="2" applyNumberFormat="1" applyFont="1" applyFill="1" applyBorder="1" applyAlignment="1">
      <alignment horizontal="center" vertical="center"/>
    </xf>
    <xf numFmtId="41" fontId="27" fillId="11" borderId="1" xfId="2" applyNumberFormat="1" applyFont="1" applyFill="1" applyBorder="1" applyAlignment="1">
      <alignment horizontal="center" vertical="center"/>
    </xf>
    <xf numFmtId="41" fontId="27" fillId="11" borderId="8" xfId="2" applyNumberFormat="1" applyFont="1" applyFill="1" applyBorder="1" applyAlignment="1">
      <alignment horizontal="center" vertical="center"/>
    </xf>
    <xf numFmtId="0" fontId="27" fillId="11" borderId="73" xfId="2" applyNumberFormat="1" applyFont="1" applyFill="1" applyBorder="1" applyAlignment="1">
      <alignment horizontal="center" vertical="center"/>
    </xf>
    <xf numFmtId="0" fontId="27" fillId="11" borderId="85" xfId="2" applyNumberFormat="1" applyFont="1" applyFill="1" applyBorder="1" applyAlignment="1">
      <alignment horizontal="center" vertical="center"/>
    </xf>
    <xf numFmtId="0" fontId="30" fillId="12" borderId="54" xfId="1" applyNumberFormat="1" applyFont="1" applyFill="1" applyBorder="1" applyAlignment="1">
      <alignment horizontal="center" vertical="distributed"/>
    </xf>
    <xf numFmtId="0" fontId="30" fillId="12" borderId="55" xfId="1" applyNumberFormat="1" applyFont="1" applyFill="1" applyBorder="1" applyAlignment="1">
      <alignment horizontal="center" vertical="distributed"/>
    </xf>
    <xf numFmtId="41" fontId="30" fillId="12" borderId="39" xfId="1" applyNumberFormat="1" applyFont="1" applyFill="1" applyBorder="1" applyAlignment="1">
      <alignment horizontal="center" vertical="center"/>
    </xf>
    <xf numFmtId="0" fontId="30" fillId="12" borderId="39" xfId="1" applyNumberFormat="1" applyFont="1" applyFill="1" applyBorder="1" applyAlignment="1">
      <alignment horizontal="center" vertical="center"/>
    </xf>
    <xf numFmtId="0" fontId="30" fillId="12" borderId="14" xfId="1" applyNumberFormat="1" applyFont="1" applyFill="1" applyBorder="1" applyAlignment="1">
      <alignment horizontal="center" vertical="center"/>
    </xf>
    <xf numFmtId="41" fontId="30" fillId="12" borderId="23" xfId="1" applyNumberFormat="1" applyFont="1" applyFill="1" applyBorder="1" applyAlignment="1">
      <alignment horizontal="center" vertical="center"/>
    </xf>
    <xf numFmtId="0" fontId="30" fillId="12" borderId="25" xfId="1" applyNumberFormat="1" applyFont="1" applyFill="1" applyBorder="1" applyAlignment="1">
      <alignment horizontal="center" vertical="center"/>
    </xf>
    <xf numFmtId="0" fontId="30" fillId="12" borderId="24" xfId="1" applyNumberFormat="1" applyFont="1" applyFill="1" applyBorder="1" applyAlignment="1">
      <alignment horizontal="center" vertical="center"/>
    </xf>
    <xf numFmtId="0" fontId="30" fillId="12" borderId="21" xfId="1" applyNumberFormat="1" applyFont="1" applyFill="1" applyBorder="1" applyAlignment="1">
      <alignment horizontal="center" vertical="center"/>
    </xf>
    <xf numFmtId="0" fontId="30" fillId="12" borderId="10" xfId="1" applyNumberFormat="1" applyFont="1" applyFill="1" applyBorder="1" applyAlignment="1">
      <alignment horizontal="center" vertical="center"/>
    </xf>
    <xf numFmtId="0" fontId="30" fillId="12" borderId="22" xfId="1" applyNumberFormat="1" applyFont="1" applyFill="1" applyBorder="1" applyAlignment="1">
      <alignment horizontal="center" vertical="center"/>
    </xf>
    <xf numFmtId="0" fontId="30" fillId="12" borderId="57" xfId="1" applyNumberFormat="1" applyFont="1" applyFill="1" applyBorder="1" applyAlignment="1">
      <alignment horizontal="center" vertical="distributed"/>
    </xf>
    <xf numFmtId="41" fontId="30" fillId="12" borderId="14" xfId="1" applyNumberFormat="1" applyFont="1" applyFill="1" applyBorder="1" applyAlignment="1">
      <alignment horizontal="center" vertical="center"/>
    </xf>
    <xf numFmtId="0" fontId="30" fillId="12" borderId="49" xfId="1" applyNumberFormat="1" applyFont="1" applyFill="1" applyBorder="1" applyAlignment="1">
      <alignment horizontal="center" vertical="center"/>
    </xf>
    <xf numFmtId="0" fontId="30" fillId="0" borderId="49" xfId="1" applyNumberFormat="1" applyFont="1" applyFill="1" applyBorder="1" applyAlignment="1">
      <alignment horizontal="center" vertical="center"/>
    </xf>
    <xf numFmtId="0" fontId="24" fillId="0" borderId="0" xfId="0" applyNumberFormat="1" applyFont="1" applyBorder="1" applyAlignment="1" applyProtection="1">
      <alignment horizontal="left" vertical="center"/>
    </xf>
    <xf numFmtId="0" fontId="30" fillId="13" borderId="54" xfId="2" applyNumberFormat="1" applyFont="1" applyFill="1" applyBorder="1" applyAlignment="1">
      <alignment horizontal="center" vertical="center"/>
    </xf>
    <xf numFmtId="0" fontId="30" fillId="13" borderId="39" xfId="2" applyNumberFormat="1" applyFont="1" applyFill="1" applyBorder="1" applyAlignment="1">
      <alignment horizontal="center" vertical="center"/>
    </xf>
    <xf numFmtId="0" fontId="30" fillId="12" borderId="44" xfId="1" applyNumberFormat="1" applyFont="1" applyFill="1" applyBorder="1" applyAlignment="1">
      <alignment horizontal="center" vertical="distributed"/>
    </xf>
    <xf numFmtId="0" fontId="30" fillId="12" borderId="45" xfId="1" applyNumberFormat="1" applyFont="1" applyFill="1" applyBorder="1" applyAlignment="1">
      <alignment horizontal="center" vertical="distributed"/>
    </xf>
    <xf numFmtId="41" fontId="24" fillId="0" borderId="0" xfId="3" applyNumberFormat="1" applyFont="1" applyFill="1" applyBorder="1" applyAlignment="1">
      <alignment horizontal="center" vertical="center"/>
    </xf>
    <xf numFmtId="0" fontId="24" fillId="0" borderId="0" xfId="3" applyNumberFormat="1" applyFont="1" applyFill="1" applyBorder="1" applyAlignment="1">
      <alignment horizontal="center" vertical="center"/>
    </xf>
    <xf numFmtId="0" fontId="30" fillId="4" borderId="55" xfId="2" applyNumberFormat="1" applyFont="1" applyFill="1" applyBorder="1" applyAlignment="1">
      <alignment horizontal="center" vertical="center"/>
    </xf>
    <xf numFmtId="0" fontId="30" fillId="4" borderId="14" xfId="2" applyNumberFormat="1" applyFont="1" applyFill="1" applyBorder="1" applyAlignment="1">
      <alignment horizontal="center" vertical="center"/>
    </xf>
    <xf numFmtId="184" fontId="30" fillId="12" borderId="101" xfId="1" applyNumberFormat="1" applyFont="1" applyFill="1" applyBorder="1" applyAlignment="1">
      <alignment horizontal="center" vertical="center"/>
    </xf>
    <xf numFmtId="0" fontId="30" fillId="12" borderId="0" xfId="0" applyFont="1" applyFill="1" applyBorder="1" applyAlignment="1">
      <alignment horizontal="center" vertical="center"/>
    </xf>
    <xf numFmtId="0" fontId="30" fillId="12" borderId="18" xfId="0" applyFont="1" applyFill="1" applyBorder="1" applyAlignment="1">
      <alignment horizontal="center" vertical="center"/>
    </xf>
    <xf numFmtId="0" fontId="30" fillId="12" borderId="46" xfId="0" applyFont="1" applyFill="1" applyBorder="1" applyAlignment="1">
      <alignment horizontal="center" vertical="center"/>
    </xf>
    <xf numFmtId="0" fontId="30" fillId="12" borderId="47" xfId="0" applyFont="1" applyFill="1" applyBorder="1" applyAlignment="1">
      <alignment horizontal="center" vertical="center"/>
    </xf>
    <xf numFmtId="0" fontId="30" fillId="12" borderId="48" xfId="0" applyFont="1" applyFill="1" applyBorder="1" applyAlignment="1">
      <alignment horizontal="center" vertical="center"/>
    </xf>
    <xf numFmtId="0" fontId="30" fillId="4" borderId="61" xfId="2" applyNumberFormat="1" applyFont="1" applyFill="1" applyBorder="1" applyAlignment="1">
      <alignment horizontal="center" vertical="center"/>
    </xf>
    <xf numFmtId="0" fontId="30" fillId="4" borderId="25" xfId="2" applyNumberFormat="1" applyFont="1" applyFill="1" applyBorder="1" applyAlignment="1">
      <alignment horizontal="center" vertical="center"/>
    </xf>
    <xf numFmtId="0" fontId="30" fillId="4" borderId="24" xfId="2" applyNumberFormat="1" applyFont="1" applyFill="1" applyBorder="1" applyAlignment="1">
      <alignment horizontal="center" vertical="center"/>
    </xf>
    <xf numFmtId="0" fontId="30" fillId="0" borderId="49" xfId="0" applyNumberFormat="1" applyFont="1" applyBorder="1" applyAlignment="1">
      <alignment horizontal="center" vertical="center"/>
    </xf>
    <xf numFmtId="0" fontId="33" fillId="16" borderId="80" xfId="2" applyNumberFormat="1" applyFont="1" applyFill="1" applyBorder="1" applyAlignment="1">
      <alignment horizontal="center" vertical="center"/>
    </xf>
    <xf numFmtId="0" fontId="33" fillId="16" borderId="275" xfId="2" applyNumberFormat="1" applyFont="1" applyFill="1" applyBorder="1" applyAlignment="1">
      <alignment horizontal="center" vertical="center"/>
    </xf>
    <xf numFmtId="0" fontId="33" fillId="16" borderId="82" xfId="2" applyNumberFormat="1" applyFont="1" applyFill="1" applyBorder="1" applyAlignment="1">
      <alignment horizontal="center" vertical="center"/>
    </xf>
    <xf numFmtId="0" fontId="33" fillId="16" borderId="84" xfId="2" applyNumberFormat="1" applyFont="1" applyFill="1" applyBorder="1" applyAlignment="1">
      <alignment horizontal="center" vertical="center"/>
    </xf>
    <xf numFmtId="0" fontId="27" fillId="11" borderId="14" xfId="2" applyNumberFormat="1" applyFont="1" applyFill="1" applyBorder="1" applyAlignment="1">
      <alignment horizontal="center" vertical="center"/>
    </xf>
    <xf numFmtId="0" fontId="33" fillId="16" borderId="85" xfId="2" applyNumberFormat="1" applyFont="1" applyFill="1" applyBorder="1" applyAlignment="1">
      <alignment horizontal="center" vertical="center"/>
    </xf>
    <xf numFmtId="0" fontId="27" fillId="2" borderId="66" xfId="2" applyNumberFormat="1" applyFont="1" applyFill="1" applyBorder="1" applyAlignment="1">
      <alignment horizontal="center" vertical="center" wrapText="1"/>
    </xf>
    <xf numFmtId="0" fontId="27" fillId="2" borderId="49" xfId="2" applyNumberFormat="1" applyFont="1" applyFill="1" applyBorder="1" applyAlignment="1">
      <alignment horizontal="center" vertical="center" wrapText="1"/>
    </xf>
    <xf numFmtId="0" fontId="30" fillId="11" borderId="63" xfId="2" applyNumberFormat="1" applyFont="1" applyFill="1" applyBorder="1" applyAlignment="1">
      <alignment horizontal="center" vertical="center"/>
    </xf>
    <xf numFmtId="0" fontId="30" fillId="11" borderId="76" xfId="2" applyNumberFormat="1" applyFont="1" applyFill="1" applyBorder="1" applyAlignment="1">
      <alignment horizontal="center" vertical="center"/>
    </xf>
    <xf numFmtId="0" fontId="30" fillId="11" borderId="21" xfId="2" applyNumberFormat="1" applyFont="1" applyFill="1" applyBorder="1" applyAlignment="1">
      <alignment horizontal="center" vertical="center"/>
    </xf>
    <xf numFmtId="0" fontId="30" fillId="11" borderId="22" xfId="2" applyNumberFormat="1" applyFont="1" applyFill="1" applyBorder="1" applyAlignment="1">
      <alignment horizontal="center" vertical="center"/>
    </xf>
    <xf numFmtId="0" fontId="30" fillId="11" borderId="8" xfId="2" applyNumberFormat="1" applyFont="1" applyFill="1" applyBorder="1" applyAlignment="1">
      <alignment horizontal="center" vertical="center"/>
    </xf>
    <xf numFmtId="0" fontId="30" fillId="11" borderId="1" xfId="2" applyNumberFormat="1" applyFont="1" applyFill="1" applyBorder="1" applyAlignment="1">
      <alignment horizontal="center" vertical="center"/>
    </xf>
    <xf numFmtId="41" fontId="30" fillId="0" borderId="63" xfId="2" applyNumberFormat="1" applyFont="1" applyFill="1" applyBorder="1" applyAlignment="1">
      <alignment horizontal="left" vertical="center"/>
    </xf>
    <xf numFmtId="0" fontId="30" fillId="0" borderId="43" xfId="2" applyNumberFormat="1" applyFont="1" applyFill="1" applyBorder="1" applyAlignment="1">
      <alignment horizontal="left" vertical="center"/>
    </xf>
    <xf numFmtId="0" fontId="30" fillId="0" borderId="76" xfId="2" applyNumberFormat="1" applyFont="1" applyFill="1" applyBorder="1" applyAlignment="1">
      <alignment horizontal="left" vertical="center"/>
    </xf>
    <xf numFmtId="0" fontId="30" fillId="2" borderId="80" xfId="2" applyNumberFormat="1" applyFont="1" applyFill="1" applyBorder="1" applyAlignment="1">
      <alignment horizontal="center" vertical="center"/>
    </xf>
    <xf numFmtId="0" fontId="30" fillId="2" borderId="82" xfId="2" applyNumberFormat="1" applyFont="1" applyFill="1" applyBorder="1" applyAlignment="1">
      <alignment horizontal="center" vertical="center"/>
    </xf>
    <xf numFmtId="0" fontId="30" fillId="2" borderId="84" xfId="2" applyNumberFormat="1" applyFont="1" applyFill="1" applyBorder="1" applyAlignment="1">
      <alignment horizontal="center" vertical="center"/>
    </xf>
    <xf numFmtId="0" fontId="30" fillId="6" borderId="80" xfId="2" applyNumberFormat="1" applyFont="1" applyFill="1" applyBorder="1" applyAlignment="1">
      <alignment horizontal="center" vertical="center" wrapText="1"/>
    </xf>
    <xf numFmtId="0" fontId="30" fillId="6" borderId="82" xfId="2" applyNumberFormat="1" applyFont="1" applyFill="1" applyBorder="1" applyAlignment="1">
      <alignment horizontal="center" vertical="center"/>
    </xf>
    <xf numFmtId="0" fontId="30" fillId="6" borderId="84" xfId="2" applyNumberFormat="1" applyFont="1" applyFill="1" applyBorder="1" applyAlignment="1">
      <alignment horizontal="center" vertical="center"/>
    </xf>
    <xf numFmtId="0" fontId="30" fillId="6" borderId="68" xfId="2" applyNumberFormat="1" applyFont="1" applyFill="1" applyBorder="1" applyAlignment="1">
      <alignment horizontal="center" vertical="center"/>
    </xf>
    <xf numFmtId="0" fontId="30" fillId="6" borderId="153" xfId="2" applyNumberFormat="1" applyFont="1" applyFill="1" applyBorder="1" applyAlignment="1">
      <alignment horizontal="center" vertical="center"/>
    </xf>
    <xf numFmtId="0" fontId="30" fillId="6" borderId="85" xfId="2" applyNumberFormat="1" applyFont="1" applyFill="1" applyBorder="1" applyAlignment="1">
      <alignment horizontal="center" vertical="center"/>
    </xf>
    <xf numFmtId="0" fontId="30" fillId="6" borderId="35" xfId="2" applyNumberFormat="1" applyFont="1" applyFill="1" applyBorder="1" applyAlignment="1">
      <alignment horizontal="center" vertical="center" wrapText="1"/>
    </xf>
    <xf numFmtId="0" fontId="30" fillId="6" borderId="44" xfId="2" applyNumberFormat="1" applyFont="1" applyFill="1" applyBorder="1" applyAlignment="1">
      <alignment horizontal="center" vertical="center"/>
    </xf>
    <xf numFmtId="0" fontId="30" fillId="6" borderId="45" xfId="2" applyNumberFormat="1" applyFont="1" applyFill="1" applyBorder="1" applyAlignment="1">
      <alignment horizontal="center" vertical="center"/>
    </xf>
    <xf numFmtId="0" fontId="30" fillId="6" borderId="63" xfId="2" applyNumberFormat="1" applyFont="1" applyFill="1" applyBorder="1" applyAlignment="1">
      <alignment horizontal="center" vertical="center"/>
    </xf>
    <xf numFmtId="0" fontId="30" fillId="6" borderId="43" xfId="2" applyNumberFormat="1" applyFont="1" applyFill="1" applyBorder="1" applyAlignment="1">
      <alignment horizontal="center" vertical="center"/>
    </xf>
    <xf numFmtId="0" fontId="31" fillId="6" borderId="4" xfId="2" applyNumberFormat="1" applyFont="1" applyFill="1" applyBorder="1" applyAlignment="1">
      <alignment horizontal="center" vertical="center"/>
    </xf>
    <xf numFmtId="0" fontId="31" fillId="6" borderId="1" xfId="2" applyNumberFormat="1" applyFont="1" applyFill="1" applyBorder="1" applyAlignment="1">
      <alignment horizontal="center" vertical="center"/>
    </xf>
    <xf numFmtId="0" fontId="31" fillId="6" borderId="65" xfId="2" applyNumberFormat="1" applyFont="1" applyFill="1" applyBorder="1" applyAlignment="1">
      <alignment horizontal="center" vertical="center"/>
    </xf>
    <xf numFmtId="0" fontId="31" fillId="6" borderId="53" xfId="2" applyNumberFormat="1" applyFont="1" applyFill="1" applyBorder="1" applyAlignment="1">
      <alignment horizontal="center" vertical="center"/>
    </xf>
    <xf numFmtId="177" fontId="30" fillId="6" borderId="43" xfId="2" applyNumberFormat="1" applyFont="1" applyFill="1" applyBorder="1" applyAlignment="1">
      <alignment horizontal="center" vertical="center"/>
    </xf>
    <xf numFmtId="177" fontId="30" fillId="6" borderId="1" xfId="2" applyNumberFormat="1" applyFont="1" applyFill="1" applyBorder="1" applyAlignment="1">
      <alignment horizontal="center" vertical="center"/>
    </xf>
    <xf numFmtId="177" fontId="30" fillId="6" borderId="53" xfId="2" applyNumberFormat="1" applyFont="1" applyFill="1" applyBorder="1" applyAlignment="1">
      <alignment horizontal="center" vertical="center"/>
    </xf>
    <xf numFmtId="0" fontId="34" fillId="16" borderId="85" xfId="2" applyNumberFormat="1" applyFont="1" applyFill="1" applyBorder="1" applyAlignment="1">
      <alignment horizontal="center" vertical="center"/>
    </xf>
    <xf numFmtId="0" fontId="30" fillId="15" borderId="69" xfId="2" applyNumberFormat="1" applyFont="1" applyFill="1" applyBorder="1" applyAlignment="1">
      <alignment horizontal="center" vertical="center" wrapText="1"/>
    </xf>
    <xf numFmtId="0" fontId="30" fillId="15" borderId="68" xfId="2" applyNumberFormat="1" applyFont="1" applyFill="1" applyBorder="1" applyAlignment="1">
      <alignment horizontal="center" vertical="center" wrapText="1"/>
    </xf>
    <xf numFmtId="0" fontId="30" fillId="15" borderId="29" xfId="2" applyNumberFormat="1" applyFont="1" applyFill="1" applyBorder="1" applyAlignment="1">
      <alignment horizontal="center" vertical="center"/>
    </xf>
    <xf numFmtId="0" fontId="30" fillId="15" borderId="26" xfId="2" applyNumberFormat="1" applyFont="1" applyFill="1" applyBorder="1" applyAlignment="1">
      <alignment horizontal="center" vertical="center"/>
    </xf>
    <xf numFmtId="0" fontId="30" fillId="15" borderId="74" xfId="2" applyNumberFormat="1" applyFont="1" applyFill="1" applyBorder="1" applyAlignment="1">
      <alignment horizontal="center" vertical="center"/>
    </xf>
    <xf numFmtId="0" fontId="30" fillId="15" borderId="72" xfId="2" applyNumberFormat="1" applyFont="1" applyFill="1" applyBorder="1" applyAlignment="1">
      <alignment horizontal="center" vertical="center"/>
    </xf>
    <xf numFmtId="0" fontId="30" fillId="15" borderId="73" xfId="2" applyNumberFormat="1" applyFont="1" applyFill="1" applyBorder="1" applyAlignment="1">
      <alignment horizontal="center" vertical="center"/>
    </xf>
    <xf numFmtId="0" fontId="30" fillId="15" borderId="85" xfId="2" applyNumberFormat="1" applyFont="1" applyFill="1" applyBorder="1" applyAlignment="1">
      <alignment horizontal="center" vertical="center"/>
    </xf>
    <xf numFmtId="0" fontId="30" fillId="15" borderId="27" xfId="2" applyNumberFormat="1" applyFont="1" applyFill="1" applyBorder="1" applyAlignment="1">
      <alignment horizontal="center" vertical="center"/>
    </xf>
    <xf numFmtId="0" fontId="30" fillId="15" borderId="154" xfId="2" applyNumberFormat="1" applyFont="1" applyFill="1" applyBorder="1" applyAlignment="1">
      <alignment horizontal="center" vertical="center"/>
    </xf>
    <xf numFmtId="0" fontId="30" fillId="15" borderId="195" xfId="2" applyNumberFormat="1" applyFont="1" applyFill="1" applyBorder="1" applyAlignment="1">
      <alignment horizontal="center" vertical="center"/>
    </xf>
    <xf numFmtId="0" fontId="33" fillId="16" borderId="26" xfId="2" applyNumberFormat="1" applyFont="1" applyFill="1" applyBorder="1" applyAlignment="1">
      <alignment horizontal="center" vertical="center"/>
    </xf>
    <xf numFmtId="0" fontId="30" fillId="15" borderId="35" xfId="2" applyNumberFormat="1" applyFont="1" applyFill="1" applyBorder="1" applyAlignment="1">
      <alignment horizontal="center" vertical="center" wrapText="1"/>
    </xf>
    <xf numFmtId="0" fontId="30" fillId="15" borderId="44" xfId="2" applyNumberFormat="1" applyFont="1" applyFill="1" applyBorder="1" applyAlignment="1">
      <alignment horizontal="center" vertical="center" wrapText="1"/>
    </xf>
    <xf numFmtId="0" fontId="30" fillId="15" borderId="45" xfId="2" applyNumberFormat="1" applyFont="1" applyFill="1" applyBorder="1" applyAlignment="1">
      <alignment horizontal="center" vertical="center" wrapText="1"/>
    </xf>
    <xf numFmtId="9" fontId="33" fillId="126" borderId="153" xfId="1" applyFont="1" applyFill="1" applyBorder="1" applyAlignment="1">
      <alignment horizontal="center" vertical="center"/>
    </xf>
    <xf numFmtId="9" fontId="33" fillId="126" borderId="153" xfId="2" applyNumberFormat="1" applyFont="1" applyFill="1" applyBorder="1" applyAlignment="1">
      <alignment horizontal="center" vertical="center"/>
    </xf>
    <xf numFmtId="0" fontId="33" fillId="126" borderId="153" xfId="2" applyNumberFormat="1" applyFont="1" applyFill="1" applyBorder="1" applyAlignment="1">
      <alignment horizontal="center" vertical="center"/>
    </xf>
    <xf numFmtId="0" fontId="33" fillId="126" borderId="276" xfId="2" applyNumberFormat="1" applyFont="1" applyFill="1" applyBorder="1" applyAlignment="1">
      <alignment horizontal="center" vertical="center"/>
    </xf>
    <xf numFmtId="0" fontId="33" fillId="16" borderId="154" xfId="2" applyNumberFormat="1" applyFont="1" applyFill="1" applyBorder="1" applyAlignment="1">
      <alignment horizontal="center" vertical="center"/>
    </xf>
    <xf numFmtId="0" fontId="33" fillId="16" borderId="195" xfId="2" applyNumberFormat="1" applyFont="1" applyFill="1" applyBorder="1" applyAlignment="1">
      <alignment horizontal="center" vertical="center"/>
    </xf>
    <xf numFmtId="0" fontId="33" fillId="16" borderId="27" xfId="2" applyNumberFormat="1" applyFont="1" applyFill="1" applyBorder="1" applyAlignment="1">
      <alignment horizontal="center" vertical="center"/>
    </xf>
    <xf numFmtId="0" fontId="33" fillId="16" borderId="278" xfId="2" applyNumberFormat="1" applyFont="1" applyFill="1" applyBorder="1" applyAlignment="1">
      <alignment horizontal="center" vertical="center"/>
    </xf>
    <xf numFmtId="0" fontId="33" fillId="16" borderId="279" xfId="2" applyNumberFormat="1" applyFont="1" applyFill="1" applyBorder="1" applyAlignment="1">
      <alignment horizontal="center" vertical="center"/>
    </xf>
    <xf numFmtId="0" fontId="30" fillId="2" borderId="68" xfId="2" applyNumberFormat="1" applyFont="1" applyFill="1" applyBorder="1" applyAlignment="1">
      <alignment horizontal="center" vertical="center" wrapText="1"/>
    </xf>
    <xf numFmtId="0" fontId="30" fillId="2" borderId="26" xfId="2" applyNumberFormat="1" applyFont="1" applyFill="1" applyBorder="1" applyAlignment="1">
      <alignment horizontal="center" vertical="center" wrapText="1"/>
    </xf>
    <xf numFmtId="0" fontId="30" fillId="2" borderId="85" xfId="2" applyNumberFormat="1" applyFont="1" applyFill="1" applyBorder="1" applyAlignment="1">
      <alignment horizontal="center" vertical="center" wrapText="1"/>
    </xf>
    <xf numFmtId="0" fontId="33" fillId="16" borderId="68" xfId="2" applyNumberFormat="1" applyFont="1" applyFill="1" applyBorder="1" applyAlignment="1">
      <alignment horizontal="center" vertical="center"/>
    </xf>
    <xf numFmtId="0" fontId="33" fillId="16" borderId="277" xfId="2" applyNumberFormat="1" applyFont="1" applyFill="1" applyBorder="1" applyAlignment="1">
      <alignment horizontal="center" vertical="center"/>
    </xf>
    <xf numFmtId="0" fontId="27" fillId="14" borderId="88" xfId="2" applyNumberFormat="1" applyFont="1" applyFill="1" applyBorder="1" applyAlignment="1">
      <alignment horizontal="center" vertical="center"/>
    </xf>
    <xf numFmtId="0" fontId="27" fillId="14" borderId="89" xfId="2" applyNumberFormat="1" applyFont="1" applyFill="1" applyBorder="1" applyAlignment="1">
      <alignment horizontal="center" vertical="center"/>
    </xf>
    <xf numFmtId="0" fontId="27" fillId="11" borderId="54" xfId="2" applyNumberFormat="1" applyFont="1" applyFill="1" applyBorder="1" applyAlignment="1">
      <alignment horizontal="center" vertical="center" wrapText="1"/>
    </xf>
    <xf numFmtId="0" fontId="27" fillId="11" borderId="144" xfId="2" applyNumberFormat="1" applyFont="1" applyFill="1" applyBorder="1" applyAlignment="1">
      <alignment horizontal="center" vertical="center" wrapText="1"/>
    </xf>
    <xf numFmtId="0" fontId="27" fillId="11" borderId="55" xfId="2" applyNumberFormat="1" applyFont="1" applyFill="1" applyBorder="1" applyAlignment="1">
      <alignment horizontal="center" vertical="center" wrapText="1"/>
    </xf>
    <xf numFmtId="0" fontId="27" fillId="11" borderId="61" xfId="2" applyNumberFormat="1" applyFont="1" applyFill="1" applyBorder="1" applyAlignment="1">
      <alignment horizontal="center" vertical="center" wrapText="1"/>
    </xf>
    <xf numFmtId="0" fontId="30" fillId="8" borderId="23" xfId="2" applyNumberFormat="1" applyFont="1" applyFill="1" applyBorder="1" applyAlignment="1">
      <alignment horizontal="left" vertical="center"/>
    </xf>
    <xf numFmtId="0" fontId="30" fillId="8" borderId="25" xfId="2" applyNumberFormat="1" applyFont="1" applyFill="1" applyBorder="1" applyAlignment="1">
      <alignment horizontal="left" vertical="center"/>
    </xf>
    <xf numFmtId="0" fontId="30" fillId="8" borderId="24" xfId="2" applyNumberFormat="1" applyFont="1" applyFill="1" applyBorder="1" applyAlignment="1">
      <alignment horizontal="left" vertical="center"/>
    </xf>
    <xf numFmtId="0" fontId="30" fillId="11" borderId="23" xfId="2" applyNumberFormat="1" applyFont="1" applyFill="1" applyBorder="1" applyAlignment="1">
      <alignment horizontal="center" vertical="center"/>
    </xf>
    <xf numFmtId="0" fontId="30" fillId="11" borderId="24" xfId="2" applyNumberFormat="1" applyFont="1" applyFill="1" applyBorder="1" applyAlignment="1">
      <alignment horizontal="center" vertical="center"/>
    </xf>
    <xf numFmtId="0" fontId="27" fillId="11" borderId="1" xfId="2" applyNumberFormat="1" applyFont="1" applyFill="1" applyBorder="1" applyAlignment="1">
      <alignment horizontal="center" vertical="center" wrapText="1"/>
    </xf>
    <xf numFmtId="0" fontId="27" fillId="11" borderId="8" xfId="2" applyNumberFormat="1" applyFont="1" applyFill="1" applyBorder="1" applyAlignment="1">
      <alignment horizontal="center" vertical="center" wrapText="1"/>
    </xf>
    <xf numFmtId="0" fontId="281" fillId="0" borderId="173" xfId="0" applyFont="1" applyBorder="1" applyAlignment="1">
      <alignment horizontal="left" vertical="center"/>
    </xf>
    <xf numFmtId="0" fontId="280" fillId="127" borderId="0" xfId="0" applyFont="1" applyFill="1" applyAlignment="1">
      <alignment horizontal="center" vertical="center"/>
    </xf>
    <xf numFmtId="0" fontId="13" fillId="0" borderId="200" xfId="36917" applyBorder="1" applyAlignment="1">
      <alignment horizontal="center" vertical="center"/>
    </xf>
    <xf numFmtId="0" fontId="13" fillId="0" borderId="149" xfId="36917" applyBorder="1" applyAlignment="1">
      <alignment horizontal="center" vertical="center"/>
    </xf>
    <xf numFmtId="0" fontId="13" fillId="0" borderId="195" xfId="36917" applyBorder="1" applyAlignment="1">
      <alignment horizontal="center" vertical="center"/>
    </xf>
    <xf numFmtId="0" fontId="5" fillId="0" borderId="15" xfId="36917" applyFont="1" applyBorder="1" applyAlignment="1">
      <alignment horizontal="center" vertical="center"/>
    </xf>
    <xf numFmtId="0" fontId="13" fillId="0" borderId="187" xfId="36917" applyBorder="1" applyAlignment="1">
      <alignment horizontal="center" vertical="center"/>
    </xf>
    <xf numFmtId="295" fontId="13" fillId="0" borderId="199" xfId="36917" applyNumberFormat="1" applyBorder="1" applyAlignment="1">
      <alignment horizontal="center" vertical="center"/>
    </xf>
    <xf numFmtId="295" fontId="13" fillId="0" borderId="9" xfId="36917" applyNumberFormat="1" applyBorder="1" applyAlignment="1">
      <alignment horizontal="center" vertical="center"/>
    </xf>
    <xf numFmtId="0" fontId="6" fillId="0" borderId="13" xfId="36917" applyFont="1" applyBorder="1" applyAlignment="1">
      <alignment horizontal="center" vertical="center"/>
    </xf>
    <xf numFmtId="0" fontId="13" fillId="0" borderId="198" xfId="36917" applyBorder="1" applyAlignment="1">
      <alignment horizontal="center" vertical="center"/>
    </xf>
    <xf numFmtId="0" fontId="12" fillId="0" borderId="225" xfId="36917" applyFont="1" applyBorder="1" applyAlignment="1">
      <alignment horizontal="center" vertical="center"/>
    </xf>
    <xf numFmtId="0" fontId="12" fillId="0" borderId="226" xfId="36917" applyFont="1" applyBorder="1" applyAlignment="1">
      <alignment horizontal="center" vertical="center"/>
    </xf>
    <xf numFmtId="0" fontId="12" fillId="0" borderId="227" xfId="36917" applyFont="1" applyBorder="1" applyAlignment="1">
      <alignment horizontal="center" vertical="center"/>
    </xf>
    <xf numFmtId="0" fontId="4" fillId="0" borderId="15" xfId="36917" applyFont="1" applyBorder="1" applyAlignment="1">
      <alignment horizontal="center" vertical="center"/>
    </xf>
    <xf numFmtId="0" fontId="5" fillId="0" borderId="219" xfId="36917" applyFont="1" applyBorder="1" applyAlignment="1">
      <alignment horizontal="center" vertical="center"/>
    </xf>
    <xf numFmtId="295" fontId="13" fillId="0" borderId="15" xfId="36917" applyNumberFormat="1" applyBorder="1" applyAlignment="1">
      <alignment horizontal="center" vertical="center"/>
    </xf>
    <xf numFmtId="298" fontId="4" fillId="0" borderId="222" xfId="36917" applyNumberFormat="1" applyFont="1" applyBorder="1" applyAlignment="1">
      <alignment horizontal="center" vertical="center"/>
    </xf>
    <xf numFmtId="298" fontId="4" fillId="0" borderId="196" xfId="36917" applyNumberFormat="1" applyFont="1" applyBorder="1" applyAlignment="1">
      <alignment horizontal="center" vertical="center"/>
    </xf>
    <xf numFmtId="298" fontId="4" fillId="0" borderId="224" xfId="36917" applyNumberFormat="1" applyFont="1" applyBorder="1" applyAlignment="1">
      <alignment horizontal="center" vertical="center"/>
    </xf>
    <xf numFmtId="0" fontId="4" fillId="0" borderId="13" xfId="36917" applyFont="1" applyBorder="1" applyAlignment="1">
      <alignment horizontal="center" vertical="center"/>
    </xf>
    <xf numFmtId="0" fontId="5" fillId="0" borderId="198" xfId="36917" applyFont="1" applyBorder="1" applyAlignment="1">
      <alignment horizontal="center" vertical="center"/>
    </xf>
    <xf numFmtId="0" fontId="271" fillId="0" borderId="0" xfId="36917" applyFont="1" applyAlignment="1">
      <alignment horizontal="left" vertical="center"/>
    </xf>
    <xf numFmtId="0" fontId="13" fillId="0" borderId="192" xfId="36917" applyBorder="1" applyAlignment="1">
      <alignment horizontal="right" vertical="center"/>
    </xf>
    <xf numFmtId="0" fontId="13" fillId="123" borderId="153" xfId="36917" applyFill="1" applyBorder="1" applyAlignment="1">
      <alignment horizontal="center" vertical="center"/>
    </xf>
    <xf numFmtId="0" fontId="13" fillId="123" borderId="27" xfId="36917" applyFill="1" applyBorder="1" applyAlignment="1">
      <alignment horizontal="center" vertical="center"/>
    </xf>
    <xf numFmtId="0" fontId="13" fillId="123" borderId="193" xfId="36917" applyFill="1" applyBorder="1" applyAlignment="1">
      <alignment horizontal="center" vertical="center"/>
    </xf>
    <xf numFmtId="0" fontId="13" fillId="123" borderId="194" xfId="36917" applyFill="1" applyBorder="1" applyAlignment="1">
      <alignment horizontal="center" vertical="center"/>
    </xf>
    <xf numFmtId="0" fontId="9" fillId="0" borderId="225" xfId="36917" applyFont="1" applyBorder="1" applyAlignment="1">
      <alignment horizontal="center" vertical="center" wrapText="1"/>
    </xf>
    <xf numFmtId="0" fontId="13" fillId="0" borderId="226" xfId="36917" applyBorder="1" applyAlignment="1">
      <alignment horizontal="center" vertical="center"/>
    </xf>
    <xf numFmtId="0" fontId="13" fillId="0" borderId="227" xfId="36917" applyBorder="1" applyAlignment="1">
      <alignment horizontal="center" vertical="center"/>
    </xf>
    <xf numFmtId="0" fontId="13" fillId="0" borderId="13" xfId="36917" applyBorder="1" applyAlignment="1">
      <alignment horizontal="center" vertical="center"/>
    </xf>
    <xf numFmtId="0" fontId="13" fillId="0" borderId="15" xfId="36917" applyBorder="1" applyAlignment="1">
      <alignment horizontal="center" vertical="center"/>
    </xf>
    <xf numFmtId="0" fontId="10" fillId="0" borderId="15" xfId="36917" applyFont="1" applyBorder="1" applyAlignment="1">
      <alignment horizontal="center" vertical="center"/>
    </xf>
    <xf numFmtId="0" fontId="13" fillId="0" borderId="219" xfId="36917" applyBorder="1" applyAlignment="1">
      <alignment horizontal="center" vertical="center"/>
    </xf>
    <xf numFmtId="0" fontId="13" fillId="0" borderId="220" xfId="36917" applyBorder="1" applyAlignment="1">
      <alignment horizontal="center" vertical="center"/>
    </xf>
    <xf numFmtId="0" fontId="13" fillId="0" borderId="140" xfId="36917" applyBorder="1" applyAlignment="1">
      <alignment horizontal="center" vertical="center"/>
    </xf>
    <xf numFmtId="0" fontId="13" fillId="0" borderId="97" xfId="36917" applyBorder="1" applyAlignment="1">
      <alignment horizontal="center" vertical="center"/>
    </xf>
    <xf numFmtId="0" fontId="0" fillId="0" borderId="0" xfId="0" applyAlignment="1">
      <alignment horizontal="center"/>
    </xf>
    <xf numFmtId="0" fontId="291" fillId="131" borderId="0" xfId="36933" applyFont="1" applyFill="1" applyAlignment="1">
      <alignment horizontal="center" vertical="center"/>
    </xf>
    <xf numFmtId="304" fontId="293" fillId="132" borderId="300" xfId="0" applyNumberFormat="1" applyFont="1" applyFill="1" applyBorder="1" applyAlignment="1">
      <alignment horizontal="center" vertical="center"/>
    </xf>
    <xf numFmtId="304" fontId="293" fillId="132" borderId="154" xfId="0" applyNumberFormat="1" applyFont="1" applyFill="1" applyBorder="1" applyAlignment="1">
      <alignment horizontal="center" vertical="center"/>
    </xf>
    <xf numFmtId="304" fontId="293" fillId="132" borderId="195" xfId="0" applyNumberFormat="1" applyFont="1" applyFill="1" applyBorder="1" applyAlignment="1">
      <alignment horizontal="center" vertical="center"/>
    </xf>
    <xf numFmtId="0" fontId="293" fillId="0" borderId="300" xfId="0" applyFont="1" applyBorder="1" applyAlignment="1">
      <alignment horizontal="center" vertical="center"/>
    </xf>
    <xf numFmtId="0" fontId="293" fillId="0" borderId="154" xfId="0" applyFont="1" applyBorder="1" applyAlignment="1">
      <alignment horizontal="center" vertical="center"/>
    </xf>
    <xf numFmtId="0" fontId="293" fillId="0" borderId="195" xfId="0" applyFont="1" applyBorder="1" applyAlignment="1">
      <alignment horizontal="center" vertical="center"/>
    </xf>
    <xf numFmtId="0" fontId="293" fillId="0" borderId="30" xfId="0" applyFont="1" applyBorder="1" applyAlignment="1">
      <alignment horizontal="center" vertical="center"/>
    </xf>
    <xf numFmtId="0" fontId="293" fillId="0" borderId="252" xfId="0" applyFont="1" applyBorder="1" applyAlignment="1">
      <alignment horizontal="center" vertical="center"/>
    </xf>
    <xf numFmtId="177" fontId="30" fillId="11" borderId="72" xfId="2" applyNumberFormat="1" applyFont="1" applyFill="1" applyBorder="1" applyAlignment="1">
      <alignment horizontal="center" vertical="center"/>
    </xf>
    <xf numFmtId="177" fontId="30" fillId="11" borderId="75" xfId="2" applyNumberFormat="1" applyFont="1" applyFill="1" applyBorder="1" applyAlignment="1">
      <alignment horizontal="center" vertical="center"/>
    </xf>
    <xf numFmtId="10" fontId="30" fillId="0" borderId="0" xfId="2" applyNumberFormat="1" applyFont="1" applyBorder="1" applyAlignment="1">
      <alignment vertical="center"/>
    </xf>
  </cellXfs>
  <cellStyles count="36935">
    <cellStyle name="          _x000d__x000a_386grabber=vga.3gr_x000d__x000a_" xfId="35879"/>
    <cellStyle name="          _x000d__x000a_mouse.drv=lmouse.drv" xfId="35880"/>
    <cellStyle name="$" xfId="35023"/>
    <cellStyle name="$_db진흥" xfId="35024"/>
    <cellStyle name="$_견적2" xfId="35025"/>
    <cellStyle name="$_기아" xfId="35026"/>
    <cellStyle name="_x0002_._x0011__x0002_._x001b__x0002_ _x0015_%_x0018__x0001_" xfId="35881"/>
    <cellStyle name=".000" xfId="35882"/>
    <cellStyle name="?? [0]_??? " xfId="35883"/>
    <cellStyle name="??&amp;O?&amp;H?_x0008__x000f__x0007_?_x0007__x0001__x0001_" xfId="8"/>
    <cellStyle name="??&amp;O?&amp;H?_x0008__x000f__x0007_?_x0007__x0001__x0001_ 2" xfId="187"/>
    <cellStyle name="??&amp;O?&amp;H?_x0008__x000f__x0007_?_x0007__x0001__x0001_ 2 2" xfId="17330"/>
    <cellStyle name="??&amp;O?&amp;H?_x0008__x000f__x0007_?_x0007__x0001__x0001_ 3" xfId="17184"/>
    <cellStyle name="??&amp;O?&amp;H?_x0008__x000f__x0007_?_x0007__x0001__x0001_ 4" xfId="35027"/>
    <cellStyle name="??&amp;O?&amp;H?_x0008_??_x0007__x0001__x0001_" xfId="9"/>
    <cellStyle name="??&amp;O?&amp;H?_x0008_??_x0007__x0001__x0001_ 2" xfId="188"/>
    <cellStyle name="??&amp;O?&amp;H?_x0008_??_x0007__x0001__x0001_ 2 2" xfId="17331"/>
    <cellStyle name="??&amp;O?&amp;H?_x0008_??_x0007__x0001__x0001_ 3" xfId="17185"/>
    <cellStyle name="??&amp;O?&amp;H?_x0008_??_x0007__x0001__x0001_ 4" xfId="35028"/>
    <cellStyle name="???­ [0]_INQUIRY ¿?¾÷?ß?ø " xfId="35029"/>
    <cellStyle name="???­_INQUIRY ¿?¾÷?ß?ø " xfId="35030"/>
    <cellStyle name="???Ø_??°???(2¿?) " xfId="35031"/>
    <cellStyle name="??_??? " xfId="35884"/>
    <cellStyle name="?_x000f__x0001_?잡_x0002_" xfId="35885"/>
    <cellStyle name="?Þ¸¶ [0]_INQUIRY ¿?¾÷?ß?ø " xfId="35032"/>
    <cellStyle name="?Þ¸¶_INQUIRY ¿?¾÷?ß?ø " xfId="35033"/>
    <cellStyle name="?핺_CASH FLOW " xfId="35886"/>
    <cellStyle name="_03 2003년1분기매출" xfId="35887"/>
    <cellStyle name="_03매출조서" xfId="35888"/>
    <cellStyle name="_03자본(에피온)" xfId="35889"/>
    <cellStyle name="_06 진행율_회사에 검토요청_030310" xfId="35890"/>
    <cellStyle name="_1분기결산자료_030421" xfId="35891"/>
    <cellStyle name="_2.조서(대원씨아이)" xfId="35892"/>
    <cellStyle name="_2002 퇴직금 추계액 (Organon)" xfId="35893"/>
    <cellStyle name="_2002년말진행중프로젝트타임시트" xfId="35894"/>
    <cellStyle name="_2003년1분기매출" xfId="35895"/>
    <cellStyle name="_2기lead" xfId="35896"/>
    <cellStyle name="_8340 인건비 Overall test" xfId="35897"/>
    <cellStyle name="_99 Lead" xfId="35898"/>
    <cellStyle name="_AJE List(CLOSING)-2002-필드철수" xfId="35899"/>
    <cellStyle name="_AJELIST(데이타존)0311" xfId="35900"/>
    <cellStyle name="_AJELIST(데이타존)0312-법인세 비용 가안 반영" xfId="35901"/>
    <cellStyle name="_CASH117" xfId="35902"/>
    <cellStyle name="_cfsrealfinal" xfId="35903"/>
    <cellStyle name="_cssh0206" xfId="35904"/>
    <cellStyle name="_kjh만서기업 기말감사 정산표(2004.02.04)_closing" xfId="35905"/>
    <cellStyle name="_PQT" xfId="35906"/>
    <cellStyle name="_PQT_1" xfId="35907"/>
    <cellStyle name="_PREDI AJE-V1" xfId="35908"/>
    <cellStyle name="_ProtexScoreSheet_2001" xfId="35909"/>
    <cellStyle name="_RHD (2)" xfId="35910"/>
    <cellStyle name="_RHD (2)_1" xfId="35911"/>
    <cellStyle name="_Scoresheet_신안전자0721" xfId="35912"/>
    <cellStyle name="_SK Corp_01 3 반기_투자자산(투유제외)" xfId="35913"/>
    <cellStyle name="_SK Corp_01 3 분기 투자유가증권" xfId="35914"/>
    <cellStyle name="_SK Corp_01반기_장단기차입금" xfId="35915"/>
    <cellStyle name="_sk 조정구파트" xfId="35916"/>
    <cellStyle name="_WP(서일실사)" xfId="35917"/>
    <cellStyle name="_감사지적사항수정안_개별_오류수정_030306" xfId="35918"/>
    <cellStyle name="_경북 AJE List(필드철수)" xfId="35919"/>
    <cellStyle name="_교보증권 57기 - 조정구파트" xfId="35920"/>
    <cellStyle name="_글로벌텔레콤leadsheet (2004-3-15)" xfId="35921"/>
    <cellStyle name="_금형" xfId="35922"/>
    <cellStyle name="_기말AJList_글맥학원0306" xfId="35923"/>
    <cellStyle name="_김동언조서" xfId="35924"/>
    <cellStyle name="_대원씨아이 반기조서(2002.8.5)" xfId="35925"/>
    <cellStyle name="_대원씨아이 정산표(2002.8.5)" xfId="35926"/>
    <cellStyle name="_드림미르 조서 통합0203" xfId="35927"/>
    <cellStyle name="_리누딕스 수정사항 집계-CLOSING" xfId="35928"/>
    <cellStyle name="_만서기업 AJE List(2002.1.31)" xfId="35929"/>
    <cellStyle name="_만서기업 AJE List(2002.1.31)_01" xfId="35930"/>
    <cellStyle name="_만서기업 현금흐름표(2002.2.15)" xfId="35931"/>
    <cellStyle name="_매입채무 및 매출원가조서(아이시스테크놀러지_2001)" xfId="35932"/>
    <cellStyle name="_모인소프트 Score sheet_0304" xfId="35933"/>
    <cellStyle name="_부산케이블 AJE List(2002.2.23)" xfId="35934"/>
    <cellStyle name="_분석조서 손익-tklee" xfId="35935"/>
    <cellStyle name="_삼영중간" xfId="35936"/>
    <cellStyle name="_샤시 (2)" xfId="35937"/>
    <cellStyle name="_샤시 (2)_1" xfId="35938"/>
    <cellStyle name="_샤시 (2)_2" xfId="35939"/>
    <cellStyle name="_서일DDR" xfId="35940"/>
    <cellStyle name="_수정사항 final-meeting 후" xfId="35941"/>
    <cellStyle name="_신안전자정산표0723" xfId="35942"/>
    <cellStyle name="_신일제약 조정구 분석조서(1)" xfId="35943"/>
    <cellStyle name="_써니벨테크 AJE List(2002.3.23)" xfId="35944"/>
    <cellStyle name="_써니벨테크 현금흐름표(2002.4.4)" xfId="35945"/>
    <cellStyle name="_씨팔마지막" xfId="35946"/>
    <cellStyle name="_아산제약 조정구 파트" xfId="35947"/>
    <cellStyle name="_아이시스네트 정산표_20020301_2_이연법인세 조정의 백업" xfId="35948"/>
    <cellStyle name="_어봉환" xfId="35949"/>
    <cellStyle name="_에카매출조서(홍)-2003.1.13" xfId="35950"/>
    <cellStyle name="_엑셈정산표0204" xfId="35951"/>
    <cellStyle name="_엘케이에프에스 기말조서_hes(2002.4.24)" xfId="35952"/>
    <cellStyle name="_오픈비즈기말조서0226" xfId="35953"/>
    <cellStyle name="_우리방송 수정사항 최종본 (2003년)" xfId="35954"/>
    <cellStyle name="_이모션반기조서0804" xfId="35955"/>
    <cellStyle name="_정산표 및 수정분개" xfId="35956"/>
    <cellStyle name="_정산표 및 현금흐름표_글맥_0423_sh" xfId="35957"/>
    <cellStyle name="_정산표(20040721_임범석)-손익포함" xfId="35958"/>
    <cellStyle name="_정산표(20040722_임범석)" xfId="35959"/>
    <cellStyle name="_정산표(글로벌아이엔씨2002_0307)_ksw" xfId="35960"/>
    <cellStyle name="_정산표(낙스넷2002_030227)_황정식ssn" xfId="35961"/>
    <cellStyle name="_정산표(바이오톡스텍)0129" xfId="35962"/>
    <cellStyle name="_정산표0805_법인세부분추가" xfId="35963"/>
    <cellStyle name="_제8기 결산명세서" xfId="35964"/>
    <cellStyle name="_제니아크v1" xfId="35965"/>
    <cellStyle name="_주식평가조서_삼원화성_0517_5" xfId="35966"/>
    <cellStyle name="_주요경영지표(엑셈)" xfId="35967"/>
    <cellStyle name="_주요경영지표(피델릭스)" xfId="35968"/>
    <cellStyle name="_증권전산정산표-2003.2.3" xfId="35969"/>
    <cellStyle name="_차체 (2)" xfId="35970"/>
    <cellStyle name="_차체 (2)_1" xfId="35971"/>
    <cellStyle name="_최종 분석조서 2001 3 분기" xfId="35972"/>
    <cellStyle name="_코아매직정산표&amp;CF(2003.2.6_hsj)" xfId="35973"/>
    <cellStyle name="_코아코아02" xfId="35974"/>
    <cellStyle name="_클로징정리한파일" xfId="35975"/>
    <cellStyle name="_투자비 추정_하이퐁(대안1)_v11" xfId="35976"/>
    <cellStyle name="_프로젝트지연율_030724" xfId="35977"/>
    <cellStyle name="_한경비피조서0216" xfId="35978"/>
    <cellStyle name="_현금흐름표 교육자료 021129" xfId="35979"/>
    <cellStyle name="_현금흐름표두번째" xfId="35980"/>
    <cellStyle name="¤@?e_TEST-1 " xfId="35034"/>
    <cellStyle name="¤d¤A|i[0]_RESULTS" xfId="35981"/>
    <cellStyle name="¤d¤A|i_RESULTS" xfId="35982"/>
    <cellStyle name="=C:\WINNT35\SYSTEM32\COMMAND.COM" xfId="35035"/>
    <cellStyle name="᠀ŀ" xfId="35983"/>
    <cellStyle name="᠀ŀŀ䅀᠀ŀŀ䅀᠀ŀ" xfId="35984"/>
    <cellStyle name="᠀ŀŀ䅀᠀ŀŀ䅀᠀ŀŀ䅀᠀ŀŀ䅀᠀ŀŀ䅀᠀ŀŀ䅀᠀ŀŀ䅀᠀ŀŀ䅀᠀ŀŀ䅀᠀ŀ" xfId="35985"/>
    <cellStyle name="ÊÝ [0.00]_PRODUCT DETAIL Q1" xfId="108"/>
    <cellStyle name="ÊÝ_PRODUCT DETAIL Q1" xfId="109"/>
    <cellStyle name="W?_BOOKSHIP" xfId="131"/>
    <cellStyle name="0" xfId="35986"/>
    <cellStyle name="0.0" xfId="35987"/>
    <cellStyle name="16" xfId="35988"/>
    <cellStyle name="¹eºÐA²_±aA¸" xfId="35989"/>
    <cellStyle name="20% - Accent1" xfId="35990"/>
    <cellStyle name="20% - Accent2" xfId="35991"/>
    <cellStyle name="20% - Accent3" xfId="35992"/>
    <cellStyle name="20% - Accent4" xfId="35993"/>
    <cellStyle name="20% - Accent5" xfId="35994"/>
    <cellStyle name="20% - Accent6" xfId="35995"/>
    <cellStyle name="20% - 강조색1 2" xfId="189"/>
    <cellStyle name="20% - 강조색1 2 2" xfId="17332"/>
    <cellStyle name="20% - 강조색1 2 3" xfId="35036"/>
    <cellStyle name="20% - 강조색1 3" xfId="507"/>
    <cellStyle name="20% - 강조색1 3 2" xfId="17650"/>
    <cellStyle name="20% - 강조색1 3 3" xfId="35037"/>
    <cellStyle name="20% - 강조색1 4" xfId="2450"/>
    <cellStyle name="20% - 강조색1 4 2" xfId="19593"/>
    <cellStyle name="20% - 강조색1 4 3" xfId="35038"/>
    <cellStyle name="20% - 강조색1 5" xfId="10"/>
    <cellStyle name="20% - 강조색1 5 2" xfId="17186"/>
    <cellStyle name="20% - 강조색2 2" xfId="190"/>
    <cellStyle name="20% - 강조색2 2 2" xfId="17333"/>
    <cellStyle name="20% - 강조색2 2 3" xfId="35039"/>
    <cellStyle name="20% - 강조색2 3" xfId="508"/>
    <cellStyle name="20% - 강조색2 3 2" xfId="17651"/>
    <cellStyle name="20% - 강조색2 3 3" xfId="35040"/>
    <cellStyle name="20% - 강조색2 4" xfId="2451"/>
    <cellStyle name="20% - 강조색2 4 2" xfId="19594"/>
    <cellStyle name="20% - 강조색2 4 3" xfId="35041"/>
    <cellStyle name="20% - 강조색2 5" xfId="11"/>
    <cellStyle name="20% - 강조색2 5 2" xfId="17187"/>
    <cellStyle name="20% - 강조색3 2" xfId="191"/>
    <cellStyle name="20% - 강조색3 2 2" xfId="17334"/>
    <cellStyle name="20% - 강조색3 2 3" xfId="35042"/>
    <cellStyle name="20% - 강조색3 3" xfId="509"/>
    <cellStyle name="20% - 강조색3 3 2" xfId="17652"/>
    <cellStyle name="20% - 강조색3 3 3" xfId="35043"/>
    <cellStyle name="20% - 강조색3 4" xfId="2452"/>
    <cellStyle name="20% - 강조색3 4 2" xfId="19595"/>
    <cellStyle name="20% - 강조색3 4 3" xfId="35044"/>
    <cellStyle name="20% - 강조색3 5" xfId="12"/>
    <cellStyle name="20% - 강조색3 5 2" xfId="17188"/>
    <cellStyle name="20% - 강조색4 2" xfId="192"/>
    <cellStyle name="20% - 강조색4 2 2" xfId="17335"/>
    <cellStyle name="20% - 강조색4 2 3" xfId="35045"/>
    <cellStyle name="20% - 강조색4 3" xfId="510"/>
    <cellStyle name="20% - 강조색4 3 2" xfId="17653"/>
    <cellStyle name="20% - 강조색4 3 3" xfId="35046"/>
    <cellStyle name="20% - 강조색4 4" xfId="2453"/>
    <cellStyle name="20% - 강조색4 4 2" xfId="19596"/>
    <cellStyle name="20% - 강조색4 4 3" xfId="35047"/>
    <cellStyle name="20% - 강조색4 5" xfId="13"/>
    <cellStyle name="20% - 강조색4 5 2" xfId="17189"/>
    <cellStyle name="20% - 강조색5 2" xfId="193"/>
    <cellStyle name="20% - 강조색5 2 2" xfId="17336"/>
    <cellStyle name="20% - 강조색5 2 3" xfId="35048"/>
    <cellStyle name="20% - 강조색5 3" xfId="511"/>
    <cellStyle name="20% - 강조색5 3 2" xfId="17654"/>
    <cellStyle name="20% - 강조색5 3 3" xfId="35049"/>
    <cellStyle name="20% - 강조색5 4" xfId="2454"/>
    <cellStyle name="20% - 강조색5 4 2" xfId="19597"/>
    <cellStyle name="20% - 강조색5 4 3" xfId="35050"/>
    <cellStyle name="20% - 강조색5 5" xfId="14"/>
    <cellStyle name="20% - 강조색5 5 2" xfId="17190"/>
    <cellStyle name="20% - 강조색6 2" xfId="194"/>
    <cellStyle name="20% - 강조색6 2 2" xfId="17337"/>
    <cellStyle name="20% - 강조색6 2 3" xfId="35051"/>
    <cellStyle name="20% - 강조색6 3" xfId="512"/>
    <cellStyle name="20% - 강조색6 3 2" xfId="17655"/>
    <cellStyle name="20% - 강조색6 3 3" xfId="35052"/>
    <cellStyle name="20% - 강조색6 4" xfId="2455"/>
    <cellStyle name="20% - 강조색6 4 2" xfId="19598"/>
    <cellStyle name="20% - 강조색6 4 3" xfId="35053"/>
    <cellStyle name="20% - 강조색6 5" xfId="15"/>
    <cellStyle name="20% - 강조색6 5 2" xfId="17191"/>
    <cellStyle name="³f¹o [0]_RESULTS" xfId="35996"/>
    <cellStyle name="³f¹o_RESULTS" xfId="35997"/>
    <cellStyle name="40% - Accent1" xfId="35998"/>
    <cellStyle name="40% - Accent2" xfId="35999"/>
    <cellStyle name="40% - Accent3" xfId="36000"/>
    <cellStyle name="40% - Accent4" xfId="36001"/>
    <cellStyle name="40% - Accent5" xfId="36002"/>
    <cellStyle name="40% - Accent6" xfId="36003"/>
    <cellStyle name="40% - 강조색1 2" xfId="195"/>
    <cellStyle name="40% - 강조색1 2 2" xfId="17338"/>
    <cellStyle name="40% - 강조색1 2 3" xfId="35054"/>
    <cellStyle name="40% - 강조색1 3" xfId="513"/>
    <cellStyle name="40% - 강조색1 3 2" xfId="17656"/>
    <cellStyle name="40% - 강조색1 3 3" xfId="35055"/>
    <cellStyle name="40% - 강조색1 4" xfId="2456"/>
    <cellStyle name="40% - 강조색1 4 2" xfId="19599"/>
    <cellStyle name="40% - 강조색1 4 3" xfId="35056"/>
    <cellStyle name="40% - 강조색1 5" xfId="16"/>
    <cellStyle name="40% - 강조색1 5 2" xfId="17192"/>
    <cellStyle name="40% - 강조색2 2" xfId="196"/>
    <cellStyle name="40% - 강조색2 2 2" xfId="17339"/>
    <cellStyle name="40% - 강조색2 2 3" xfId="35057"/>
    <cellStyle name="40% - 강조색2 3" xfId="514"/>
    <cellStyle name="40% - 강조색2 3 2" xfId="17657"/>
    <cellStyle name="40% - 강조색2 3 3" xfId="35058"/>
    <cellStyle name="40% - 강조색2 4" xfId="2457"/>
    <cellStyle name="40% - 강조색2 4 2" xfId="19600"/>
    <cellStyle name="40% - 강조색2 4 3" xfId="35059"/>
    <cellStyle name="40% - 강조색2 5" xfId="17"/>
    <cellStyle name="40% - 강조색2 5 2" xfId="17193"/>
    <cellStyle name="40% - 강조색3 2" xfId="197"/>
    <cellStyle name="40% - 강조색3 2 2" xfId="17340"/>
    <cellStyle name="40% - 강조색3 2 3" xfId="35060"/>
    <cellStyle name="40% - 강조색3 3" xfId="515"/>
    <cellStyle name="40% - 강조색3 3 2" xfId="17658"/>
    <cellStyle name="40% - 강조색3 3 3" xfId="35061"/>
    <cellStyle name="40% - 강조색3 4" xfId="2458"/>
    <cellStyle name="40% - 강조색3 4 2" xfId="19601"/>
    <cellStyle name="40% - 강조색3 4 3" xfId="35062"/>
    <cellStyle name="40% - 강조색3 5" xfId="18"/>
    <cellStyle name="40% - 강조색3 5 2" xfId="17194"/>
    <cellStyle name="40% - 강조색4 2" xfId="198"/>
    <cellStyle name="40% - 강조색4 2 2" xfId="17341"/>
    <cellStyle name="40% - 강조색4 2 3" xfId="35063"/>
    <cellStyle name="40% - 강조색4 3" xfId="516"/>
    <cellStyle name="40% - 강조색4 3 2" xfId="17659"/>
    <cellStyle name="40% - 강조색4 3 3" xfId="35064"/>
    <cellStyle name="40% - 강조색4 4" xfId="2459"/>
    <cellStyle name="40% - 강조색4 4 2" xfId="19602"/>
    <cellStyle name="40% - 강조색4 4 3" xfId="35065"/>
    <cellStyle name="40% - 강조색4 5" xfId="19"/>
    <cellStyle name="40% - 강조색4 5 2" xfId="17195"/>
    <cellStyle name="40% - 강조색5 2" xfId="199"/>
    <cellStyle name="40% - 강조색5 2 2" xfId="17342"/>
    <cellStyle name="40% - 강조색5 2 3" xfId="35066"/>
    <cellStyle name="40% - 강조색5 3" xfId="517"/>
    <cellStyle name="40% - 강조색5 3 2" xfId="17660"/>
    <cellStyle name="40% - 강조색5 3 3" xfId="35067"/>
    <cellStyle name="40% - 강조색5 4" xfId="2460"/>
    <cellStyle name="40% - 강조색5 4 2" xfId="19603"/>
    <cellStyle name="40% - 강조색5 4 3" xfId="35068"/>
    <cellStyle name="40% - 강조색5 5" xfId="20"/>
    <cellStyle name="40% - 강조색5 5 2" xfId="17196"/>
    <cellStyle name="40% - 강조색6 2" xfId="200"/>
    <cellStyle name="40% - 강조색6 2 2" xfId="17343"/>
    <cellStyle name="40% - 강조색6 2 3" xfId="35069"/>
    <cellStyle name="40% - 강조색6 3" xfId="518"/>
    <cellStyle name="40% - 강조색6 3 2" xfId="17661"/>
    <cellStyle name="40% - 강조색6 3 3" xfId="35070"/>
    <cellStyle name="40% - 강조색6 4" xfId="2461"/>
    <cellStyle name="40% - 강조색6 4 2" xfId="19604"/>
    <cellStyle name="40% - 강조색6 4 3" xfId="35071"/>
    <cellStyle name="40% - 강조색6 5" xfId="21"/>
    <cellStyle name="40% - 강조색6 5 2" xfId="17197"/>
    <cellStyle name="60" xfId="36004"/>
    <cellStyle name="60% - Accent1" xfId="36005"/>
    <cellStyle name="60% - Accent2" xfId="36006"/>
    <cellStyle name="60% - Accent3" xfId="36007"/>
    <cellStyle name="60% - Accent4" xfId="36008"/>
    <cellStyle name="60% - Accent5" xfId="36009"/>
    <cellStyle name="60% - Accent6" xfId="36010"/>
    <cellStyle name="60% - 강조색1 2" xfId="201"/>
    <cellStyle name="60% - 강조색1 2 2" xfId="17344"/>
    <cellStyle name="60% - 강조색1 2 3" xfId="35072"/>
    <cellStyle name="60% - 강조색1 3" xfId="519"/>
    <cellStyle name="60% - 강조색1 3 2" xfId="17662"/>
    <cellStyle name="60% - 강조색1 3 3" xfId="35073"/>
    <cellStyle name="60% - 강조색1 4" xfId="2462"/>
    <cellStyle name="60% - 강조색1 4 2" xfId="19605"/>
    <cellStyle name="60% - 강조색1 4 3" xfId="35074"/>
    <cellStyle name="60% - 강조색1 5" xfId="22"/>
    <cellStyle name="60% - 강조색1 5 2" xfId="17198"/>
    <cellStyle name="60% - 강조색2 2" xfId="202"/>
    <cellStyle name="60% - 강조색2 2 2" xfId="17345"/>
    <cellStyle name="60% - 강조색2 2 3" xfId="35075"/>
    <cellStyle name="60% - 강조색2 3" xfId="520"/>
    <cellStyle name="60% - 강조색2 3 2" xfId="17663"/>
    <cellStyle name="60% - 강조색2 3 3" xfId="35076"/>
    <cellStyle name="60% - 강조색2 4" xfId="2463"/>
    <cellStyle name="60% - 강조색2 4 2" xfId="19606"/>
    <cellStyle name="60% - 강조색2 4 3" xfId="35077"/>
    <cellStyle name="60% - 강조색2 5" xfId="23"/>
    <cellStyle name="60% - 강조색2 5 2" xfId="17199"/>
    <cellStyle name="60% - 강조색3 2" xfId="203"/>
    <cellStyle name="60% - 강조색3 2 2" xfId="17346"/>
    <cellStyle name="60% - 강조색3 2 3" xfId="35078"/>
    <cellStyle name="60% - 강조색3 3" xfId="521"/>
    <cellStyle name="60% - 강조색3 3 2" xfId="17664"/>
    <cellStyle name="60% - 강조색3 3 3" xfId="35079"/>
    <cellStyle name="60% - 강조색3 4" xfId="2464"/>
    <cellStyle name="60% - 강조색3 4 2" xfId="19607"/>
    <cellStyle name="60% - 강조색3 4 3" xfId="35080"/>
    <cellStyle name="60% - 강조색3 5" xfId="24"/>
    <cellStyle name="60% - 강조색3 5 2" xfId="17200"/>
    <cellStyle name="60% - 강조색4 2" xfId="204"/>
    <cellStyle name="60% - 강조색4 2 2" xfId="17347"/>
    <cellStyle name="60% - 강조색4 2 3" xfId="35081"/>
    <cellStyle name="60% - 강조색4 3" xfId="522"/>
    <cellStyle name="60% - 강조색4 3 2" xfId="17665"/>
    <cellStyle name="60% - 강조색4 3 3" xfId="35082"/>
    <cellStyle name="60% - 강조색4 4" xfId="2465"/>
    <cellStyle name="60% - 강조색4 4 2" xfId="19608"/>
    <cellStyle name="60% - 강조색4 4 3" xfId="35083"/>
    <cellStyle name="60% - 강조색4 5" xfId="25"/>
    <cellStyle name="60% - 강조색4 5 2" xfId="17201"/>
    <cellStyle name="60% - 강조색5 2" xfId="205"/>
    <cellStyle name="60% - 강조색5 2 2" xfId="17348"/>
    <cellStyle name="60% - 강조색5 2 3" xfId="35084"/>
    <cellStyle name="60% - 강조색5 3" xfId="523"/>
    <cellStyle name="60% - 강조색5 3 2" xfId="17666"/>
    <cellStyle name="60% - 강조색5 3 3" xfId="35085"/>
    <cellStyle name="60% - 강조색5 4" xfId="2466"/>
    <cellStyle name="60% - 강조색5 4 2" xfId="19609"/>
    <cellStyle name="60% - 강조색5 4 3" xfId="35086"/>
    <cellStyle name="60% - 강조색5 5" xfId="26"/>
    <cellStyle name="60% - 강조색5 5 2" xfId="17202"/>
    <cellStyle name="60% - 강조색6 2" xfId="206"/>
    <cellStyle name="60% - 강조색6 2 2" xfId="17349"/>
    <cellStyle name="60% - 강조색6 2 3" xfId="35087"/>
    <cellStyle name="60% - 강조색6 3" xfId="524"/>
    <cellStyle name="60% - 강조색6 3 2" xfId="17667"/>
    <cellStyle name="60% - 강조색6 3 3" xfId="35088"/>
    <cellStyle name="60% - 강조색6 4" xfId="2467"/>
    <cellStyle name="60% - 강조색6 4 2" xfId="19610"/>
    <cellStyle name="60% - 강조색6 4 3" xfId="35089"/>
    <cellStyle name="60% - 강조색6 5" xfId="27"/>
    <cellStyle name="60% - 강조색6 5 2" xfId="17203"/>
    <cellStyle name="82" xfId="133"/>
    <cellStyle name="82 2" xfId="279"/>
    <cellStyle name="82 2 2" xfId="17422"/>
    <cellStyle name="82 3" xfId="17280"/>
    <cellStyle name="A¡§¡©¡Ë¡þ¡ËO [0]_¡§¢®AC¢®IAo_¢®¨¡eE¨Ïo3 " xfId="36011"/>
    <cellStyle name="A¡§¡©¡Ë¡þ¡ËO_¡§¢®AC¢®IAo_¢®¨¡eE¨Ïo3 " xfId="36012"/>
    <cellStyle name="A¡§¡ⓒ¡E¡þ¡EO [0]_¡§uoAa¡§oCAu " xfId="85"/>
    <cellStyle name="A¡§¡ⓒ¡E¡þ¡EO_¡§uoAa¡§oCAu " xfId="86"/>
    <cellStyle name="A¨­???O [0]_??nA¡A???:read" xfId="36013"/>
    <cellStyle name="A¨­???O_??nA¡ARSONAL_1" xfId="36014"/>
    <cellStyle name="A¨­￠￢￠O [0]_ ¨¡?¨¡CAⓒ­¨￢¡Æ " xfId="87"/>
    <cellStyle name="A¨­¢¬¢Ò [0]_¡ÆeE©ö3 " xfId="36015"/>
    <cellStyle name="A¨­￠￢￠O [0]_￠￢nA¡A呅砮獬:read" xfId="36016"/>
    <cellStyle name="A¨­¢¬¢Ò [0]_2¢¯u¢¬AAa " xfId="36017"/>
    <cellStyle name="A¨­￠￢￠O [0]_AI￠?ⓒªCoEⓒ÷ead-only?" xfId="36018"/>
    <cellStyle name="A¨­¢¬¢Ò [0]_AI¢¯©ªCoE©÷" xfId="36019"/>
    <cellStyle name="A¨­￠￢￠O [0]_COVERªCoEⓒ" xfId="36020"/>
    <cellStyle name="A¨­¢¬¢Ò [0]_INQUIRY ¢¯¥ì¨ú¡ÀA©¬A©ª " xfId="36021"/>
    <cellStyle name="A¨­￠￢￠O [0]_larouxCoEⓒ÷" xfId="36022"/>
    <cellStyle name="A¨­¢¬¢Ò [0]_PERSONAL" xfId="36023"/>
    <cellStyle name="A¨­￠￢￠O [0]_PERSONAL_1÷ead-" xfId="36024"/>
    <cellStyle name="A¨­¢¬¢Ò [0]_RESULTS" xfId="36025"/>
    <cellStyle name="A¨­￠￢￠O_ ¨¡?¨¡CAⓒ­¨￢¡Æ " xfId="88"/>
    <cellStyle name="A¨­¢¬¢Ò_¡ÆeE©ö3 " xfId="36026"/>
    <cellStyle name="A¨­￠￢￠O_￠￢nA¡ARSONAL_1" xfId="36027"/>
    <cellStyle name="A¨­¢¬¢Ò_2¢¯u¢¬AAa " xfId="36028"/>
    <cellStyle name="A¨­￠￢￠O_AI￠?ⓒªCoEⓒ÷L_1÷ead-on" xfId="36029"/>
    <cellStyle name="A¨­¢¬¢Ò_AI¢¯©ªCoE©÷" xfId="36030"/>
    <cellStyle name="A¨­￠￢￠O_COVERªCoEⓒ" xfId="36031"/>
    <cellStyle name="A¨­¢¬¢Ò_INQUIRY ¢¯¥ì¨ú¡ÀA©¬A©ª " xfId="36032"/>
    <cellStyle name="A¨­￠￢￠O_larouxCoEⓒ÷" xfId="36033"/>
    <cellStyle name="A¨­¢¬¢Ò_larouxroux_1L?R??¢Ó" xfId="36034"/>
    <cellStyle name="A¨­￠￢￠O_PERSONAL_1÷L_1÷" xfId="36035"/>
    <cellStyle name="A¨­¢¬¢Ò_RESULTS" xfId="36036"/>
    <cellStyle name="A¢®¡×¢®¨Ï¢®E¢®©­¢®EO [0]_laroux" xfId="36037"/>
    <cellStyle name="A¢®¡×¢®¨Ï¢®E¢®©­¢®EO_laroux" xfId="36038"/>
    <cellStyle name="Accent1" xfId="36039"/>
    <cellStyle name="Accent2" xfId="36040"/>
    <cellStyle name="Accent3" xfId="36041"/>
    <cellStyle name="Accent4" xfId="36042"/>
    <cellStyle name="Accent5" xfId="36043"/>
    <cellStyle name="Accent6" xfId="36044"/>
    <cellStyle name="Aee­ " xfId="36045"/>
    <cellStyle name="AeE­ [0]_ ´IÆR " xfId="89"/>
    <cellStyle name="ÅëÈ­ [0]_´ë¿©±Ý" xfId="36046"/>
    <cellStyle name="AeE­ [0]_´eAN°yC￥ " xfId="36047"/>
    <cellStyle name="ÅëÈ­ [0]_±×·¡ÇÁ (2)" xfId="36048"/>
    <cellStyle name="AeE­ [0]_±a¼uAe½A " xfId="36049"/>
    <cellStyle name="ÅëÈ­ [0]_»óºÎ¼ö·®Áý°è " xfId="36050"/>
    <cellStyle name="AeE­ [0]_°eE¹3 Aa¿" xfId="36051"/>
    <cellStyle name="ÅëÈ­ [0]_µ¿ºÎ" xfId="90"/>
    <cellStyle name="AeE­ [0]_¼oAa½CAu _¹«¿ª10¿u nly?" xfId="36052"/>
    <cellStyle name="ÅëÈ­ [0]_¼öÃâ½ÇÀû _ÃµÈ£3¿ù " xfId="36053"/>
    <cellStyle name="AeE­ [0]_¼oAa½CAu _AμE￡3¿u  ead-onlyead-only?" xfId="36054"/>
    <cellStyle name="ÅëÈ­ [0]_¼öÃâ½ÇÀû _Çö´ë¾÷¹«ÃßÁø " xfId="36055"/>
    <cellStyle name="AeE­ [0]_¼OAI¹I´o _Co´" xfId="36056"/>
    <cellStyle name="ÅëÈ­ [0]_2¿ù¸ÅÃâ " xfId="36057"/>
    <cellStyle name="AeE­ [0]_2¿u¸AAa  _C" xfId="36058"/>
    <cellStyle name="ÅëÈ­ [0]_7°èÈ¹ " xfId="36059"/>
    <cellStyle name="AeE­ [0]_7°eE¹ a  " xfId="36060"/>
    <cellStyle name="ÅëÈ­ [0]_Â÷ÀÔ±Ý " xfId="36061"/>
    <cellStyle name="AeE­ [0]_A÷AO±Y   _" xfId="36062"/>
    <cellStyle name="ÅëÈ­ [0]_Â÷ÀÔ±Ý ±¸Á¶ " xfId="36063"/>
    <cellStyle name="AeE­ [0]_A÷AO±Y ±¸A¶ ´e¾÷¹«" xfId="36064"/>
    <cellStyle name="ÅëÈ­ [0]_Á¶´Þ°èÈ¹ " xfId="36065"/>
    <cellStyle name="AeE­ [0]_A¶´Þ°eE¹ A¶ ´e¾" xfId="36066"/>
    <cellStyle name="ÅëÈ­ [0]_ÆÀÇ¥Áö_°èÈ¹3 " xfId="36067"/>
    <cellStyle name="AeE­ [0]_ÆAC￥Ao_°eE¹3 e¾÷¹≪" xfId="36068"/>
    <cellStyle name="ÅëÈ­ [0]_AMT " xfId="36069"/>
    <cellStyle name="AeE­ [0]_AMT _¹«¿ª10¿u ¾÷¹«Aß" xfId="36070"/>
    <cellStyle name="ÅëÈ­ [0]_AMT _ÃµÈ£3¿ù " xfId="36071"/>
    <cellStyle name="AeE­ [0]_AMT _AμE￡3¿u  ¾÷¹" xfId="36072"/>
    <cellStyle name="ÅëÈ­ [0]_Çö´ë¾÷¹«ÃßÁø " xfId="36073"/>
    <cellStyle name="AeE­ [0]_Co´e¾÷¹«AßAø  ¾÷¹«AßA" xfId="36074"/>
    <cellStyle name="ÅëÈ­ [0]_INQUIRY ¿µ¾÷ÃßÁø " xfId="36075"/>
    <cellStyle name="AeE­ [0]_INQUIRY ¿µ¾÷AßAø _¹«¿ª10¿u ad-only unle" xfId="36076"/>
    <cellStyle name="ÅëÈ­ [0]_INQUIRY ¿µ¾÷ÃßÁø _ÃµÈ£3¿ù " xfId="36077"/>
    <cellStyle name="AeE­ [0]_INQUIRY ¿µ¾÷AßAø _Co´e¾÷¹«AßAø ead-only?" xfId="36078"/>
    <cellStyle name="ÅëÈ­ [0]_laroux" xfId="36079"/>
    <cellStyle name="AeE­ [0]_laroux??LR" xfId="36080"/>
    <cellStyle name="ÅëÈ­ [0]_laroux_1" xfId="36081"/>
    <cellStyle name="AeE­ [0]_laroux_1L?R?" xfId="36082"/>
    <cellStyle name="ÅëÈ­ [0]_º»¼± ±æ¾î±úºÎ ¼ö·® Áý°èÇ¥ " xfId="137"/>
    <cellStyle name="AeE­ [0]_RESULTS " xfId="36083"/>
    <cellStyle name="ÅëÈ­ [0]_SP ¹°µ¿¹× ¿ÜÁÖ " xfId="36084"/>
    <cellStyle name="AeE­ [0]_SP ¹°µ¿¹× ¿UAO ø _Co´e¾" xfId="36085"/>
    <cellStyle name="ÅëÈ­_´ë¿©±Ý" xfId="36086"/>
    <cellStyle name="AeE­_´eAN°yC￥ " xfId="36087"/>
    <cellStyle name="ÅëÈ­_±×·¡ÇÁ (2)" xfId="36088"/>
    <cellStyle name="AeE­_±a¼uAe½A " xfId="36089"/>
    <cellStyle name="ÅëÈ­_»óºÎ¼ö·®Áý°è " xfId="36090"/>
    <cellStyle name="AeE­_°eE¹3 Aa¿" xfId="36091"/>
    <cellStyle name="ÅëÈ­_µ¿ºÎ" xfId="91"/>
    <cellStyle name="AeE­_¼oAa½CAu " xfId="92"/>
    <cellStyle name="ÅëÈ­_¼öÃâ½ÇÀû " xfId="36092"/>
    <cellStyle name="AeE­_¼oAa½CAu _¹«¿ª10¿u ø _Co´e¾" xfId="36093"/>
    <cellStyle name="ÅëÈ­_¼öÃâ½ÇÀû _Çö´ë¾÷¹«ÃßÁø " xfId="36094"/>
    <cellStyle name="AeE­_¼oAa½CAu _Co´e¾÷¹«AßAø o´e¾÷¹«AßA" xfId="36095"/>
    <cellStyle name="ÅëÈ­_¼ÕÀÍ¹Î´ö " xfId="36096"/>
    <cellStyle name="AeE­_¼OAI¹I´o _Co´" xfId="36097"/>
    <cellStyle name="ÅëÈ­_2¿ù¸ÅÃâ " xfId="36098"/>
    <cellStyle name="AeE­_2¿u¸AAa  _C" xfId="36099"/>
    <cellStyle name="ÅëÈ­_7°èÈ¹ " xfId="36100"/>
    <cellStyle name="AeE­_7°eE¹ a  " xfId="36101"/>
    <cellStyle name="ÅëÈ­_Â÷ÀÔ±Ý " xfId="36102"/>
    <cellStyle name="AeE­_A÷AO±Y   _" xfId="36103"/>
    <cellStyle name="ÅëÈ­_Â÷ÀÔ±Ý ±¸Á¶ " xfId="36104"/>
    <cellStyle name="AeE­_A÷AO±Y ±¸A¶ ´e¾÷¹«" xfId="36105"/>
    <cellStyle name="ÅëÈ­_Á¶´Þ°èÈ¹ " xfId="36106"/>
    <cellStyle name="AeE­_A¶´Þ°eE¹ A¶ ´e¾" xfId="36107"/>
    <cellStyle name="ÅëÈ­_ÆÀÇ¥Áö_°èÈ¹3 " xfId="36108"/>
    <cellStyle name="AeE­_ÆAC￥Ao_°eE¹3 e¾÷¹≪" xfId="36109"/>
    <cellStyle name="ÅëÈ­_AMT " xfId="36110"/>
    <cellStyle name="AeE­_AMT _¹«¿ª10¿u ¾÷¹«Aß" xfId="36111"/>
    <cellStyle name="ÅëÈ­_Çö´ë¾÷¹«ÃßÁø " xfId="36112"/>
    <cellStyle name="AeE­_Co´e¾÷¹«AßAø  ¾÷¹«AßA" xfId="36113"/>
    <cellStyle name="ÅëÈ­_INQUIRY ¿µ¾÷ÃßÁø " xfId="35090"/>
    <cellStyle name="AeE­_INQUIRY ¿µ¾÷AßAø _¹«¿ª10¿u ÷¹«AßAø ead-" xfId="36114"/>
    <cellStyle name="ÅëÈ­_INQUIRY ¿µ¾÷ÃßÁø _Çö´ë¾÷¹«ÃßÁø " xfId="36115"/>
    <cellStyle name="AeE­_INQUIRY ¿µ¾÷AßAø _Co´e¾÷¹«AßAø ßAø ead-only?" xfId="36116"/>
    <cellStyle name="ÅëÈ­_laroux" xfId="36117"/>
    <cellStyle name="AeE­_laroux_1ux_1" xfId="36118"/>
    <cellStyle name="ÅëÈ­_º»¼± ±æ¾î±úºÎ ¼ö·® Áý°èÇ¥ " xfId="138"/>
    <cellStyle name="AeE­_RESULTS " xfId="36119"/>
    <cellStyle name="ÅëÈ­_SP ¹°µ¿¹× ¿ÜÁÖ " xfId="36120"/>
    <cellStyle name="AeE­_SP ¹°µ¿¹× ¿UAO ø _Co´e¾" xfId="36121"/>
    <cellStyle name="AeE¡? [0]_??nA¡AUAO ø" xfId="36122"/>
    <cellStyle name="AeE¡?_??nA¡ARSONA" xfId="36123"/>
    <cellStyle name="AeE¡© [0]_¡ÆeE©ö3 " xfId="36124"/>
    <cellStyle name="AeE¡©_¡ÆeE©ö3 " xfId="36125"/>
    <cellStyle name="AeE¡ⓒ [0]_¡¾aA￠￢" xfId="36126"/>
    <cellStyle name="AeE¡ⓒ_¡¾aA￠￢" xfId="36127"/>
    <cellStyle name="AeE¡ËR¡§I [0]_laroux" xfId="36128"/>
    <cellStyle name="AeE¡ËR¡§I_laroux" xfId="36129"/>
    <cellStyle name="AeE¢®¨Ï [0]_¡§¢®AC¢®IAo_¢®¨¡eE¨Ïo3 " xfId="36130"/>
    <cellStyle name="AeE¢®¨Ï_¡§¢®AC¢®IAo_¢®¨¡eE¨Ïo3 " xfId="36131"/>
    <cellStyle name="ALIGNMENT" xfId="36132"/>
    <cellStyle name="ass fixed 0" xfId="36133"/>
    <cellStyle name="ass fixed 1" xfId="36134"/>
    <cellStyle name="ass fixed 2" xfId="36135"/>
    <cellStyle name="ass fixed 4" xfId="36136"/>
    <cellStyle name="ass percent 0" xfId="36137"/>
    <cellStyle name="ass percent 1" xfId="36138"/>
    <cellStyle name="assumption" xfId="36139"/>
    <cellStyle name="ÄÞ¸¶ [0]_´ë¿©±Ý" xfId="36140"/>
    <cellStyle name="AÞ¸¶ [0]_´eAN°yC￥ " xfId="36141"/>
    <cellStyle name="ÄÞ¸¶ [0]_±×·¡ÇÁ (2)" xfId="36142"/>
    <cellStyle name="AÞ¸¶ [0]_±a¼uAe½A " xfId="36143"/>
    <cellStyle name="ÄÞ¸¶ [0]_»óºÎ¼ö·®Áý°è " xfId="36144"/>
    <cellStyle name="AÞ¸¶ [0]_°eE¹3 Aa¿ø°" xfId="36145"/>
    <cellStyle name="ÄÞ¸¶ [0]_µ¿ºÎ" xfId="93"/>
    <cellStyle name="AÞ¸¶ [0]_¼oAa½CAu " xfId="94"/>
    <cellStyle name="ÄÞ¸¶ [0]_¼öÃâ½ÇÀû " xfId="36146"/>
    <cellStyle name="AÞ¸¶ [0]_¼oAa½CAu _¹«¿ª10¿u ÷¹«AßAø ßA" xfId="36147"/>
    <cellStyle name="ÄÞ¸¶ [0]_¼öÃâ½ÇÀû _ÃµÈ£3¿ù " xfId="36148"/>
    <cellStyle name="AÞ¸¶ [0]_¼oAa½CAu _AμE￡3¿u  ÷¹≪AßAø" xfId="36149"/>
    <cellStyle name="ÄÞ¸¶ [0]_¼öÃâ½ÇÀû _Çö´ë¾÷¹«ÃßÁø " xfId="36150"/>
    <cellStyle name="AÞ¸¶ [0]_¼oAa½CAu _Co´e¾÷¹«AßAø ßAø ßAø ead-" xfId="36151"/>
    <cellStyle name="ÄÞ¸¶ [0]_¼ÕÀÍ¹Î´ö " xfId="36152"/>
    <cellStyle name="AÞ¸¶ [0]_¼OAI¹I´o _Co´e¾" xfId="36153"/>
    <cellStyle name="ÄÞ¸¶ [0]_1202" xfId="2468"/>
    <cellStyle name="AÞ¸¶ [0]_2¿u¸AAa  _Co´" xfId="36154"/>
    <cellStyle name="ÄÞ¸¶ [0]_7°èÈ¹ " xfId="36155"/>
    <cellStyle name="AÞ¸¶ [0]_7°eE¹ a  _C" xfId="36156"/>
    <cellStyle name="ÄÞ¸¶ [0]_Â÷ÀÔ±Ý " xfId="36157"/>
    <cellStyle name="AÞ¸¶ [0]_A÷AO±Y   _Co" xfId="36158"/>
    <cellStyle name="ÄÞ¸¶ [0]_Â÷ÀÔ±Ý ±¸Á¶ " xfId="36159"/>
    <cellStyle name="AÞ¸¶ [0]_A÷AO±Y ±¸A¶ ´e¾÷¹«Aß" xfId="36160"/>
    <cellStyle name="ÄÞ¸¶ [0]_Á¶´Þ°èÈ¹ " xfId="36161"/>
    <cellStyle name="AÞ¸¶ [0]_A¶´Þ°eE¹ A¶ ´e¾÷¹" xfId="36162"/>
    <cellStyle name="ÄÞ¸¶ [0]_ÆÀÇ¥Áö_°èÈ¹3 " xfId="36163"/>
    <cellStyle name="AÞ¸¶ [0]_ÆAC￥Ao_°eE¹3 e¾÷¹≪Aß" xfId="36164"/>
    <cellStyle name="ÄÞ¸¶ [0]_Çö´ë¾÷¹«ÃßÁø " xfId="36165"/>
    <cellStyle name="AÞ¸¶ [0]_Co´e¾÷¹«AßAø e¾÷¹«AßAø " xfId="36166"/>
    <cellStyle name="ÄÞ¸¶ [0]_INQUIRY ¿µ¾÷ÃßÁø " xfId="36167"/>
    <cellStyle name="AÞ¸¶ [0]_INQUIRY ¿µ¾÷AßAø _¹«¿ª10¿u ßAø ead-only?" xfId="36168"/>
    <cellStyle name="ÄÞ¸¶ [0]_INQUIRY ¿µ¾÷ÃßÁø _Çö´ë¾÷¹«ÃßÁø " xfId="36169"/>
    <cellStyle name="AÞ¸¶ [0]_INQUIRY ¿µ¾÷AßAø _Co´e¾÷¹«AßAø ead-only?" xfId="36170"/>
    <cellStyle name="ÄÞ¸¶ [0]_INQUIRY ¿µ¾÷ÃßÁø _results_¹«¿ª10¿ù " xfId="36171"/>
    <cellStyle name="AÞ¸¶ [0]_INQUIRY ¿µ¾÷AßAø _results_¹«¿ª10¿u only?" xfId="36172"/>
    <cellStyle name="ÄÞ¸¶ [0]_laroux" xfId="36173"/>
    <cellStyle name="AÞ¸¶ [0]_laroux_1L?R??†??? O" xfId="36174"/>
    <cellStyle name="ÄÞ¸¶ [0]_RESULTS" xfId="36175"/>
    <cellStyle name="AÞ¸¶ [0]_RESULTS ¿µ" xfId="36176"/>
    <cellStyle name="ÄÞ¸¶ [0]_SP ¹°µ¿¹× ¿ÜÁÖ " xfId="36177"/>
    <cellStyle name="AÞ¸¶ [0]_SP ¹°µ¿¹× ¿UAO ø _results" xfId="36178"/>
    <cellStyle name="ÄÞ¸¶_´ë¿©±Ý" xfId="36179"/>
    <cellStyle name="AÞ¸¶_´eAN°yC￥ " xfId="36180"/>
    <cellStyle name="ÄÞ¸¶_±×·¡ÇÁ (2)" xfId="36181"/>
    <cellStyle name="AÞ¸¶_±a¼uAe½A " xfId="36182"/>
    <cellStyle name="ÄÞ¸¶_»óºÎ¼ö·®Áý°è " xfId="36183"/>
    <cellStyle name="AÞ¸¶_°eE¹3 Aa¿ø°" xfId="36184"/>
    <cellStyle name="ÄÞ¸¶_µ¿ºÎ" xfId="95"/>
    <cellStyle name="AÞ¸¶_¼oAa½CAu " xfId="96"/>
    <cellStyle name="ÄÞ¸¶_¼öÃâ½ÇÀû " xfId="36185"/>
    <cellStyle name="AÞ¸¶_¼oAa½CAu _¹«¿ª10¿u ø _results" xfId="36186"/>
    <cellStyle name="ÄÞ¸¶_¼öÃâ½ÇÀû _Çö´ë¾÷¹«ÃßÁø " xfId="36187"/>
    <cellStyle name="AÞ¸¶_¼oAa½CAu _Co´e¾÷¹«AßAø esults_¹«¿ª1" xfId="36188"/>
    <cellStyle name="ÄÞ¸¶_¼ÕÀÍ¹Î´ö " xfId="36189"/>
    <cellStyle name="AÞ¸¶_¼OAI¹I´o _Co´e¾" xfId="36190"/>
    <cellStyle name="ÄÞ¸¶_1202" xfId="2469"/>
    <cellStyle name="AÞ¸¶_2¿u¸AAa  _Co´" xfId="36191"/>
    <cellStyle name="ÄÞ¸¶_7°èÈ¹ " xfId="36192"/>
    <cellStyle name="AÞ¸¶_7°eE¹ a  _C" xfId="36193"/>
    <cellStyle name="ÄÞ¸¶_Â÷ÀÔ±Ý " xfId="36194"/>
    <cellStyle name="AÞ¸¶_A÷AO±Y   _Co" xfId="36195"/>
    <cellStyle name="ÄÞ¸¶_Â÷ÀÔ±Ý ±¸Á¶ " xfId="36196"/>
    <cellStyle name="AÞ¸¶_A÷AO±Y ±¸A¶ ´e¾÷¹«Aß" xfId="36197"/>
    <cellStyle name="ÄÞ¸¶_Á¶´Þ°èÈ¹ " xfId="36198"/>
    <cellStyle name="AÞ¸¶_A¶´Þ°eE¹ A¶ ´e¾÷¹" xfId="36199"/>
    <cellStyle name="ÄÞ¸¶_ÆÀÇ¥Áö_°èÈ¹3 " xfId="36200"/>
    <cellStyle name="AÞ¸¶_ÆAC￥Ao_°eE¹3 e¾÷¹≪Aß" xfId="36201"/>
    <cellStyle name="ÄÞ¸¶_Çö´ë¾÷¹«ÃßÁø " xfId="36202"/>
    <cellStyle name="AÞ¸¶_Co´e¾÷¹«AßAø e¾÷¹«AßAø " xfId="36203"/>
    <cellStyle name="ÄÞ¸¶_INQUIRY ¿µ¾÷ÃßÁø " xfId="36204"/>
    <cellStyle name="AÞ¸¶_INQUIRY ¿µ¾÷AßAø _¹«¿ª10¿u ts_¹«¿ª10¿u on" xfId="36205"/>
    <cellStyle name="ÄÞ¸¶_laroux" xfId="36206"/>
    <cellStyle name="AÞ¸¶_larouxroux_1L?R??†" xfId="36207"/>
    <cellStyle name="ÄÞ¸¶_RESULTS" xfId="36208"/>
    <cellStyle name="AÞ¸¶_RESULTS ¿µ" xfId="36209"/>
    <cellStyle name="ÄÞ¸¶_SP ¹°µ¿¹× ¿ÜÁÖ " xfId="36210"/>
    <cellStyle name="AÞ¸¶_SP ¹°µ¿¹× ¿UAO ø _¹«¿ª10¿" xfId="36211"/>
    <cellStyle name="Attach Rates" xfId="36212"/>
    <cellStyle name="B/(W)" xfId="36213"/>
    <cellStyle name="B/(W) var" xfId="36214"/>
    <cellStyle name="B/(W) var pts" xfId="36215"/>
    <cellStyle name="Bad" xfId="36216"/>
    <cellStyle name="BOYLGOTHIC" xfId="36217"/>
    <cellStyle name="BOYSTYLE" xfId="36218"/>
    <cellStyle name="C?AØ_¸AAa¸AAa¿ø°¡ DEPOSITI" xfId="36219"/>
    <cellStyle name="C¡ËRIA¢®¡×¡§¡Ì_laroux" xfId="36220"/>
    <cellStyle name="C¡IA¨ª_??nA¡A× ¿UAO" xfId="36221"/>
    <cellStyle name="C¡ÍA¨ª_¡ÆeE©ö3 " xfId="36222"/>
    <cellStyle name="C¡IA¨ª_¡ÆeEⓒo" xfId="36223"/>
    <cellStyle name="C¡ÍA¨ª_©ö¡ì¢¯¨£¡Æ©¡¨¬nAa " xfId="36224"/>
    <cellStyle name="C¡IA¨ª_AI???ªCoE?÷O ø _¹«¿" xfId="36225"/>
    <cellStyle name="C¡ÍA¨ª_AI¢¯©ªCoE©÷" xfId="36226"/>
    <cellStyle name="C¡IA¨ª_COVERªCo" xfId="36227"/>
    <cellStyle name="C¡ÍA¨ª_laroux" xfId="36228"/>
    <cellStyle name="C¡IA¨ª_laroux_1_GUA-DEPOSIT10¿" xfId="36229"/>
    <cellStyle name="C¡ÍA¨ª_laroux_1_PREPAID TAX" xfId="36230"/>
    <cellStyle name="C¡IA¨ª_laroux_1E?÷" xfId="36231"/>
    <cellStyle name="C¡ÍA¨ª_laroux_1ux_1L?R?" xfId="36232"/>
    <cellStyle name="C¡IA¨ª_laroux_2_GU" xfId="36233"/>
    <cellStyle name="C¡ÍA¨ª_laroux_2_GUA-DEPOSIT" xfId="36234"/>
    <cellStyle name="C¡IA¨ª_laroux_2_GUA-DEPOSIT10¿" xfId="36235"/>
    <cellStyle name="C¡ÍA¨ª_laroux_2_PREPAID TAX" xfId="36236"/>
    <cellStyle name="C¡IA¨ª_laroux_3_GU" xfId="36237"/>
    <cellStyle name="C¡ÍA¨ª_laroux_3_GUA-DEPOSIT" xfId="36238"/>
    <cellStyle name="C¡IA¨ª_laroux_3_GUA-DEPOSIT10¿" xfId="36239"/>
    <cellStyle name="C¡ÍA¨ª_laroux_3_PREPAID TAX" xfId="36240"/>
    <cellStyle name="C¡IA¨ª_laroux_4_GU" xfId="36241"/>
    <cellStyle name="C¡ÍA¨ª_laroux_4_GUA-DEPOSIT" xfId="36242"/>
    <cellStyle name="C¡IA¨ª_laroux_4_GUA-DEPOSIT10¿" xfId="36243"/>
    <cellStyle name="C¡ÍA¨ª_laroux_4_PREPAID TAX" xfId="36244"/>
    <cellStyle name="C¡IA¨ª_laroux_GUA-DEPOSITIT1" xfId="36245"/>
    <cellStyle name="C¡ÍA¨ª_laroux_PREPAID TAX" xfId="36246"/>
    <cellStyle name="C¡IA¨ª_larouxCoE" xfId="36247"/>
    <cellStyle name="C¡ÍA¨ª_larouxroux_1L?" xfId="36248"/>
    <cellStyle name="C¡IA¨ª_PERSONAL_1-DE" xfId="36249"/>
    <cellStyle name="C¡ÍA¨ª_PERSONAL_해외매출채권" xfId="36250"/>
    <cellStyle name="C¡IA¨ª_PERSONALUA-" xfId="36251"/>
    <cellStyle name="C¡ÍA¨ª_PL¢¯¥ì¨ú¡À " xfId="36252"/>
    <cellStyle name="C¢®IA¡§¨£_¡§¡þIA¨Ï¨£¡§¡þI¨ÏoR(¡§¢®?¡§¢®C) (1¡Ë?u)_1_¨Ïo¢®i¡Ë?¡§¡Ì10¡Ë?u " xfId="36253"/>
    <cellStyle name="Ç¥ÁØ_´ç¿ùÃßÁø°èÈ¹" xfId="36254"/>
    <cellStyle name="C￥AØ_´eAN°yC￥ " xfId="36255"/>
    <cellStyle name="Ç¥ÁØ_´ëºñÇ¥ (2)_1_ºÎ´ëÅä°ø " xfId="35091"/>
    <cellStyle name="C￥AØ_´eºnC￥ (2)_ºI´eAa°ø " xfId="35092"/>
    <cellStyle name="Ç¥ÁØ_´ëºñÇ¥ (2)_ºÎ´ëÅä°ø " xfId="35093"/>
    <cellStyle name="C￥AØ_¸AAa.¼OAI " xfId="97"/>
    <cellStyle name="Ç¥ÁØ_¿µ¾÷ÇöÈ² " xfId="35094"/>
    <cellStyle name="C￥AØ_¿¹≫e¿aA≫ ø°¡ DEP" xfId="36256"/>
    <cellStyle name="Ç¥ÁØ_¿ï»êÁ¡ " xfId="36257"/>
    <cellStyle name="C￥AØ_¿i≫eA¡ ≫ ø°¡" xfId="36258"/>
    <cellStyle name="Ç¥ÁØ_»ç¾÷ºÎº° ÃÑ°è " xfId="35095"/>
    <cellStyle name="C￥AØ_≫c¾÷ºIº° AN°e " xfId="35096"/>
    <cellStyle name="Ç¥ÁØ_°èÈ¹3 " xfId="36259"/>
    <cellStyle name="C￥AØ_°eE¹3 º° A" xfId="36260"/>
    <cellStyle name="Ç¥ÁØ_0N-HANDLING " xfId="35097"/>
    <cellStyle name="C￥AØ_0N-HANDLING _산재매입세" xfId="35098"/>
    <cellStyle name="Ç¥ÁØ_0N-HANDLING _자금운용" xfId="35099"/>
    <cellStyle name="C￥AØ_0N-HANDLING _착수결의(평택손익)2" xfId="35100"/>
    <cellStyle name="Ç¥ÁØ_0N-HANDLING _착수결의(평택손익)2" xfId="35101"/>
    <cellStyle name="C￥AØ_0N-HANDLING _착수결의서(도곡동하이페리온)" xfId="35102"/>
    <cellStyle name="Ç¥ÁØ_0N-HANDLING _착수결의서(도곡동하이페리온)" xfId="35103"/>
    <cellStyle name="C￥AØ_0N-HANDLING _착수결의서(도곡동하이페리온).xls Chart 1" xfId="35104"/>
    <cellStyle name="Ç¥ÁØ_0N-HANDLING _착수결의서(도곡동하이페리온).xls Chart 1" xfId="35105"/>
    <cellStyle name="C￥AØ_0N-HANDLING _착수결의서(하남신장)" xfId="35106"/>
    <cellStyle name="Ç¥ÁØ_0N-HANDLING _착수결의서(하남신장)" xfId="35107"/>
    <cellStyle name="C￥AØ_0N-HANDLING _초기예산총괄(조정_영노)" xfId="35108"/>
    <cellStyle name="Ç¥ÁØ_¼ÕÀÍ¹Î´ö " xfId="36261"/>
    <cellStyle name="C￥AØ_¼OAI¹I´o NG e " xfId="36262"/>
    <cellStyle name="Ç¥ÁØ_¼ÕÀÍÂ÷ÀÌ ¿øÀÎ " xfId="36263"/>
    <cellStyle name="C￥AØ_¼OAIA÷AI ¿øAI _Co´e¾" xfId="36264"/>
    <cellStyle name="Ç¥ÁØ_¼ÕÀÍÂ÷ÀÌ ¿øÀÎ _GIT-DEC-HO" xfId="36265"/>
    <cellStyle name="C￥AØ_¾aC°≫c¿eCoE² " xfId="36266"/>
    <cellStyle name="Ç¥ÁØ_2¿ù¸ÅÃâ " xfId="36267"/>
    <cellStyle name="C￥AØ_2¿u¸AAa  a 0" xfId="36268"/>
    <cellStyle name="Ç¥ÁØ_2¿ù¸ÅÃâ _DEC-GOODS IN TRANSIT" xfId="36269"/>
    <cellStyle name="C￥AØ_5-1±¤°i _¹≪¿ª10¿u e¾÷¹≪AßAø " xfId="36270"/>
    <cellStyle name="Ç¥ÁØ_5-1±¤°í _Çö´ë¾÷¹«ÃßÁø " xfId="36271"/>
    <cellStyle name="C￥AØ_5-1±¤°i _Co´e¾÷¹≪AßAø ≪AßAø s_¹≪¿ª" xfId="36272"/>
    <cellStyle name="Ç¥ÁØ_5-1±¤°í _DEC-GOODS IN TRANSIT" xfId="36273"/>
    <cellStyle name="C￥AØ_5-1±¤°i _산재매입세" xfId="35109"/>
    <cellStyle name="Ç¥ÁØ_5-1±¤°í _자금운용" xfId="35110"/>
    <cellStyle name="C￥AØ_5-1±¤°i _착수결의(평택손익)2" xfId="35111"/>
    <cellStyle name="Ç¥ÁØ_5-1±¤°í _착수결의(평택손익)2" xfId="35112"/>
    <cellStyle name="C￥AØ_5-1±¤°i _착수결의서(도곡동하이페리온)" xfId="35113"/>
    <cellStyle name="Ç¥ÁØ_5-1±¤°í _착수결의서(도곡동하이페리온)" xfId="35114"/>
    <cellStyle name="C￥AØ_5-1±¤°i _착수결의서(도곡동하이페리온).xls Chart 1" xfId="35115"/>
    <cellStyle name="Ç¥ÁØ_5-1±¤°í _착수결의서(도곡동하이페리온).xls Chart 1" xfId="35116"/>
    <cellStyle name="C￥AØ_5-1±¤°i _착수결의서(동서울)" xfId="35117"/>
    <cellStyle name="Ç¥ÁØ_5-1±¤°í _착수결의서(죽전4차2단지)" xfId="35118"/>
    <cellStyle name="C￥AØ_5-1±¤°i _착수결의서(하남신장)" xfId="35119"/>
    <cellStyle name="Ç¥ÁØ_5-1±¤°í _착수결의서(하남신장)" xfId="35120"/>
    <cellStyle name="C￥AØ_5-1±¤°i _착수결의서020129(동서울1)" xfId="35121"/>
    <cellStyle name="Ç¥ÁØ_5-1±¤°í _착수결의서변경양식(excel)" xfId="35122"/>
    <cellStyle name="C￥AØ_5-1±¤°i _초기예산총괄(조정_영노)" xfId="35123"/>
    <cellStyle name="Ç¥ÁØ_95,96 ºñ±³ " xfId="36274"/>
    <cellStyle name="C￥AØ_95,96 ºn±³ ´e¾÷¹" xfId="36275"/>
    <cellStyle name="Ç¥ÁØ_Â÷ÀÔ±Ý " xfId="36276"/>
    <cellStyle name="C￥AØ_A÷AO±Y ±¸A¶ e¾÷¹≪Aß" xfId="36277"/>
    <cellStyle name="Ç¥ÁØ_ÃµÈ£3¿ù " xfId="36278"/>
    <cellStyle name="C￥AØ_A¶´Þ°eE¹ A¶ e¾÷¹" xfId="36279"/>
    <cellStyle name="Ç¥ÁØ_Æ¯±â3_p.mix " xfId="36280"/>
    <cellStyle name="C￥AØ_ÆAC￥Ao_°eE¹3 ¾÷¹≪Aß" xfId="36281"/>
    <cellStyle name="Ç¥ÁØ_ÃßÁ¤´ëÂ÷ " xfId="36282"/>
    <cellStyle name="C￥AØ_AßA¤´eA÷ E¹3 ¾÷" xfId="36283"/>
    <cellStyle name="Ç¥ÁØ_ÀÚ±Ý_1_ÃßÁ¤´ëÂ÷ " xfId="36284"/>
    <cellStyle name="C￥AØ_AU±Y_1_AßA¤´eA÷ ≪AßAø ≪" xfId="36285"/>
    <cellStyle name="Ç¥ÁØ_ÀÚ±Ý_ÃßÁ¤´ëÂ÷ " xfId="36286"/>
    <cellStyle name="C￥AØ_AU±Y_AßA¤´eA÷ ÷ ≪AßAø" xfId="36287"/>
    <cellStyle name="Ç¥ÁØ_Áý°èÇ¥(2¿ù) " xfId="35124"/>
    <cellStyle name="C￥AØ_Ay°eC￥(2¿u) _산재매입세" xfId="35125"/>
    <cellStyle name="Ç¥ÁØ_Áý°èÇ¥(2¿ù) _자금운용" xfId="35126"/>
    <cellStyle name="C￥AØ_Ay°eC￥(2¿u) _착수결의(평택손익)2" xfId="35127"/>
    <cellStyle name="Ç¥ÁØ_Áý°èÇ¥(2¿ù) _착수결의(평택손익)2" xfId="35128"/>
    <cellStyle name="C￥AØ_Ay°eC￥(2¿u) _착수결의서(도곡동하이페리온)" xfId="35129"/>
    <cellStyle name="Ç¥ÁØ_Áý°èÇ¥(2¿ù) _착수결의서(도곡동하이페리온)" xfId="35130"/>
    <cellStyle name="C￥AØ_Ay°eC￥(2¿u) _착수결의서(도곡동하이페리온).xls Chart 1" xfId="35131"/>
    <cellStyle name="Ç¥ÁØ_Áý°èÇ¥(2¿ù) _착수결의서(도곡동하이페리온).xls Chart 1" xfId="35132"/>
    <cellStyle name="C￥AØ_Ay°eC￥(2¿u) _착수결의서(동서울)" xfId="35133"/>
    <cellStyle name="Ç¥ÁØ_Áý°èÇ¥(2¿ù) _착수결의서(죽전4차2단지)" xfId="35134"/>
    <cellStyle name="C￥AØ_Ay°eC￥(2¿u) _착수결의서(하남신장)" xfId="35135"/>
    <cellStyle name="Ç¥ÁØ_Áý°èÇ¥(2¿ù) _착수결의서(하남신장)" xfId="35136"/>
    <cellStyle name="C￥AØ_Ay°eC￥(2¿u) _착수결의서020129(동서울1)" xfId="35137"/>
    <cellStyle name="Ç¥ÁØ_Áý°èÇ¥(2¿ù) _착수결의서변경양식(excel)" xfId="35138"/>
    <cellStyle name="C￥AØ_Ay°eC￥(2¿u) _초기예산총괄(조정_영노)" xfId="35139"/>
    <cellStyle name="Ç¥ÁØ_CD-ROM " xfId="36288"/>
    <cellStyle name="C￥AØ_CD-ROM  ¿" xfId="36289"/>
    <cellStyle name="Ç¥ÁØ_CD-ROM _6월대손충당금" xfId="36290"/>
    <cellStyle name="C￥AØ_Co´e¾÷¹≪AßAø  ÷ ≪AßAø " xfId="36291"/>
    <cellStyle name="Ç¥ÁØ_ÇöÁö¹ýÀÎ °Å¾×¿©½Å " xfId="36292"/>
    <cellStyle name="C￥AØ_CoAo¹yAI °A¾×¿ⓒ½A " xfId="35140"/>
    <cellStyle name="Ç¥ÁØ_laroux" xfId="36293"/>
    <cellStyle name="C￥AØ_ºIAøºI¹R(Æ?ÆC) (1¿u)_1_¹≪¿ª10¿u ¿ª10¿u ly unless you you " xfId="36294"/>
    <cellStyle name="Ç¥ÁØ_p.mix " xfId="36295"/>
    <cellStyle name="C￥AØ_p.mix ¹R" xfId="36296"/>
    <cellStyle name="Ç¥ÁØ_PL¿µ¾÷ " xfId="36297"/>
    <cellStyle name="C￥AØ_PL¿μ¾÷ R(Æ?ÆC" xfId="36298"/>
    <cellStyle name="Ç¥ÁØ_PREPAID_0005 VSO ACCOUNT" xfId="36299"/>
    <cellStyle name="C￥AØ_RESULTSR(" xfId="36300"/>
    <cellStyle name="Ç¥ÁØ_Sheet1_¿µ¾÷ÇöÈ² " xfId="36301"/>
    <cellStyle name="C￥AØ_Sheet1_¿μ¾÷CoE² " xfId="35141"/>
    <cellStyle name="Ç¥ÁØ_Sheet1_0N-HANDLING " xfId="35142"/>
    <cellStyle name="C￥AØ_Sheet1_0N-HANDLING )_" xfId="36302"/>
    <cellStyle name="Ç¥ÁØ_Sheet1_0N-HANDLING _DEC-GOODS IN TRANSIT" xfId="36303"/>
    <cellStyle name="C￥AØ_Sheet1_0N-HANDLING _착수결의(평택손익)2" xfId="35143"/>
    <cellStyle name="Ç¥ÁØ_Sheet1_0N-HANDLING _착수결의(평택손익)2" xfId="35144"/>
    <cellStyle name="C￥AØ_Sheet1_0N-HANDLING _착수결의서(도곡동하이페리온)" xfId="35145"/>
    <cellStyle name="Ç¥ÁØ_Sheet1_0N-HANDLING _착수결의서(도곡동하이페리온)" xfId="35146"/>
    <cellStyle name="C￥AØ_Sheet1_0N-HANDLING _착수결의서(도곡동하이페리온).xls Chart 1" xfId="35147"/>
    <cellStyle name="Ç¥ÁØ_Sheet1_0N-HANDLING _착수결의서(도곡동하이페리온).xls Chart 1" xfId="35148"/>
    <cellStyle name="C￥AØ_Sheet1_0N-HANDLING _착수결의서(도곡동하이페리온).xls Chart 1_1" xfId="35149"/>
    <cellStyle name="Ç¥ÁØ_Sheet1_0N-HANDLING _착수결의서(도곡동하이페리온).xls Chart 1_1" xfId="35150"/>
    <cellStyle name="C￥AØ_Sheet1_0N-HANDLING _착수결의서(도곡동하이페리온).xls Chart 1_1_Cost 비교표(070808)" xfId="35151"/>
    <cellStyle name="Ç¥ÁØ_Sheet1_0N-HANDLING _착수결의서(도곡동하이페리온).xls Chart 1_1_Cost 비교표(070808)" xfId="35152"/>
    <cellStyle name="C￥AØ_Sheet1_0N-HANDLING _착수결의서(도곡동하이페리온).xls Chart 1_1_Cost 비교표(센텀120억Refinancing)_070814" xfId="35153"/>
    <cellStyle name="Ç¥ÁØ_Sheet1_0N-HANDLING _착수결의서(도곡동하이페리온).xls Chart 1_1_Cost 비교표(센텀120억Refinancing)_070814" xfId="35154"/>
    <cellStyle name="C￥AØ_Sheet1_0N-HANDLING _착수결의서(도곡동하이페리온).xls Chart 1_1_센텀Refinancing제안_PF(070903)" xfId="35155"/>
    <cellStyle name="Ç¥ÁØ_Sheet1_0N-HANDLING _착수결의서(도곡동하이페리온).xls Chart 1_1_센텀Refinancing제안_PF(070903)" xfId="35156"/>
    <cellStyle name="C￥AØ_Sheet1_0N-HANDLING _착수결의서(도곡동하이페리온)_Cost 비교표(070808)" xfId="35157"/>
    <cellStyle name="Ç¥ÁØ_Sheet1_0N-HANDLING _착수결의서(도곡동하이페리온)_Cost 비교표(070808)" xfId="35158"/>
    <cellStyle name="C￥AØ_Sheet1_0N-HANDLING _착수결의서(도곡동하이페리온)_Cost 비교표(센텀120억Refinancing)_070814" xfId="35159"/>
    <cellStyle name="Ç¥ÁØ_Sheet1_0N-HANDLING _착수결의서(도곡동하이페리온)_Cost 비교표(센텀120억Refinancing)_070814" xfId="35160"/>
    <cellStyle name="C￥AØ_Sheet1_0N-HANDLING _착수결의서(도곡동하이페리온)_센텀Refinancing제안_PF(070903)" xfId="35161"/>
    <cellStyle name="Ç¥ÁØ_Sheet1_0N-HANDLING _착수결의서(도곡동하이페리온)_센텀Refinancing제안_PF(070903)" xfId="35162"/>
    <cellStyle name="C￥AØ_Sheet1_0N-HANDLING _착수결의서(하남신장)" xfId="35163"/>
    <cellStyle name="Ç¥ÁØ_Sheet1_0N-HANDLING _착수결의서(하남신장)" xfId="35164"/>
    <cellStyle name="C￥AØ_Sheet1_A÷AO±Y LING" xfId="36304"/>
    <cellStyle name="Ç¥ÁØ_Sheet1_Áý°èÇ¥(2¿ù) " xfId="35165"/>
    <cellStyle name="C￥AØ_Sheet1_Ay°eC￥(2¿u) )_1_¹" xfId="36305"/>
    <cellStyle name="Ç¥ÁØ_Sheet1_Áý°èÇ¥(2¿ù) _DEC-GOODS IN TRANSIT" xfId="36306"/>
    <cellStyle name="C￥AØ_Sheet1_Ay°eC￥(2¿u) _자금운용" xfId="35166"/>
    <cellStyle name="Ç¥ÁØ_Sheet1_Áý°èÇ¥(2¿ù) _자금운용" xfId="35167"/>
    <cellStyle name="C￥AØ_Sheet1_Ay°eC￥(2¿u) _자금운용(현장최종)" xfId="35168"/>
    <cellStyle name="Ç¥ÁØ_Sheet1_Áý°èÇ¥(2¿ù) _자금운용(현장최종)" xfId="35169"/>
    <cellStyle name="C￥AØ_Sheet1_Ay°eC￥(2¿u) _자금운용(현장최종)_Cost 비교표(070808)" xfId="35170"/>
    <cellStyle name="Ç¥ÁØ_Sheet1_Áý°èÇ¥(2¿ù) _자금운용(현장최종)_Cost 비교표(070808)" xfId="35171"/>
    <cellStyle name="C￥AØ_Sheet1_Ay°eC￥(2¿u) _자금운용(현장최종)_Cost 비교표(센텀120억Refinancing)_070814" xfId="35172"/>
    <cellStyle name="Ç¥ÁØ_Sheet1_Áý°èÇ¥(2¿ù) _자금운용(현장최종)_Cost 비교표(센텀120억Refinancing)_070814" xfId="35173"/>
    <cellStyle name="C￥AØ_Sheet1_Ay°eC￥(2¿u) _자금운용(현장최종)_센텀Refinancing제안_PF(070903)" xfId="35174"/>
    <cellStyle name="Ç¥ÁØ_Sheet1_Áý°èÇ¥(2¿ù) _자금운용(현장최종)_센텀Refinancing제안_PF(070903)" xfId="35175"/>
    <cellStyle name="C￥AØ_Sheet1_Ay°eC￥(2¿u) _자금운용(현장최종2)" xfId="35176"/>
    <cellStyle name="Ç¥ÁØ_Sheet1_Áý°èÇ¥(2¿ù) _자금운용(현장최종2)" xfId="35177"/>
    <cellStyle name="C￥AØ_Sheet1_Ay°eC￥(2¿u) _자금운용(현장최종2)_Cost 비교표(070808)" xfId="35178"/>
    <cellStyle name="Ç¥ÁØ_Sheet1_Áý°èÇ¥(2¿ù) _자금운용(현장최종2)_Cost 비교표(070808)" xfId="35179"/>
    <cellStyle name="C￥AØ_Sheet1_Ay°eC￥(2¿u) _자금운용(현장최종2)_Cost 비교표(센텀120억Refinancing)_070814" xfId="35180"/>
    <cellStyle name="Ç¥ÁØ_Sheet1_Áý°èÇ¥(2¿ù) _자금운용(현장최종2)_Cost 비교표(센텀120억Refinancing)_070814" xfId="35181"/>
    <cellStyle name="C￥AØ_Sheet1_Ay°eC￥(2¿u) _자금운용(현장최종2)_센텀Refinancing제안_PF(070903)" xfId="35182"/>
    <cellStyle name="Ç¥ÁØ_Sheet1_Áý°èÇ¥(2¿ù) _자금운용(현장최종2)_센텀Refinancing제안_PF(070903)" xfId="35183"/>
    <cellStyle name="C￥AØ_Sheet1_Ay°eC￥(2¿u) _자금운용(현장최종3)" xfId="35184"/>
    <cellStyle name="Ç¥ÁØ_Sheet1_Áý°èÇ¥(2¿ù) _자금운용(현장최종3)" xfId="35185"/>
    <cellStyle name="C￥AØ_Sheet1_Ay°eC￥(2¿u) _자금운용(현장최종3)_Cost 비교표(070808)" xfId="35186"/>
    <cellStyle name="Ç¥ÁØ_Sheet1_Áý°èÇ¥(2¿ù) _자금운용(현장최종3)_Cost 비교표(070808)" xfId="35187"/>
    <cellStyle name="C￥AØ_Sheet1_Ay°eC￥(2¿u) _자금운용(현장최종3)_Cost 비교표(센텀120억Refinancing)_070814" xfId="35188"/>
    <cellStyle name="Ç¥ÁØ_Sheet1_Áý°èÇ¥(2¿ù) _자금운용(현장최종3)_Cost 비교표(센텀120억Refinancing)_070814" xfId="35189"/>
    <cellStyle name="C￥AØ_Sheet1_Ay°eC￥(2¿u) _자금운용(현장최종3)_센텀Refinancing제안_PF(070903)" xfId="35190"/>
    <cellStyle name="Ç¥ÁØ_Sheet1_Áý°èÇ¥(2¿ù) _자금운용(현장최종3)_센텀Refinancing제안_PF(070903)" xfId="35191"/>
    <cellStyle name="C￥AØ_Sheet1_Ay°eC￥(2¿u) _자금운용_Cost 비교표(070808)" xfId="35192"/>
    <cellStyle name="Ç¥ÁØ_Sheet1_Áý°èÇ¥(2¿ù) _자금운용_Cost 비교표(070808)" xfId="35193"/>
    <cellStyle name="C￥AØ_Sheet1_Ay°eC￥(2¿u) _자금운용_Cost 비교표(센텀120억Refinancing)_070814" xfId="35194"/>
    <cellStyle name="Ç¥ÁØ_Sheet1_Áý°èÇ¥(2¿ù) _자금운용_Cost 비교표(센텀120억Refinancing)_070814" xfId="35195"/>
    <cellStyle name="C￥AØ_Sheet1_Ay°eC￥(2¿u) _자금운용_센텀Refinancing제안_PF(070903)" xfId="35196"/>
    <cellStyle name="Ç¥ÁØ_Sheet1_Áý°èÇ¥(2¿ù) _자금운용_센텀Refinancing제안_PF(070903)" xfId="35197"/>
    <cellStyle name="C￥AØ_Sheet1_Ay°eC￥(2¿u) _자금운용계획(3월준공 어음)" xfId="35198"/>
    <cellStyle name="Ç¥ÁØ_Sheet1_Áý°èÇ¥(2¿ù) _자금운용계획(3월준공 어음)" xfId="35199"/>
    <cellStyle name="C￥AØ_Sheet1_Ay°eC￥(2¿u) _자금운용계획(3월준공 어음)_Cost 비교표(070808)" xfId="35200"/>
    <cellStyle name="Ç¥ÁØ_Sheet1_Áý°èÇ¥(2¿ù) _자금운용계획(3월준공 어음)_Cost 비교표(070808)" xfId="35201"/>
    <cellStyle name="C￥AØ_Sheet1_Ay°eC￥(2¿u) _자금운용계획(3월준공 어음)_Cost 비교표(센텀120억Refinancing)_070814" xfId="35202"/>
    <cellStyle name="Ç¥ÁØ_Sheet1_Áý°èÇ¥(2¿ù) _자금운용계획(3월준공 어음)_Cost 비교표(센텀120억Refinancing)_070814" xfId="35203"/>
    <cellStyle name="C￥AØ_Sheet1_Ay°eC￥(2¿u) _자금운용계획(3월준공 어음)_센텀Refinancing제안_PF(070903)" xfId="35204"/>
    <cellStyle name="Ç¥ÁØ_Sheet1_Áý°èÇ¥(2¿ù) _자금운용계획(3월준공 어음)_센텀Refinancing제안_PF(070903)" xfId="35205"/>
    <cellStyle name="C￥AØ_Sheet1_Ay°eC￥(2¿u) _착수결의(평택손익)2" xfId="35206"/>
    <cellStyle name="Ç¥ÁØ_Sheet1_Áý°èÇ¥(2¿ù) _착수결의(평택손익)2" xfId="35207"/>
    <cellStyle name="C￥AØ_Sheet1_Ay°eC￥(2¿u) _착수결의서" xfId="35208"/>
    <cellStyle name="Ç¥ÁØ_Sheet1_Áý°èÇ¥(2¿ù) _착수결의서" xfId="35209"/>
    <cellStyle name="C￥AØ_Sheet1_Ay°eC￥(2¿u) _착수결의서(견적실조정안)_0618" xfId="35210"/>
    <cellStyle name="Ç¥ÁØ_Sheet1_Áý°èÇ¥(2¿ù) _착수결의서(견적실조정안)_0618" xfId="35211"/>
    <cellStyle name="C￥AØ_Sheet1_Ay°eC￥(2¿u) _착수결의서(도곡동하이페리온)" xfId="35212"/>
    <cellStyle name="Ç¥ÁØ_Sheet1_Áý°èÇ¥(2¿ù) _착수결의서(도곡동하이페리온)" xfId="35213"/>
    <cellStyle name="C￥AØ_Sheet1_Ay°eC￥(2¿u) _착수결의서(도곡동하이페리온).xls Chart 1" xfId="35214"/>
    <cellStyle name="Ç¥ÁØ_Sheet1_Áý°èÇ¥(2¿ù) _착수결의서(도곡동하이페리온).xls Chart 1" xfId="35215"/>
    <cellStyle name="C￥AØ_Sheet1_Ay°eC￥(2¿u) _착수결의서(도곡동하이페리온).xls Chart 1_1" xfId="35216"/>
    <cellStyle name="Ç¥ÁØ_Sheet1_Áý°èÇ¥(2¿ù) _착수결의서(도곡동하이페리온).xls Chart 1_1" xfId="35217"/>
    <cellStyle name="C￥AØ_Sheet1_Ay°eC￥(2¿u) _착수결의서(도곡동하이페리온).xls Chart 1_1_Cost 비교표(070808)" xfId="35218"/>
    <cellStyle name="Ç¥ÁØ_Sheet1_Áý°èÇ¥(2¿ù) _착수결의서(도곡동하이페리온).xls Chart 1_1_Cost 비교표(070808)" xfId="35219"/>
    <cellStyle name="C￥AØ_Sheet1_Ay°eC￥(2¿u) _착수결의서(도곡동하이페리온).xls Chart 1_1_Cost 비교표(센텀120억Refinancing)_070814" xfId="35220"/>
    <cellStyle name="Ç¥ÁØ_Sheet1_Áý°èÇ¥(2¿ù) _착수결의서(도곡동하이페리온).xls Chart 1_1_Cost 비교표(센텀120억Refinancing)_070814" xfId="35221"/>
    <cellStyle name="C￥AØ_Sheet1_Ay°eC￥(2¿u) _착수결의서(도곡동하이페리온).xls Chart 1_1_센텀Refinancing제안_PF(070903)" xfId="35222"/>
    <cellStyle name="Ç¥ÁØ_Sheet1_Áý°èÇ¥(2¿ù) _착수결의서(도곡동하이페리온).xls Chart 1_1_센텀Refinancing제안_PF(070903)" xfId="35223"/>
    <cellStyle name="C￥AØ_Sheet1_Ay°eC￥(2¿u) _착수결의서(도곡동하이페리온)_Cost 비교표(070808)" xfId="35224"/>
    <cellStyle name="Ç¥ÁØ_Sheet1_Áý°èÇ¥(2¿ù) _착수결의서(도곡동하이페리온)_Cost 비교표(070808)" xfId="35225"/>
    <cellStyle name="C￥AØ_Sheet1_Ay°eC￥(2¿u) _착수결의서(도곡동하이페리온)_Cost 비교표(센텀120억Refinancing)_070814" xfId="35226"/>
    <cellStyle name="Ç¥ÁØ_Sheet1_Áý°èÇ¥(2¿ù) _착수결의서(도곡동하이페리온)_Cost 비교표(센텀120억Refinancing)_070814" xfId="35227"/>
    <cellStyle name="C￥AØ_Sheet1_Ay°eC￥(2¿u) _착수결의서(도곡동하이페리온)_센텀Refinancing제안_PF(070903)" xfId="35228"/>
    <cellStyle name="Ç¥ÁØ_Sheet1_Áý°èÇ¥(2¿ù) _착수결의서(도곡동하이페리온)_센텀Refinancing제안_PF(070903)" xfId="35229"/>
    <cellStyle name="C￥AØ_Sheet1_Ay°eC￥(2¿u) _착수결의서(죽전4차2단지)" xfId="35230"/>
    <cellStyle name="Ç¥ÁØ_Sheet1_Áý°èÇ¥(2¿ù) _착수결의서(죽전4차2단지)" xfId="35231"/>
    <cellStyle name="C￥AØ_Sheet1_Ay°eC￥(2¿u) _착수결의서(죽전4차2단지)_Cost 비교표(070808)" xfId="35232"/>
    <cellStyle name="Ç¥ÁØ_Sheet1_Áý°èÇ¥(2¿ù) _착수결의서(죽전4차2단지)_Cost 비교표(070808)" xfId="35233"/>
    <cellStyle name="C￥AØ_Sheet1_Ay°eC￥(2¿u) _착수결의서(죽전4차2단지)_Cost 비교표(센텀120억Refinancing)_070814" xfId="35234"/>
    <cellStyle name="Ç¥ÁØ_Sheet1_Áý°èÇ¥(2¿ù) _착수결의서(죽전4차2단지)_Cost 비교표(센텀120억Refinancing)_070814" xfId="35235"/>
    <cellStyle name="C￥AØ_Sheet1_Ay°eC￥(2¿u) _착수결의서(죽전4차2단지)_센텀Refinancing제안_PF(070903)" xfId="35236"/>
    <cellStyle name="Ç¥ÁØ_Sheet1_Áý°èÇ¥(2¿ù) _착수결의서(죽전4차2단지)_센텀Refinancing제안_PF(070903)" xfId="35237"/>
    <cellStyle name="C￥AØ_Sheet1_Ay°eC￥(2¿u) _착수결의서(죽전6차수정0603)" xfId="35238"/>
    <cellStyle name="Ç¥ÁØ_Sheet1_Áý°èÇ¥(2¿ù) _착수결의서(죽전6차수정0603)" xfId="35239"/>
    <cellStyle name="C￥AØ_Sheet1_Ay°eC￥(2¿u) _착수결의서(죽전6차수정0603)_Cost 비교표(070808)" xfId="35240"/>
    <cellStyle name="Ç¥ÁØ_Sheet1_Áý°èÇ¥(2¿ù) _착수결의서(죽전6차수정0603)_Cost 비교표(070808)" xfId="35241"/>
    <cellStyle name="C￥AØ_Sheet1_Ay°eC￥(2¿u) _착수결의서(죽전6차수정0603)_Cost 비교표(센텀120억Refinancing)_070814" xfId="35242"/>
    <cellStyle name="Ç¥ÁØ_Sheet1_Áý°èÇ¥(2¿ù) _착수결의서(죽전6차수정0603)_Cost 비교표(센텀120억Refinancing)_070814" xfId="35243"/>
    <cellStyle name="C￥AØ_Sheet1_Ay°eC￥(2¿u) _착수결의서(죽전6차수정0603)_센텀Refinancing제안_PF(070903)" xfId="35244"/>
    <cellStyle name="Ç¥ÁØ_Sheet1_Áý°èÇ¥(2¿ù) _착수결의서(죽전6차수정0603)_센텀Refinancing제안_PF(070903)" xfId="35245"/>
    <cellStyle name="C￥AØ_Sheet1_Ay°eC￥(2¿u) _착수결의서(최종)" xfId="35246"/>
    <cellStyle name="Ç¥ÁØ_Sheet1_Áý°èÇ¥(2¿ù) _착수결의서(최종)" xfId="35247"/>
    <cellStyle name="C￥AØ_Sheet1_Ay°eC￥(2¿u) _착수결의서(최종)_Cost 비교표(070808)" xfId="35248"/>
    <cellStyle name="Ç¥ÁØ_Sheet1_Áý°èÇ¥(2¿ù) _착수결의서(최종)_Cost 비교표(070808)" xfId="35249"/>
    <cellStyle name="C￥AØ_Sheet1_Ay°eC￥(2¿u) _착수결의서(최종)_Cost 비교표(센텀120억Refinancing)_070814" xfId="35250"/>
    <cellStyle name="Ç¥ÁØ_Sheet1_Áý°èÇ¥(2¿ù) _착수결의서(최종)_Cost 비교표(센텀120억Refinancing)_070814" xfId="35251"/>
    <cellStyle name="C￥AØ_Sheet1_Ay°eC￥(2¿u) _착수결의서(최종)_센텀Refinancing제안_PF(070903)" xfId="35252"/>
    <cellStyle name="Ç¥ÁØ_Sheet1_Áý°èÇ¥(2¿ù) _착수결의서(최종)_센텀Refinancing제안_PF(070903)" xfId="35253"/>
    <cellStyle name="C￥AØ_Sheet1_Ay°eC￥(2¿u) _착수결의서(최종2)" xfId="35254"/>
    <cellStyle name="Ç¥ÁØ_Sheet1_Áý°èÇ¥(2¿ù) _착수결의서(최종2)" xfId="35255"/>
    <cellStyle name="C￥AØ_Sheet1_Ay°eC￥(2¿u) _착수결의서(최종2)_Cost 비교표(070808)" xfId="35256"/>
    <cellStyle name="Ç¥ÁØ_Sheet1_Áý°èÇ¥(2¿ù) _착수결의서(최종2)_Cost 비교표(070808)" xfId="35257"/>
    <cellStyle name="C￥AØ_Sheet1_Ay°eC￥(2¿u) _착수결의서(최종2)_Cost 비교표(센텀120억Refinancing)_070814" xfId="35258"/>
    <cellStyle name="Ç¥ÁØ_Sheet1_Áý°èÇ¥(2¿ù) _착수결의서(최종2)_Cost 비교표(센텀120억Refinancing)_070814" xfId="35259"/>
    <cellStyle name="C￥AØ_Sheet1_Ay°eC￥(2¿u) _착수결의서(최종2)_센텀Refinancing제안_PF(070903)" xfId="35260"/>
    <cellStyle name="Ç¥ÁØ_Sheet1_Áý°èÇ¥(2¿ù) _착수결의서(최종2)_센텀Refinancing제안_PF(070903)" xfId="35261"/>
    <cellStyle name="C￥AØ_Sheet1_Ay°eC￥(2¿u) _착수결의서(최종2_죽전6차)" xfId="35262"/>
    <cellStyle name="Ç¥ÁØ_Sheet1_Áý°èÇ¥(2¿ù) _착수결의서(최종2_죽전6차)" xfId="35263"/>
    <cellStyle name="C￥AØ_Sheet1_Ay°eC￥(2¿u) _착수결의서(최종2_죽전6차)_Cost 비교표(070808)" xfId="35264"/>
    <cellStyle name="Ç¥ÁØ_Sheet1_Áý°èÇ¥(2¿ù) _착수결의서(최종2_죽전6차)_Cost 비교표(070808)" xfId="35265"/>
    <cellStyle name="C￥AØ_Sheet1_Ay°eC￥(2¿u) _착수결의서(최종2_죽전6차)_Cost 비교표(센텀120억Refinancing)_070814" xfId="35266"/>
    <cellStyle name="Ç¥ÁØ_Sheet1_Áý°èÇ¥(2¿ù) _착수결의서(최종2_죽전6차)_Cost 비교표(센텀120억Refinancing)_070814" xfId="35267"/>
    <cellStyle name="C￥AØ_Sheet1_Ay°eC￥(2¿u) _착수결의서(최종2_죽전6차)_센텀Refinancing제안_PF(070903)" xfId="35268"/>
    <cellStyle name="Ç¥ÁØ_Sheet1_Áý°èÇ¥(2¿ù) _착수결의서(최종2_죽전6차)_센텀Refinancing제안_PF(070903)" xfId="35269"/>
    <cellStyle name="C￥AØ_Sheet1_Ay°eC￥(2¿u) _착수결의서(하남신장)" xfId="35270"/>
    <cellStyle name="Ç¥ÁØ_Sheet1_Áý°èÇ¥(2¿ù) _착수결의서(하남신장)" xfId="35271"/>
    <cellStyle name="C￥AØ_Sheet1_Ay°eC￥(2¿u) _착수결의서(현장1)" xfId="35272"/>
    <cellStyle name="Ç¥ÁØ_Sheet1_Áý°èÇ¥(2¿ù) _착수결의서(현장1)" xfId="35273"/>
    <cellStyle name="C￥AØ_Sheet1_Ay°eC￥(2¿u) _착수결의서(현장1).xls Chart 1" xfId="35274"/>
    <cellStyle name="Ç¥ÁØ_Sheet1_Áý°èÇ¥(2¿ù) _착수결의서(현장1).xls Chart 1" xfId="35275"/>
    <cellStyle name="C￥AØ_Sheet1_Ay°eC￥(2¿u) _착수결의서(현장1).xls Chart 1_Cost 비교표(070808)" xfId="35276"/>
    <cellStyle name="Ç¥ÁØ_Sheet1_Áý°èÇ¥(2¿ù) _착수결의서(현장1).xls Chart 1_Cost 비교표(070808)" xfId="35277"/>
    <cellStyle name="C￥AØ_Sheet1_Ay°eC￥(2¿u) _착수결의서(현장1).xls Chart 1_Cost 비교표(센텀120억Refinancing)_070814" xfId="35278"/>
    <cellStyle name="Ç¥ÁØ_Sheet1_Áý°èÇ¥(2¿ù) _착수결의서(현장1).xls Chart 1_Cost 비교표(센텀120억Refinancing)_070814" xfId="35279"/>
    <cellStyle name="C￥AØ_Sheet1_Ay°eC￥(2¿u) _착수결의서(현장1).xls Chart 1_센텀Refinancing제안_PF(070903)" xfId="35280"/>
    <cellStyle name="Ç¥ÁØ_Sheet1_Áý°èÇ¥(2¿ù) _착수결의서(현장1).xls Chart 1_센텀Refinancing제안_PF(070903)" xfId="35281"/>
    <cellStyle name="C￥AØ_Sheet1_Ay°eC￥(2¿u) _착수결의서(현장1).xls Chart 2" xfId="35282"/>
    <cellStyle name="Ç¥ÁØ_Sheet1_Áý°èÇ¥(2¿ù) _착수결의서(현장1).xls Chart 2" xfId="35283"/>
    <cellStyle name="C￥AØ_Sheet1_Ay°eC￥(2¿u) _착수결의서(현장1).xls Chart 2_Cost 비교표(070808)" xfId="35284"/>
    <cellStyle name="Ç¥ÁØ_Sheet1_Áý°èÇ¥(2¿ù) _착수결의서(현장1).xls Chart 2_Cost 비교표(070808)" xfId="35285"/>
    <cellStyle name="C￥AØ_Sheet1_Ay°eC￥(2¿u) _착수결의서(현장1).xls Chart 2_Cost 비교표(센텀120억Refinancing)_070814" xfId="35286"/>
    <cellStyle name="Ç¥ÁØ_Sheet1_Áý°èÇ¥(2¿ù) _착수결의서(현장1).xls Chart 2_Cost 비교표(센텀120억Refinancing)_070814" xfId="35287"/>
    <cellStyle name="C￥AØ_Sheet1_Ay°eC￥(2¿u) _착수결의서(현장1).xls Chart 2_센텀Refinancing제안_PF(070903)" xfId="35288"/>
    <cellStyle name="Ç¥ÁØ_Sheet1_Áý°èÇ¥(2¿ù) _착수결의서(현장1).xls Chart 2_센텀Refinancing제안_PF(070903)" xfId="35289"/>
    <cellStyle name="C￥AØ_Sheet1_Ay°eC￥(2¿u) _착수결의서(현장1)_Cost 비교표(070808)" xfId="35290"/>
    <cellStyle name="Ç¥ÁØ_Sheet1_Áý°èÇ¥(2¿ù) _착수결의서(현장1)_Cost 비교표(070808)" xfId="35291"/>
    <cellStyle name="C￥AØ_Sheet1_Ay°eC￥(2¿u) _착수결의서(현장1)_Cost 비교표(센텀120억Refinancing)_070814" xfId="35292"/>
    <cellStyle name="Ç¥ÁØ_Sheet1_Áý°èÇ¥(2¿ù) _착수결의서(현장1)_Cost 비교표(센텀120억Refinancing)_070814" xfId="35293"/>
    <cellStyle name="C￥AØ_Sheet1_Ay°eC￥(2¿u) _착수결의서(현장1)_센텀Refinancing제안_PF(070903)" xfId="35294"/>
    <cellStyle name="Ç¥ÁØ_Sheet1_Áý°èÇ¥(2¿ù) _착수결의서(현장1)_센텀Refinancing제안_PF(070903)" xfId="35295"/>
    <cellStyle name="C￥AØ_Sheet1_Ay°eC￥(2¿u) _착수결의서_Cost 비교표(070808)" xfId="35296"/>
    <cellStyle name="Ç¥ÁØ_Sheet1_Áý°èÇ¥(2¿ù) _착수결의서_Cost 비교표(070808)" xfId="35297"/>
    <cellStyle name="C￥AØ_Sheet1_Ay°eC￥(2¿u) _착수결의서_Cost 비교표(센텀120억Refinancing)_070814" xfId="35298"/>
    <cellStyle name="Ç¥ÁØ_Sheet1_Áý°èÇ¥(2¿ù) _착수결의서_Cost 비교표(센텀120억Refinancing)_070814" xfId="35299"/>
    <cellStyle name="C￥AØ_Sheet1_Ay°eC￥(2¿u) _착수결의서_센텀Refinancing제안_PF(070903)" xfId="35300"/>
    <cellStyle name="Ç¥ÁØ_Sheet1_Áý°èÇ¥(2¿ù) _착수결의서_센텀Refinancing제안_PF(070903)" xfId="35301"/>
    <cellStyle name="C￥AØ_Sheet1_Ay°eC￥(2¿u) _착수결의서변경양식(excel)" xfId="35302"/>
    <cellStyle name="Ç¥ÁØ_Sheet1_Áý°èÇ¥(2¿ù) _착수결의서변경양식(excel)" xfId="35303"/>
    <cellStyle name="C￥AØ_SOON1 " xfId="35304"/>
    <cellStyle name="Ç¥ÁØ_SOON1 _DEC-GOODS IN TRANSIT" xfId="36307"/>
    <cellStyle name="Calc Currency (0)" xfId="98"/>
    <cellStyle name="Calc Currency (0) 2" xfId="2470"/>
    <cellStyle name="Calc Currency (0) 2 2" xfId="19611"/>
    <cellStyle name="Calc Currency (0) 2 3" xfId="35306"/>
    <cellStyle name="Calc Currency (0) 3" xfId="17257"/>
    <cellStyle name="Calc Currency (0) 4" xfId="35305"/>
    <cellStyle name="Calc Currency (2)" xfId="36308"/>
    <cellStyle name="Calc Percent (0)" xfId="36309"/>
    <cellStyle name="Calc Percent (1)" xfId="36310"/>
    <cellStyle name="Calc Percent (2)" xfId="36311"/>
    <cellStyle name="Calc Units (0)" xfId="36312"/>
    <cellStyle name="Calc Units (1)" xfId="36313"/>
    <cellStyle name="Calc Units (2)" xfId="36314"/>
    <cellStyle name="Calculation" xfId="36315"/>
    <cellStyle name="category" xfId="99"/>
    <cellStyle name="category 2" xfId="257"/>
    <cellStyle name="category 2 2" xfId="17400"/>
    <cellStyle name="category 3" xfId="17258"/>
    <cellStyle name="category 4" xfId="35307"/>
    <cellStyle name="Check Cell" xfId="36316"/>
    <cellStyle name="ÇÏÀÌÆÛ¸µÅ©" xfId="100"/>
    <cellStyle name="ÇÏÀÌÆÛ¸µÅ© 2" xfId="258"/>
    <cellStyle name="ÇÏÀÌÆÛ¸µÅ© 2 2" xfId="17401"/>
    <cellStyle name="ÇÏÀÌÆÛ¸µÅ© 3" xfId="17259"/>
    <cellStyle name="CIAIÆU¸μAⓒ" xfId="35308"/>
    <cellStyle name="ⓒoe¨￢¨￠Aⓒ÷_¡¾aA￠￢" xfId="36317"/>
    <cellStyle name="Comma" xfId="139"/>
    <cellStyle name="Comma [0]" xfId="36318"/>
    <cellStyle name="Comma [0] 2" xfId="36319"/>
    <cellStyle name="Comma [0] 3" xfId="36320"/>
    <cellStyle name="Comma [0]_ SG&amp;A Bridge " xfId="101"/>
    <cellStyle name="Comma [00]" xfId="36321"/>
    <cellStyle name="Comma 10" xfId="405"/>
    <cellStyle name="Comma 10 2" xfId="17548"/>
    <cellStyle name="Comma 11" xfId="408"/>
    <cellStyle name="Comma 11 2" xfId="17551"/>
    <cellStyle name="Comma 12" xfId="308"/>
    <cellStyle name="Comma 12 2" xfId="17451"/>
    <cellStyle name="Comma 13" xfId="456"/>
    <cellStyle name="Comma 13 2" xfId="17599"/>
    <cellStyle name="Comma 14" xfId="356"/>
    <cellStyle name="Comma 14 2" xfId="17499"/>
    <cellStyle name="Comma 15" xfId="475"/>
    <cellStyle name="Comma 15 2" xfId="17618"/>
    <cellStyle name="Comma 16" xfId="457"/>
    <cellStyle name="Comma 16 2" xfId="17600"/>
    <cellStyle name="Comma 17" xfId="479"/>
    <cellStyle name="Comma 17 2" xfId="17622"/>
    <cellStyle name="Comma 18" xfId="17284"/>
    <cellStyle name="Comma 19" xfId="35309"/>
    <cellStyle name="Comma 2" xfId="283"/>
    <cellStyle name="Comma 2 2" xfId="17426"/>
    <cellStyle name="Comma 3" xfId="387"/>
    <cellStyle name="Comma 3 2" xfId="17530"/>
    <cellStyle name="Comma 4" xfId="399"/>
    <cellStyle name="Comma 4 2" xfId="17542"/>
    <cellStyle name="Comma 5" xfId="369"/>
    <cellStyle name="Comma 5 2" xfId="17512"/>
    <cellStyle name="Comma 6" xfId="379"/>
    <cellStyle name="Comma 6 2" xfId="17522"/>
    <cellStyle name="Comma 7" xfId="360"/>
    <cellStyle name="Comma 7 2" xfId="17503"/>
    <cellStyle name="Comma 8" xfId="427"/>
    <cellStyle name="Comma 8 2" xfId="17570"/>
    <cellStyle name="Comma 9" xfId="437"/>
    <cellStyle name="Comma 9 2" xfId="17580"/>
    <cellStyle name="comma zerodec" xfId="102"/>
    <cellStyle name="comma zerodec 2" xfId="259"/>
    <cellStyle name="comma zerodec 2 2" xfId="17402"/>
    <cellStyle name="comma zerodec 2 2 2" xfId="35312"/>
    <cellStyle name="comma zerodec 2 3" xfId="35313"/>
    <cellStyle name="comma zerodec 2 4" xfId="35314"/>
    <cellStyle name="comma zerodec 2 5" xfId="35311"/>
    <cellStyle name="comma zerodec 3" xfId="17260"/>
    <cellStyle name="comma zerodec 3 2" xfId="35315"/>
    <cellStyle name="comma zerodec 4" xfId="35316"/>
    <cellStyle name="comma zerodec 5" xfId="35317"/>
    <cellStyle name="comma zerodec 6" xfId="35318"/>
    <cellStyle name="comma zerodec 7" xfId="35319"/>
    <cellStyle name="comma zerodec 8" xfId="35310"/>
    <cellStyle name="Comma_ SG&amp;A Bridge " xfId="103"/>
    <cellStyle name="Comma0" xfId="35320"/>
    <cellStyle name="Copied" xfId="148"/>
    <cellStyle name="Copied 2" xfId="291"/>
    <cellStyle name="Copied 2 2" xfId="17434"/>
    <cellStyle name="Copied 3" xfId="17293"/>
    <cellStyle name="Copied 4" xfId="35321"/>
    <cellStyle name="Curren?_x0012_퐀_x0017_?" xfId="35322"/>
    <cellStyle name="Currency" xfId="140"/>
    <cellStyle name="Currency [0]" xfId="36322"/>
    <cellStyle name="Currency [0] 2" xfId="36323"/>
    <cellStyle name="Currency [0] 3" xfId="36324"/>
    <cellStyle name="Currency [0]?1" xfId="36325"/>
    <cellStyle name="Currency [0]_ SG&amp;A Bridge " xfId="104"/>
    <cellStyle name="Currency [00]" xfId="36326"/>
    <cellStyle name="Currency 10" xfId="441"/>
    <cellStyle name="Currency 10 2" xfId="17584"/>
    <cellStyle name="Currency 11" xfId="322"/>
    <cellStyle name="Currency 11 2" xfId="17465"/>
    <cellStyle name="Currency 12" xfId="362"/>
    <cellStyle name="Currency 12 2" xfId="17505"/>
    <cellStyle name="Currency 13" xfId="384"/>
    <cellStyle name="Currency 13 2" xfId="17527"/>
    <cellStyle name="Currency 14" xfId="433"/>
    <cellStyle name="Currency 14 2" xfId="17576"/>
    <cellStyle name="Currency 15" xfId="476"/>
    <cellStyle name="Currency 15 2" xfId="17619"/>
    <cellStyle name="Currency 16" xfId="460"/>
    <cellStyle name="Currency 16 2" xfId="17603"/>
    <cellStyle name="Currency 17" xfId="373"/>
    <cellStyle name="Currency 17 2" xfId="17516"/>
    <cellStyle name="Currency 18" xfId="17285"/>
    <cellStyle name="Currency 19" xfId="35323"/>
    <cellStyle name="Currency 2" xfId="284"/>
    <cellStyle name="Currency 2 2" xfId="17427"/>
    <cellStyle name="Currency 3" xfId="388"/>
    <cellStyle name="Currency 3 2" xfId="17531"/>
    <cellStyle name="Currency 4" xfId="395"/>
    <cellStyle name="Currency 4 2" xfId="17538"/>
    <cellStyle name="Currency 5" xfId="370"/>
    <cellStyle name="Currency 5 2" xfId="17513"/>
    <cellStyle name="Currency 6" xfId="389"/>
    <cellStyle name="Currency 6 2" xfId="17532"/>
    <cellStyle name="Currency 7" xfId="426"/>
    <cellStyle name="Currency 7 2" xfId="17569"/>
    <cellStyle name="Currency 8" xfId="307"/>
    <cellStyle name="Currency 8 2" xfId="17450"/>
    <cellStyle name="Currency 9" xfId="410"/>
    <cellStyle name="Currency 9 2" xfId="17553"/>
    <cellStyle name="currency-$" xfId="36327"/>
    <cellStyle name="Currency_ SG&amp;A Bridge " xfId="105"/>
    <cellStyle name="Currency0" xfId="35324"/>
    <cellStyle name="Currency1" xfId="106"/>
    <cellStyle name="Currency1 10" xfId="35325"/>
    <cellStyle name="Currency1 2" xfId="2471"/>
    <cellStyle name="Currency1 2 2" xfId="19612"/>
    <cellStyle name="Currency1 2 2 2" xfId="35328"/>
    <cellStyle name="Currency1 2 2 2 2" xfId="35329"/>
    <cellStyle name="Currency1 2 2 2 3" xfId="35330"/>
    <cellStyle name="Currency1 2 2 3" xfId="35331"/>
    <cellStyle name="Currency1 2 2 4" xfId="35327"/>
    <cellStyle name="Currency1 2 3" xfId="35332"/>
    <cellStyle name="Currency1 2 4" xfId="35333"/>
    <cellStyle name="Currency1 2 5" xfId="35334"/>
    <cellStyle name="Currency1 2 6" xfId="35335"/>
    <cellStyle name="Currency1 2 7" xfId="35326"/>
    <cellStyle name="Currency1 3" xfId="17261"/>
    <cellStyle name="Currency1 3 2" xfId="35336"/>
    <cellStyle name="Currency1 4" xfId="35337"/>
    <cellStyle name="Currency1 5" xfId="35338"/>
    <cellStyle name="Currency1 6" xfId="35339"/>
    <cellStyle name="Currency1 7" xfId="35340"/>
    <cellStyle name="Currency1 8" xfId="35341"/>
    <cellStyle name="Currency1 9" xfId="35342"/>
    <cellStyle name="DataRow1" xfId="36328"/>
    <cellStyle name="Date" xfId="149"/>
    <cellStyle name="Date 2" xfId="292"/>
    <cellStyle name="Date 2 2" xfId="17435"/>
    <cellStyle name="Date 2 2 2" xfId="35345"/>
    <cellStyle name="Date 2 3" xfId="35346"/>
    <cellStyle name="Date 2 4" xfId="35344"/>
    <cellStyle name="Date 3" xfId="17294"/>
    <cellStyle name="Date 3 2" xfId="35347"/>
    <cellStyle name="Date 4" xfId="35343"/>
    <cellStyle name="Date Short" xfId="36329"/>
    <cellStyle name="Date_정산표(20040721_임범석)-손익포함" xfId="36330"/>
    <cellStyle name="DELTA" xfId="36331"/>
    <cellStyle name="Dezimal [0]_Aktenbewertung 1994" xfId="36332"/>
    <cellStyle name="Dezimal_Aktenbewertung 1994" xfId="36333"/>
    <cellStyle name="Dollar (zero dec)" xfId="107"/>
    <cellStyle name="Dollar (zero dec) 2" xfId="260"/>
    <cellStyle name="Dollar (zero dec) 2 2" xfId="17403"/>
    <cellStyle name="Dollar (zero dec) 2 2 2" xfId="35350"/>
    <cellStyle name="Dollar (zero dec) 2 3" xfId="35351"/>
    <cellStyle name="Dollar (zero dec) 2 4" xfId="35352"/>
    <cellStyle name="Dollar (zero dec) 2 5" xfId="35349"/>
    <cellStyle name="Dollar (zero dec) 3" xfId="17262"/>
    <cellStyle name="Dollar (zero dec) 3 2" xfId="35353"/>
    <cellStyle name="Dollar (zero dec) 4" xfId="35354"/>
    <cellStyle name="Dollar (zero dec) 5" xfId="35355"/>
    <cellStyle name="Dollar (zero dec) 6" xfId="35356"/>
    <cellStyle name="Dollar (zero dec) 7" xfId="35357"/>
    <cellStyle name="Dollar (zero dec) 8" xfId="35348"/>
    <cellStyle name="Enter Currency (0)" xfId="36334"/>
    <cellStyle name="Enter Currency (2)" xfId="36335"/>
    <cellStyle name="Enter Units (0)" xfId="36336"/>
    <cellStyle name="Enter Units (1)" xfId="36337"/>
    <cellStyle name="Enter Units (2)" xfId="36338"/>
    <cellStyle name="Entered" xfId="150"/>
    <cellStyle name="Entered 2" xfId="293"/>
    <cellStyle name="Entered 2 2" xfId="17436"/>
    <cellStyle name="Entered 3" xfId="17295"/>
    <cellStyle name="Entered 4" xfId="35358"/>
    <cellStyle name="Euro" xfId="173"/>
    <cellStyle name="Euro 2" xfId="2472"/>
    <cellStyle name="Euro 2 2" xfId="19613"/>
    <cellStyle name="Euro 3" xfId="17316"/>
    <cellStyle name="Explanatory Text" xfId="36339"/>
    <cellStyle name="EY0dp" xfId="174"/>
    <cellStyle name="EY0dp 2" xfId="311"/>
    <cellStyle name="EY0dp 2 2" xfId="17454"/>
    <cellStyle name="EY0dp 3" xfId="17317"/>
    <cellStyle name="EYColumnHeading" xfId="175"/>
    <cellStyle name="EYColumnHeading 10" xfId="472"/>
    <cellStyle name="EYColumnHeading 10 10" xfId="13067"/>
    <cellStyle name="EYColumnHeading 10 10 2" xfId="16418"/>
    <cellStyle name="EYColumnHeading 10 10 2 2" xfId="33559"/>
    <cellStyle name="EYColumnHeading 10 10 3" xfId="30208"/>
    <cellStyle name="EYColumnHeading 10 11" xfId="13147"/>
    <cellStyle name="EYColumnHeading 10 11 2" xfId="16498"/>
    <cellStyle name="EYColumnHeading 10 11 2 2" xfId="33639"/>
    <cellStyle name="EYColumnHeading 10 11 3" xfId="30288"/>
    <cellStyle name="EYColumnHeading 10 12" xfId="13240"/>
    <cellStyle name="EYColumnHeading 10 12 2" xfId="16591"/>
    <cellStyle name="EYColumnHeading 10 12 2 2" xfId="33732"/>
    <cellStyle name="EYColumnHeading 10 12 3" xfId="30381"/>
    <cellStyle name="EYColumnHeading 10 13" xfId="13327"/>
    <cellStyle name="EYColumnHeading 10 13 2" xfId="16678"/>
    <cellStyle name="EYColumnHeading 10 13 2 2" xfId="33819"/>
    <cellStyle name="EYColumnHeading 10 13 3" xfId="30468"/>
    <cellStyle name="EYColumnHeading 10 14" xfId="13414"/>
    <cellStyle name="EYColumnHeading 10 14 2" xfId="16765"/>
    <cellStyle name="EYColumnHeading 10 14 2 2" xfId="33906"/>
    <cellStyle name="EYColumnHeading 10 14 3" xfId="30555"/>
    <cellStyle name="EYColumnHeading 10 15" xfId="13488"/>
    <cellStyle name="EYColumnHeading 10 15 2" xfId="16839"/>
    <cellStyle name="EYColumnHeading 10 15 2 2" xfId="33980"/>
    <cellStyle name="EYColumnHeading 10 15 3" xfId="30629"/>
    <cellStyle name="EYColumnHeading 10 16" xfId="13551"/>
    <cellStyle name="EYColumnHeading 10 16 2" xfId="16902"/>
    <cellStyle name="EYColumnHeading 10 16 2 2" xfId="34043"/>
    <cellStyle name="EYColumnHeading 10 16 3" xfId="30692"/>
    <cellStyle name="EYColumnHeading 10 17" xfId="13617"/>
    <cellStyle name="EYColumnHeading 10 17 2" xfId="16968"/>
    <cellStyle name="EYColumnHeading 10 17 2 2" xfId="34109"/>
    <cellStyle name="EYColumnHeading 10 17 3" xfId="30758"/>
    <cellStyle name="EYColumnHeading 10 18" xfId="13679"/>
    <cellStyle name="EYColumnHeading 10 18 2" xfId="17030"/>
    <cellStyle name="EYColumnHeading 10 18 2 2" xfId="34171"/>
    <cellStyle name="EYColumnHeading 10 18 3" xfId="30820"/>
    <cellStyle name="EYColumnHeading 10 19" xfId="13824"/>
    <cellStyle name="EYColumnHeading 10 19 2" xfId="17163"/>
    <cellStyle name="EYColumnHeading 10 19 2 2" xfId="34304"/>
    <cellStyle name="EYColumnHeading 10 19 3" xfId="30965"/>
    <cellStyle name="EYColumnHeading 10 2" xfId="941"/>
    <cellStyle name="EYColumnHeading 10 2 2" xfId="1352"/>
    <cellStyle name="EYColumnHeading 10 2 2 2" xfId="2250"/>
    <cellStyle name="EYColumnHeading 10 2 2 2 2" xfId="15556"/>
    <cellStyle name="EYColumnHeading 10 2 2 2 2 2" xfId="32697"/>
    <cellStyle name="EYColumnHeading 10 2 2 2 3" xfId="19393"/>
    <cellStyle name="EYColumnHeading 10 2 2 3" xfId="14660"/>
    <cellStyle name="EYColumnHeading 10 2 2 3 2" xfId="31801"/>
    <cellStyle name="EYColumnHeading 10 2 2 4" xfId="18495"/>
    <cellStyle name="EYColumnHeading 10 2 3" xfId="1855"/>
    <cellStyle name="EYColumnHeading 10 2 3 2" xfId="15161"/>
    <cellStyle name="EYColumnHeading 10 2 3 2 2" xfId="32302"/>
    <cellStyle name="EYColumnHeading 10 2 3 3" xfId="18998"/>
    <cellStyle name="EYColumnHeading 10 2 4" xfId="14256"/>
    <cellStyle name="EYColumnHeading 10 2 4 2" xfId="31397"/>
    <cellStyle name="EYColumnHeading 10 2 5" xfId="18084"/>
    <cellStyle name="EYColumnHeading 10 20" xfId="13942"/>
    <cellStyle name="EYColumnHeading 10 20 2" xfId="31083"/>
    <cellStyle name="EYColumnHeading 10 21" xfId="17615"/>
    <cellStyle name="EYColumnHeading 10 3" xfId="789"/>
    <cellStyle name="EYColumnHeading 10 3 2" xfId="1242"/>
    <cellStyle name="EYColumnHeading 10 3 2 2" xfId="2140"/>
    <cellStyle name="EYColumnHeading 10 3 2 2 2" xfId="15446"/>
    <cellStyle name="EYColumnHeading 10 3 2 2 2 2" xfId="32587"/>
    <cellStyle name="EYColumnHeading 10 3 2 2 3" xfId="19283"/>
    <cellStyle name="EYColumnHeading 10 3 2 3" xfId="14550"/>
    <cellStyle name="EYColumnHeading 10 3 2 3 2" xfId="31691"/>
    <cellStyle name="EYColumnHeading 10 3 2 4" xfId="18385"/>
    <cellStyle name="EYColumnHeading 10 3 3" xfId="1745"/>
    <cellStyle name="EYColumnHeading 10 3 3 2" xfId="15051"/>
    <cellStyle name="EYColumnHeading 10 3 3 2 2" xfId="32192"/>
    <cellStyle name="EYColumnHeading 10 3 3 3" xfId="18888"/>
    <cellStyle name="EYColumnHeading 10 3 4" xfId="14146"/>
    <cellStyle name="EYColumnHeading 10 3 4 2" xfId="31287"/>
    <cellStyle name="EYColumnHeading 10 3 5" xfId="17932"/>
    <cellStyle name="EYColumnHeading 10 4" xfId="1049"/>
    <cellStyle name="EYColumnHeading 10 4 2" xfId="1444"/>
    <cellStyle name="EYColumnHeading 10 4 2 2" xfId="2342"/>
    <cellStyle name="EYColumnHeading 10 4 2 2 2" xfId="15648"/>
    <cellStyle name="EYColumnHeading 10 4 2 2 2 2" xfId="32789"/>
    <cellStyle name="EYColumnHeading 10 4 2 2 3" xfId="19485"/>
    <cellStyle name="EYColumnHeading 10 4 2 3" xfId="14752"/>
    <cellStyle name="EYColumnHeading 10 4 2 3 2" xfId="31893"/>
    <cellStyle name="EYColumnHeading 10 4 2 4" xfId="18587"/>
    <cellStyle name="EYColumnHeading 10 4 3" xfId="1956"/>
    <cellStyle name="EYColumnHeading 10 4 3 2" xfId="15262"/>
    <cellStyle name="EYColumnHeading 10 4 3 2 2" xfId="32403"/>
    <cellStyle name="EYColumnHeading 10 4 3 3" xfId="19099"/>
    <cellStyle name="EYColumnHeading 10 4 4" xfId="14357"/>
    <cellStyle name="EYColumnHeading 10 4 4 2" xfId="31498"/>
    <cellStyle name="EYColumnHeading 10 4 5" xfId="18192"/>
    <cellStyle name="EYColumnHeading 10 5" xfId="1148"/>
    <cellStyle name="EYColumnHeading 10 5 2" xfId="2047"/>
    <cellStyle name="EYColumnHeading 10 5 2 2" xfId="15353"/>
    <cellStyle name="EYColumnHeading 10 5 2 2 2" xfId="32494"/>
    <cellStyle name="EYColumnHeading 10 5 2 3" xfId="19190"/>
    <cellStyle name="EYColumnHeading 10 5 3" xfId="14456"/>
    <cellStyle name="EYColumnHeading 10 5 3 2" xfId="31597"/>
    <cellStyle name="EYColumnHeading 10 5 4" xfId="18291"/>
    <cellStyle name="EYColumnHeading 10 6" xfId="1540"/>
    <cellStyle name="EYColumnHeading 10 6 2" xfId="2437"/>
    <cellStyle name="EYColumnHeading 10 6 2 2" xfId="15743"/>
    <cellStyle name="EYColumnHeading 10 6 2 2 2" xfId="32884"/>
    <cellStyle name="EYColumnHeading 10 6 2 3" xfId="19580"/>
    <cellStyle name="EYColumnHeading 10 6 3" xfId="14847"/>
    <cellStyle name="EYColumnHeading 10 6 3 2" xfId="31988"/>
    <cellStyle name="EYColumnHeading 10 6 4" xfId="18683"/>
    <cellStyle name="EYColumnHeading 10 7" xfId="688"/>
    <cellStyle name="EYColumnHeading 10 7 2" xfId="14052"/>
    <cellStyle name="EYColumnHeading 10 7 2 2" xfId="31193"/>
    <cellStyle name="EYColumnHeading 10 7 3" xfId="17831"/>
    <cellStyle name="EYColumnHeading 10 8" xfId="1650"/>
    <cellStyle name="EYColumnHeading 10 8 2" xfId="14956"/>
    <cellStyle name="EYColumnHeading 10 8 2 2" xfId="32097"/>
    <cellStyle name="EYColumnHeading 10 8 3" xfId="18793"/>
    <cellStyle name="EYColumnHeading 10 9" xfId="12955"/>
    <cellStyle name="EYColumnHeading 10 9 2" xfId="16313"/>
    <cellStyle name="EYColumnHeading 10 9 2 2" xfId="33454"/>
    <cellStyle name="EYColumnHeading 10 9 3" xfId="30096"/>
    <cellStyle name="EYColumnHeading 11" xfId="482"/>
    <cellStyle name="EYColumnHeading 11 10" xfId="13077"/>
    <cellStyle name="EYColumnHeading 11 10 2" xfId="16428"/>
    <cellStyle name="EYColumnHeading 11 10 2 2" xfId="33569"/>
    <cellStyle name="EYColumnHeading 11 10 3" xfId="30218"/>
    <cellStyle name="EYColumnHeading 11 11" xfId="13155"/>
    <cellStyle name="EYColumnHeading 11 11 2" xfId="16506"/>
    <cellStyle name="EYColumnHeading 11 11 2 2" xfId="33647"/>
    <cellStyle name="EYColumnHeading 11 11 3" xfId="30296"/>
    <cellStyle name="EYColumnHeading 11 12" xfId="13249"/>
    <cellStyle name="EYColumnHeading 11 12 2" xfId="16600"/>
    <cellStyle name="EYColumnHeading 11 12 2 2" xfId="33741"/>
    <cellStyle name="EYColumnHeading 11 12 3" xfId="30390"/>
    <cellStyle name="EYColumnHeading 11 13" xfId="13335"/>
    <cellStyle name="EYColumnHeading 11 13 2" xfId="16686"/>
    <cellStyle name="EYColumnHeading 11 13 2 2" xfId="33827"/>
    <cellStyle name="EYColumnHeading 11 13 3" xfId="30476"/>
    <cellStyle name="EYColumnHeading 11 14" xfId="13421"/>
    <cellStyle name="EYColumnHeading 11 14 2" xfId="16772"/>
    <cellStyle name="EYColumnHeading 11 14 2 2" xfId="33913"/>
    <cellStyle name="EYColumnHeading 11 14 3" xfId="30562"/>
    <cellStyle name="EYColumnHeading 11 15" xfId="13495"/>
    <cellStyle name="EYColumnHeading 11 15 2" xfId="16846"/>
    <cellStyle name="EYColumnHeading 11 15 2 2" xfId="33987"/>
    <cellStyle name="EYColumnHeading 11 15 3" xfId="30636"/>
    <cellStyle name="EYColumnHeading 11 16" xfId="13557"/>
    <cellStyle name="EYColumnHeading 11 16 2" xfId="16908"/>
    <cellStyle name="EYColumnHeading 11 16 2 2" xfId="34049"/>
    <cellStyle name="EYColumnHeading 11 16 3" xfId="30698"/>
    <cellStyle name="EYColumnHeading 11 17" xfId="13623"/>
    <cellStyle name="EYColumnHeading 11 17 2" xfId="16974"/>
    <cellStyle name="EYColumnHeading 11 17 2 2" xfId="34115"/>
    <cellStyle name="EYColumnHeading 11 17 3" xfId="30764"/>
    <cellStyle name="EYColumnHeading 11 18" xfId="13685"/>
    <cellStyle name="EYColumnHeading 11 18 2" xfId="17036"/>
    <cellStyle name="EYColumnHeading 11 18 2 2" xfId="34177"/>
    <cellStyle name="EYColumnHeading 11 18 3" xfId="30826"/>
    <cellStyle name="EYColumnHeading 11 19" xfId="13830"/>
    <cellStyle name="EYColumnHeading 11 19 2" xfId="17169"/>
    <cellStyle name="EYColumnHeading 11 19 2 2" xfId="34310"/>
    <cellStyle name="EYColumnHeading 11 19 3" xfId="30971"/>
    <cellStyle name="EYColumnHeading 11 2" xfId="947"/>
    <cellStyle name="EYColumnHeading 11 2 2" xfId="1358"/>
    <cellStyle name="EYColumnHeading 11 2 2 2" xfId="2256"/>
    <cellStyle name="EYColumnHeading 11 2 2 2 2" xfId="15562"/>
    <cellStyle name="EYColumnHeading 11 2 2 2 2 2" xfId="32703"/>
    <cellStyle name="EYColumnHeading 11 2 2 2 3" xfId="19399"/>
    <cellStyle name="EYColumnHeading 11 2 2 3" xfId="14666"/>
    <cellStyle name="EYColumnHeading 11 2 2 3 2" xfId="31807"/>
    <cellStyle name="EYColumnHeading 11 2 2 4" xfId="18501"/>
    <cellStyle name="EYColumnHeading 11 2 3" xfId="1861"/>
    <cellStyle name="EYColumnHeading 11 2 3 2" xfId="15167"/>
    <cellStyle name="EYColumnHeading 11 2 3 2 2" xfId="32308"/>
    <cellStyle name="EYColumnHeading 11 2 3 3" xfId="19004"/>
    <cellStyle name="EYColumnHeading 11 2 4" xfId="14262"/>
    <cellStyle name="EYColumnHeading 11 2 4 2" xfId="31403"/>
    <cellStyle name="EYColumnHeading 11 2 5" xfId="18090"/>
    <cellStyle name="EYColumnHeading 11 20" xfId="13948"/>
    <cellStyle name="EYColumnHeading 11 20 2" xfId="31089"/>
    <cellStyle name="EYColumnHeading 11 21" xfId="17625"/>
    <cellStyle name="EYColumnHeading 11 3" xfId="794"/>
    <cellStyle name="EYColumnHeading 11 3 2" xfId="1247"/>
    <cellStyle name="EYColumnHeading 11 3 2 2" xfId="2145"/>
    <cellStyle name="EYColumnHeading 11 3 2 2 2" xfId="15451"/>
    <cellStyle name="EYColumnHeading 11 3 2 2 2 2" xfId="32592"/>
    <cellStyle name="EYColumnHeading 11 3 2 2 3" xfId="19288"/>
    <cellStyle name="EYColumnHeading 11 3 2 3" xfId="14555"/>
    <cellStyle name="EYColumnHeading 11 3 2 3 2" xfId="31696"/>
    <cellStyle name="EYColumnHeading 11 3 2 4" xfId="18390"/>
    <cellStyle name="EYColumnHeading 11 3 3" xfId="1750"/>
    <cellStyle name="EYColumnHeading 11 3 3 2" xfId="15056"/>
    <cellStyle name="EYColumnHeading 11 3 3 2 2" xfId="32197"/>
    <cellStyle name="EYColumnHeading 11 3 3 3" xfId="18893"/>
    <cellStyle name="EYColumnHeading 11 3 4" xfId="14151"/>
    <cellStyle name="EYColumnHeading 11 3 4 2" xfId="31292"/>
    <cellStyle name="EYColumnHeading 11 3 5" xfId="17937"/>
    <cellStyle name="EYColumnHeading 11 4" xfId="1055"/>
    <cellStyle name="EYColumnHeading 11 4 2" xfId="1449"/>
    <cellStyle name="EYColumnHeading 11 4 2 2" xfId="2347"/>
    <cellStyle name="EYColumnHeading 11 4 2 2 2" xfId="15653"/>
    <cellStyle name="EYColumnHeading 11 4 2 2 2 2" xfId="32794"/>
    <cellStyle name="EYColumnHeading 11 4 2 2 3" xfId="19490"/>
    <cellStyle name="EYColumnHeading 11 4 2 3" xfId="14757"/>
    <cellStyle name="EYColumnHeading 11 4 2 3 2" xfId="31898"/>
    <cellStyle name="EYColumnHeading 11 4 2 4" xfId="18592"/>
    <cellStyle name="EYColumnHeading 11 4 3" xfId="1962"/>
    <cellStyle name="EYColumnHeading 11 4 3 2" xfId="15268"/>
    <cellStyle name="EYColumnHeading 11 4 3 2 2" xfId="32409"/>
    <cellStyle name="EYColumnHeading 11 4 3 3" xfId="19105"/>
    <cellStyle name="EYColumnHeading 11 4 4" xfId="14363"/>
    <cellStyle name="EYColumnHeading 11 4 4 2" xfId="31504"/>
    <cellStyle name="EYColumnHeading 11 4 5" xfId="18198"/>
    <cellStyle name="EYColumnHeading 11 5" xfId="1153"/>
    <cellStyle name="EYColumnHeading 11 5 2" xfId="2052"/>
    <cellStyle name="EYColumnHeading 11 5 2 2" xfId="15358"/>
    <cellStyle name="EYColumnHeading 11 5 2 2 2" xfId="32499"/>
    <cellStyle name="EYColumnHeading 11 5 2 3" xfId="19195"/>
    <cellStyle name="EYColumnHeading 11 5 3" xfId="14461"/>
    <cellStyle name="EYColumnHeading 11 5 3 2" xfId="31602"/>
    <cellStyle name="EYColumnHeading 11 5 4" xfId="18296"/>
    <cellStyle name="EYColumnHeading 11 6" xfId="1545"/>
    <cellStyle name="EYColumnHeading 11 6 2" xfId="2442"/>
    <cellStyle name="EYColumnHeading 11 6 2 2" xfId="15748"/>
    <cellStyle name="EYColumnHeading 11 6 2 2 2" xfId="32889"/>
    <cellStyle name="EYColumnHeading 11 6 2 3" xfId="19585"/>
    <cellStyle name="EYColumnHeading 11 6 3" xfId="14852"/>
    <cellStyle name="EYColumnHeading 11 6 3 2" xfId="31993"/>
    <cellStyle name="EYColumnHeading 11 6 4" xfId="18688"/>
    <cellStyle name="EYColumnHeading 11 7" xfId="693"/>
    <cellStyle name="EYColumnHeading 11 7 2" xfId="14057"/>
    <cellStyle name="EYColumnHeading 11 7 2 2" xfId="31198"/>
    <cellStyle name="EYColumnHeading 11 7 3" xfId="17836"/>
    <cellStyle name="EYColumnHeading 11 8" xfId="1656"/>
    <cellStyle name="EYColumnHeading 11 8 2" xfId="14962"/>
    <cellStyle name="EYColumnHeading 11 8 2 2" xfId="32103"/>
    <cellStyle name="EYColumnHeading 11 8 3" xfId="18799"/>
    <cellStyle name="EYColumnHeading 11 9" xfId="12965"/>
    <cellStyle name="EYColumnHeading 11 9 2" xfId="16323"/>
    <cellStyle name="EYColumnHeading 11 9 2 2" xfId="33464"/>
    <cellStyle name="EYColumnHeading 11 9 3" xfId="30106"/>
    <cellStyle name="EYColumnHeading 12" xfId="484"/>
    <cellStyle name="EYColumnHeading 12 10" xfId="13079"/>
    <cellStyle name="EYColumnHeading 12 10 2" xfId="16430"/>
    <cellStyle name="EYColumnHeading 12 10 2 2" xfId="33571"/>
    <cellStyle name="EYColumnHeading 12 10 3" xfId="30220"/>
    <cellStyle name="EYColumnHeading 12 11" xfId="13157"/>
    <cellStyle name="EYColumnHeading 12 11 2" xfId="16508"/>
    <cellStyle name="EYColumnHeading 12 11 2 2" xfId="33649"/>
    <cellStyle name="EYColumnHeading 12 11 3" xfId="30298"/>
    <cellStyle name="EYColumnHeading 12 12" xfId="13251"/>
    <cellStyle name="EYColumnHeading 12 12 2" xfId="16602"/>
    <cellStyle name="EYColumnHeading 12 12 2 2" xfId="33743"/>
    <cellStyle name="EYColumnHeading 12 12 3" xfId="30392"/>
    <cellStyle name="EYColumnHeading 12 13" xfId="13337"/>
    <cellStyle name="EYColumnHeading 12 13 2" xfId="16688"/>
    <cellStyle name="EYColumnHeading 12 13 2 2" xfId="33829"/>
    <cellStyle name="EYColumnHeading 12 13 3" xfId="30478"/>
    <cellStyle name="EYColumnHeading 12 14" xfId="13423"/>
    <cellStyle name="EYColumnHeading 12 14 2" xfId="16774"/>
    <cellStyle name="EYColumnHeading 12 14 2 2" xfId="33915"/>
    <cellStyle name="EYColumnHeading 12 14 3" xfId="30564"/>
    <cellStyle name="EYColumnHeading 12 15" xfId="13497"/>
    <cellStyle name="EYColumnHeading 12 15 2" xfId="16848"/>
    <cellStyle name="EYColumnHeading 12 15 2 2" xfId="33989"/>
    <cellStyle name="EYColumnHeading 12 15 3" xfId="30638"/>
    <cellStyle name="EYColumnHeading 12 16" xfId="13559"/>
    <cellStyle name="EYColumnHeading 12 16 2" xfId="16910"/>
    <cellStyle name="EYColumnHeading 12 16 2 2" xfId="34051"/>
    <cellStyle name="EYColumnHeading 12 16 3" xfId="30700"/>
    <cellStyle name="EYColumnHeading 12 17" xfId="13625"/>
    <cellStyle name="EYColumnHeading 12 17 2" xfId="16976"/>
    <cellStyle name="EYColumnHeading 12 17 2 2" xfId="34117"/>
    <cellStyle name="EYColumnHeading 12 17 3" xfId="30766"/>
    <cellStyle name="EYColumnHeading 12 18" xfId="13687"/>
    <cellStyle name="EYColumnHeading 12 18 2" xfId="17038"/>
    <cellStyle name="EYColumnHeading 12 18 2 2" xfId="34179"/>
    <cellStyle name="EYColumnHeading 12 18 3" xfId="30828"/>
    <cellStyle name="EYColumnHeading 12 19" xfId="13832"/>
    <cellStyle name="EYColumnHeading 12 19 2" xfId="17171"/>
    <cellStyle name="EYColumnHeading 12 19 2 2" xfId="34312"/>
    <cellStyle name="EYColumnHeading 12 19 3" xfId="30973"/>
    <cellStyle name="EYColumnHeading 12 2" xfId="949"/>
    <cellStyle name="EYColumnHeading 12 2 2" xfId="1360"/>
    <cellStyle name="EYColumnHeading 12 2 2 2" xfId="2258"/>
    <cellStyle name="EYColumnHeading 12 2 2 2 2" xfId="15564"/>
    <cellStyle name="EYColumnHeading 12 2 2 2 2 2" xfId="32705"/>
    <cellStyle name="EYColumnHeading 12 2 2 2 3" xfId="19401"/>
    <cellStyle name="EYColumnHeading 12 2 2 3" xfId="14668"/>
    <cellStyle name="EYColumnHeading 12 2 2 3 2" xfId="31809"/>
    <cellStyle name="EYColumnHeading 12 2 2 4" xfId="18503"/>
    <cellStyle name="EYColumnHeading 12 2 3" xfId="1863"/>
    <cellStyle name="EYColumnHeading 12 2 3 2" xfId="15169"/>
    <cellStyle name="EYColumnHeading 12 2 3 2 2" xfId="32310"/>
    <cellStyle name="EYColumnHeading 12 2 3 3" xfId="19006"/>
    <cellStyle name="EYColumnHeading 12 2 4" xfId="14264"/>
    <cellStyle name="EYColumnHeading 12 2 4 2" xfId="31405"/>
    <cellStyle name="EYColumnHeading 12 2 5" xfId="18092"/>
    <cellStyle name="EYColumnHeading 12 20" xfId="13950"/>
    <cellStyle name="EYColumnHeading 12 20 2" xfId="31091"/>
    <cellStyle name="EYColumnHeading 12 21" xfId="17627"/>
    <cellStyle name="EYColumnHeading 12 3" xfId="796"/>
    <cellStyle name="EYColumnHeading 12 3 2" xfId="1249"/>
    <cellStyle name="EYColumnHeading 12 3 2 2" xfId="2147"/>
    <cellStyle name="EYColumnHeading 12 3 2 2 2" xfId="15453"/>
    <cellStyle name="EYColumnHeading 12 3 2 2 2 2" xfId="32594"/>
    <cellStyle name="EYColumnHeading 12 3 2 2 3" xfId="19290"/>
    <cellStyle name="EYColumnHeading 12 3 2 3" xfId="14557"/>
    <cellStyle name="EYColumnHeading 12 3 2 3 2" xfId="31698"/>
    <cellStyle name="EYColumnHeading 12 3 2 4" xfId="18392"/>
    <cellStyle name="EYColumnHeading 12 3 3" xfId="1752"/>
    <cellStyle name="EYColumnHeading 12 3 3 2" xfId="15058"/>
    <cellStyle name="EYColumnHeading 12 3 3 2 2" xfId="32199"/>
    <cellStyle name="EYColumnHeading 12 3 3 3" xfId="18895"/>
    <cellStyle name="EYColumnHeading 12 3 4" xfId="14153"/>
    <cellStyle name="EYColumnHeading 12 3 4 2" xfId="31294"/>
    <cellStyle name="EYColumnHeading 12 3 5" xfId="17939"/>
    <cellStyle name="EYColumnHeading 12 4" xfId="1057"/>
    <cellStyle name="EYColumnHeading 12 4 2" xfId="1451"/>
    <cellStyle name="EYColumnHeading 12 4 2 2" xfId="2349"/>
    <cellStyle name="EYColumnHeading 12 4 2 2 2" xfId="15655"/>
    <cellStyle name="EYColumnHeading 12 4 2 2 2 2" xfId="32796"/>
    <cellStyle name="EYColumnHeading 12 4 2 2 3" xfId="19492"/>
    <cellStyle name="EYColumnHeading 12 4 2 3" xfId="14759"/>
    <cellStyle name="EYColumnHeading 12 4 2 3 2" xfId="31900"/>
    <cellStyle name="EYColumnHeading 12 4 2 4" xfId="18594"/>
    <cellStyle name="EYColumnHeading 12 4 3" xfId="1964"/>
    <cellStyle name="EYColumnHeading 12 4 3 2" xfId="15270"/>
    <cellStyle name="EYColumnHeading 12 4 3 2 2" xfId="32411"/>
    <cellStyle name="EYColumnHeading 12 4 3 3" xfId="19107"/>
    <cellStyle name="EYColumnHeading 12 4 4" xfId="14365"/>
    <cellStyle name="EYColumnHeading 12 4 4 2" xfId="31506"/>
    <cellStyle name="EYColumnHeading 12 4 5" xfId="18200"/>
    <cellStyle name="EYColumnHeading 12 5" xfId="1155"/>
    <cellStyle name="EYColumnHeading 12 5 2" xfId="2054"/>
    <cellStyle name="EYColumnHeading 12 5 2 2" xfId="15360"/>
    <cellStyle name="EYColumnHeading 12 5 2 2 2" xfId="32501"/>
    <cellStyle name="EYColumnHeading 12 5 2 3" xfId="19197"/>
    <cellStyle name="EYColumnHeading 12 5 3" xfId="14463"/>
    <cellStyle name="EYColumnHeading 12 5 3 2" xfId="31604"/>
    <cellStyle name="EYColumnHeading 12 5 4" xfId="18298"/>
    <cellStyle name="EYColumnHeading 12 6" xfId="1547"/>
    <cellStyle name="EYColumnHeading 12 6 2" xfId="2444"/>
    <cellStyle name="EYColumnHeading 12 6 2 2" xfId="15750"/>
    <cellStyle name="EYColumnHeading 12 6 2 2 2" xfId="32891"/>
    <cellStyle name="EYColumnHeading 12 6 2 3" xfId="19587"/>
    <cellStyle name="EYColumnHeading 12 6 3" xfId="14854"/>
    <cellStyle name="EYColumnHeading 12 6 3 2" xfId="31995"/>
    <cellStyle name="EYColumnHeading 12 6 4" xfId="18690"/>
    <cellStyle name="EYColumnHeading 12 7" xfId="695"/>
    <cellStyle name="EYColumnHeading 12 7 2" xfId="14059"/>
    <cellStyle name="EYColumnHeading 12 7 2 2" xfId="31200"/>
    <cellStyle name="EYColumnHeading 12 7 3" xfId="17838"/>
    <cellStyle name="EYColumnHeading 12 8" xfId="1658"/>
    <cellStyle name="EYColumnHeading 12 8 2" xfId="14964"/>
    <cellStyle name="EYColumnHeading 12 8 2 2" xfId="32105"/>
    <cellStyle name="EYColumnHeading 12 8 3" xfId="18801"/>
    <cellStyle name="EYColumnHeading 12 9" xfId="12967"/>
    <cellStyle name="EYColumnHeading 12 9 2" xfId="16325"/>
    <cellStyle name="EYColumnHeading 12 9 2 2" xfId="33466"/>
    <cellStyle name="EYColumnHeading 12 9 3" xfId="30108"/>
    <cellStyle name="EYColumnHeading 13" xfId="486"/>
    <cellStyle name="EYColumnHeading 13 10" xfId="13081"/>
    <cellStyle name="EYColumnHeading 13 10 2" xfId="16432"/>
    <cellStyle name="EYColumnHeading 13 10 2 2" xfId="33573"/>
    <cellStyle name="EYColumnHeading 13 10 3" xfId="30222"/>
    <cellStyle name="EYColumnHeading 13 11" xfId="13159"/>
    <cellStyle name="EYColumnHeading 13 11 2" xfId="16510"/>
    <cellStyle name="EYColumnHeading 13 11 2 2" xfId="33651"/>
    <cellStyle name="EYColumnHeading 13 11 3" xfId="30300"/>
    <cellStyle name="EYColumnHeading 13 12" xfId="13253"/>
    <cellStyle name="EYColumnHeading 13 12 2" xfId="16604"/>
    <cellStyle name="EYColumnHeading 13 12 2 2" xfId="33745"/>
    <cellStyle name="EYColumnHeading 13 12 3" xfId="30394"/>
    <cellStyle name="EYColumnHeading 13 13" xfId="13339"/>
    <cellStyle name="EYColumnHeading 13 13 2" xfId="16690"/>
    <cellStyle name="EYColumnHeading 13 13 2 2" xfId="33831"/>
    <cellStyle name="EYColumnHeading 13 13 3" xfId="30480"/>
    <cellStyle name="EYColumnHeading 13 14" xfId="13425"/>
    <cellStyle name="EYColumnHeading 13 14 2" xfId="16776"/>
    <cellStyle name="EYColumnHeading 13 14 2 2" xfId="33917"/>
    <cellStyle name="EYColumnHeading 13 14 3" xfId="30566"/>
    <cellStyle name="EYColumnHeading 13 15" xfId="13499"/>
    <cellStyle name="EYColumnHeading 13 15 2" xfId="16850"/>
    <cellStyle name="EYColumnHeading 13 15 2 2" xfId="33991"/>
    <cellStyle name="EYColumnHeading 13 15 3" xfId="30640"/>
    <cellStyle name="EYColumnHeading 13 16" xfId="13561"/>
    <cellStyle name="EYColumnHeading 13 16 2" xfId="16912"/>
    <cellStyle name="EYColumnHeading 13 16 2 2" xfId="34053"/>
    <cellStyle name="EYColumnHeading 13 16 3" xfId="30702"/>
    <cellStyle name="EYColumnHeading 13 17" xfId="13627"/>
    <cellStyle name="EYColumnHeading 13 17 2" xfId="16978"/>
    <cellStyle name="EYColumnHeading 13 17 2 2" xfId="34119"/>
    <cellStyle name="EYColumnHeading 13 17 3" xfId="30768"/>
    <cellStyle name="EYColumnHeading 13 18" xfId="13689"/>
    <cellStyle name="EYColumnHeading 13 18 2" xfId="17040"/>
    <cellStyle name="EYColumnHeading 13 18 2 2" xfId="34181"/>
    <cellStyle name="EYColumnHeading 13 18 3" xfId="30830"/>
    <cellStyle name="EYColumnHeading 13 19" xfId="13834"/>
    <cellStyle name="EYColumnHeading 13 19 2" xfId="17173"/>
    <cellStyle name="EYColumnHeading 13 19 2 2" xfId="34314"/>
    <cellStyle name="EYColumnHeading 13 19 3" xfId="30975"/>
    <cellStyle name="EYColumnHeading 13 2" xfId="951"/>
    <cellStyle name="EYColumnHeading 13 2 2" xfId="1362"/>
    <cellStyle name="EYColumnHeading 13 2 2 2" xfId="2260"/>
    <cellStyle name="EYColumnHeading 13 2 2 2 2" xfId="15566"/>
    <cellStyle name="EYColumnHeading 13 2 2 2 2 2" xfId="32707"/>
    <cellStyle name="EYColumnHeading 13 2 2 2 3" xfId="19403"/>
    <cellStyle name="EYColumnHeading 13 2 2 3" xfId="14670"/>
    <cellStyle name="EYColumnHeading 13 2 2 3 2" xfId="31811"/>
    <cellStyle name="EYColumnHeading 13 2 2 4" xfId="18505"/>
    <cellStyle name="EYColumnHeading 13 2 3" xfId="1865"/>
    <cellStyle name="EYColumnHeading 13 2 3 2" xfId="15171"/>
    <cellStyle name="EYColumnHeading 13 2 3 2 2" xfId="32312"/>
    <cellStyle name="EYColumnHeading 13 2 3 3" xfId="19008"/>
    <cellStyle name="EYColumnHeading 13 2 4" xfId="14266"/>
    <cellStyle name="EYColumnHeading 13 2 4 2" xfId="31407"/>
    <cellStyle name="EYColumnHeading 13 2 5" xfId="18094"/>
    <cellStyle name="EYColumnHeading 13 20" xfId="13952"/>
    <cellStyle name="EYColumnHeading 13 20 2" xfId="31093"/>
    <cellStyle name="EYColumnHeading 13 21" xfId="17629"/>
    <cellStyle name="EYColumnHeading 13 3" xfId="798"/>
    <cellStyle name="EYColumnHeading 13 3 2" xfId="1251"/>
    <cellStyle name="EYColumnHeading 13 3 2 2" xfId="2149"/>
    <cellStyle name="EYColumnHeading 13 3 2 2 2" xfId="15455"/>
    <cellStyle name="EYColumnHeading 13 3 2 2 2 2" xfId="32596"/>
    <cellStyle name="EYColumnHeading 13 3 2 2 3" xfId="19292"/>
    <cellStyle name="EYColumnHeading 13 3 2 3" xfId="14559"/>
    <cellStyle name="EYColumnHeading 13 3 2 3 2" xfId="31700"/>
    <cellStyle name="EYColumnHeading 13 3 2 4" xfId="18394"/>
    <cellStyle name="EYColumnHeading 13 3 3" xfId="1754"/>
    <cellStyle name="EYColumnHeading 13 3 3 2" xfId="15060"/>
    <cellStyle name="EYColumnHeading 13 3 3 2 2" xfId="32201"/>
    <cellStyle name="EYColumnHeading 13 3 3 3" xfId="18897"/>
    <cellStyle name="EYColumnHeading 13 3 4" xfId="14155"/>
    <cellStyle name="EYColumnHeading 13 3 4 2" xfId="31296"/>
    <cellStyle name="EYColumnHeading 13 3 5" xfId="17941"/>
    <cellStyle name="EYColumnHeading 13 4" xfId="1059"/>
    <cellStyle name="EYColumnHeading 13 4 2" xfId="1453"/>
    <cellStyle name="EYColumnHeading 13 4 2 2" xfId="2351"/>
    <cellStyle name="EYColumnHeading 13 4 2 2 2" xfId="15657"/>
    <cellStyle name="EYColumnHeading 13 4 2 2 2 2" xfId="32798"/>
    <cellStyle name="EYColumnHeading 13 4 2 2 3" xfId="19494"/>
    <cellStyle name="EYColumnHeading 13 4 2 3" xfId="14761"/>
    <cellStyle name="EYColumnHeading 13 4 2 3 2" xfId="31902"/>
    <cellStyle name="EYColumnHeading 13 4 2 4" xfId="18596"/>
    <cellStyle name="EYColumnHeading 13 4 3" xfId="1966"/>
    <cellStyle name="EYColumnHeading 13 4 3 2" xfId="15272"/>
    <cellStyle name="EYColumnHeading 13 4 3 2 2" xfId="32413"/>
    <cellStyle name="EYColumnHeading 13 4 3 3" xfId="19109"/>
    <cellStyle name="EYColumnHeading 13 4 4" xfId="14367"/>
    <cellStyle name="EYColumnHeading 13 4 4 2" xfId="31508"/>
    <cellStyle name="EYColumnHeading 13 4 5" xfId="18202"/>
    <cellStyle name="EYColumnHeading 13 5" xfId="1157"/>
    <cellStyle name="EYColumnHeading 13 5 2" xfId="2056"/>
    <cellStyle name="EYColumnHeading 13 5 2 2" xfId="15362"/>
    <cellStyle name="EYColumnHeading 13 5 2 2 2" xfId="32503"/>
    <cellStyle name="EYColumnHeading 13 5 2 3" xfId="19199"/>
    <cellStyle name="EYColumnHeading 13 5 3" xfId="14465"/>
    <cellStyle name="EYColumnHeading 13 5 3 2" xfId="31606"/>
    <cellStyle name="EYColumnHeading 13 5 4" xfId="18300"/>
    <cellStyle name="EYColumnHeading 13 6" xfId="1549"/>
    <cellStyle name="EYColumnHeading 13 6 2" xfId="2446"/>
    <cellStyle name="EYColumnHeading 13 6 2 2" xfId="15752"/>
    <cellStyle name="EYColumnHeading 13 6 2 2 2" xfId="32893"/>
    <cellStyle name="EYColumnHeading 13 6 2 3" xfId="19589"/>
    <cellStyle name="EYColumnHeading 13 6 3" xfId="14856"/>
    <cellStyle name="EYColumnHeading 13 6 3 2" xfId="31997"/>
    <cellStyle name="EYColumnHeading 13 6 4" xfId="18692"/>
    <cellStyle name="EYColumnHeading 13 7" xfId="697"/>
    <cellStyle name="EYColumnHeading 13 7 2" xfId="14061"/>
    <cellStyle name="EYColumnHeading 13 7 2 2" xfId="31202"/>
    <cellStyle name="EYColumnHeading 13 7 3" xfId="17840"/>
    <cellStyle name="EYColumnHeading 13 8" xfId="1660"/>
    <cellStyle name="EYColumnHeading 13 8 2" xfId="14966"/>
    <cellStyle name="EYColumnHeading 13 8 2 2" xfId="32107"/>
    <cellStyle name="EYColumnHeading 13 8 3" xfId="18803"/>
    <cellStyle name="EYColumnHeading 13 9" xfId="12969"/>
    <cellStyle name="EYColumnHeading 13 9 2" xfId="16327"/>
    <cellStyle name="EYColumnHeading 13 9 2 2" xfId="33468"/>
    <cellStyle name="EYColumnHeading 13 9 3" xfId="30110"/>
    <cellStyle name="EYColumnHeading 14" xfId="2473"/>
    <cellStyle name="EYColumnHeading 14 2" xfId="19614"/>
    <cellStyle name="EYColumnHeading 15" xfId="2474"/>
    <cellStyle name="EYColumnHeading 15 2" xfId="19615"/>
    <cellStyle name="EYColumnHeading 16" xfId="2475"/>
    <cellStyle name="EYColumnHeading 16 2" xfId="19616"/>
    <cellStyle name="EYColumnHeading 17" xfId="2476"/>
    <cellStyle name="EYColumnHeading 17 2" xfId="19617"/>
    <cellStyle name="EYColumnHeading 18" xfId="2477"/>
    <cellStyle name="EYColumnHeading 18 2" xfId="19618"/>
    <cellStyle name="EYColumnHeading 19" xfId="2478"/>
    <cellStyle name="EYColumnHeading 19 2" xfId="19619"/>
    <cellStyle name="EYColumnHeading 2" xfId="312"/>
    <cellStyle name="EYColumnHeading 2 10" xfId="12647"/>
    <cellStyle name="EYColumnHeading 2 10 2" xfId="16010"/>
    <cellStyle name="EYColumnHeading 2 10 2 2" xfId="33151"/>
    <cellStyle name="EYColumnHeading 2 10 3" xfId="29788"/>
    <cellStyle name="EYColumnHeading 2 11" xfId="13074"/>
    <cellStyle name="EYColumnHeading 2 11 2" xfId="16425"/>
    <cellStyle name="EYColumnHeading 2 11 2 2" xfId="33566"/>
    <cellStyle name="EYColumnHeading 2 11 3" xfId="30215"/>
    <cellStyle name="EYColumnHeading 2 12" xfId="12810"/>
    <cellStyle name="EYColumnHeading 2 12 2" xfId="16171"/>
    <cellStyle name="EYColumnHeading 2 12 2 2" xfId="33312"/>
    <cellStyle name="EYColumnHeading 2 12 3" xfId="29951"/>
    <cellStyle name="EYColumnHeading 2 13" xfId="13172"/>
    <cellStyle name="EYColumnHeading 2 13 2" xfId="16523"/>
    <cellStyle name="EYColumnHeading 2 13 2 2" xfId="33664"/>
    <cellStyle name="EYColumnHeading 2 13 3" xfId="30313"/>
    <cellStyle name="EYColumnHeading 2 14" xfId="13169"/>
    <cellStyle name="EYColumnHeading 2 14 2" xfId="16520"/>
    <cellStyle name="EYColumnHeading 2 14 2 2" xfId="33661"/>
    <cellStyle name="EYColumnHeading 2 14 3" xfId="30310"/>
    <cellStyle name="EYColumnHeading 2 15" xfId="13287"/>
    <cellStyle name="EYColumnHeading 2 15 2" xfId="16638"/>
    <cellStyle name="EYColumnHeading 2 15 2 2" xfId="33779"/>
    <cellStyle name="EYColumnHeading 2 15 3" xfId="30428"/>
    <cellStyle name="EYColumnHeading 2 16" xfId="13419"/>
    <cellStyle name="EYColumnHeading 2 16 2" xfId="16770"/>
    <cellStyle name="EYColumnHeading 2 16 2 2" xfId="33911"/>
    <cellStyle name="EYColumnHeading 2 16 3" xfId="30560"/>
    <cellStyle name="EYColumnHeading 2 17" xfId="13465"/>
    <cellStyle name="EYColumnHeading 2 17 2" xfId="16816"/>
    <cellStyle name="EYColumnHeading 2 17 2 2" xfId="33957"/>
    <cellStyle name="EYColumnHeading 2 17 3" xfId="30606"/>
    <cellStyle name="EYColumnHeading 2 18" xfId="13538"/>
    <cellStyle name="EYColumnHeading 2 18 2" xfId="16889"/>
    <cellStyle name="EYColumnHeading 2 18 2 2" xfId="34030"/>
    <cellStyle name="EYColumnHeading 2 18 3" xfId="30679"/>
    <cellStyle name="EYColumnHeading 2 19" xfId="13570"/>
    <cellStyle name="EYColumnHeading 2 19 2" xfId="16921"/>
    <cellStyle name="EYColumnHeading 2 19 2 2" xfId="34062"/>
    <cellStyle name="EYColumnHeading 2 19 3" xfId="30711"/>
    <cellStyle name="EYColumnHeading 2 2" xfId="827"/>
    <cellStyle name="EYColumnHeading 2 2 2" xfId="1262"/>
    <cellStyle name="EYColumnHeading 2 2 2 2" xfId="2160"/>
    <cellStyle name="EYColumnHeading 2 2 2 2 2" xfId="15466"/>
    <cellStyle name="EYColumnHeading 2 2 2 2 2 2" xfId="32607"/>
    <cellStyle name="EYColumnHeading 2 2 2 2 3" xfId="19303"/>
    <cellStyle name="EYColumnHeading 2 2 2 3" xfId="14570"/>
    <cellStyle name="EYColumnHeading 2 2 2 3 2" xfId="31711"/>
    <cellStyle name="EYColumnHeading 2 2 2 4" xfId="18405"/>
    <cellStyle name="EYColumnHeading 2 2 3" xfId="1765"/>
    <cellStyle name="EYColumnHeading 2 2 3 2" xfId="15071"/>
    <cellStyle name="EYColumnHeading 2 2 3 2 2" xfId="32212"/>
    <cellStyle name="EYColumnHeading 2 2 3 3" xfId="18908"/>
    <cellStyle name="EYColumnHeading 2 2 4" xfId="14166"/>
    <cellStyle name="EYColumnHeading 2 2 4 2" xfId="31307"/>
    <cellStyle name="EYColumnHeading 2 2 5" xfId="17970"/>
    <cellStyle name="EYColumnHeading 2 20" xfId="13770"/>
    <cellStyle name="EYColumnHeading 2 20 2" xfId="17119"/>
    <cellStyle name="EYColumnHeading 2 20 2 2" xfId="34260"/>
    <cellStyle name="EYColumnHeading 2 20 3" xfId="30911"/>
    <cellStyle name="EYColumnHeading 2 21" xfId="13724"/>
    <cellStyle name="EYColumnHeading 2 21 2" xfId="17075"/>
    <cellStyle name="EYColumnHeading 2 21 2 2" xfId="34216"/>
    <cellStyle name="EYColumnHeading 2 21 3" xfId="30865"/>
    <cellStyle name="EYColumnHeading 2 22" xfId="13852"/>
    <cellStyle name="EYColumnHeading 2 22 2" xfId="30993"/>
    <cellStyle name="EYColumnHeading 2 23" xfId="17455"/>
    <cellStyle name="EYColumnHeading 2 3" xfId="715"/>
    <cellStyle name="EYColumnHeading 2 3 2" xfId="1168"/>
    <cellStyle name="EYColumnHeading 2 3 2 2" xfId="2066"/>
    <cellStyle name="EYColumnHeading 2 3 2 2 2" xfId="15372"/>
    <cellStyle name="EYColumnHeading 2 3 2 2 2 2" xfId="32513"/>
    <cellStyle name="EYColumnHeading 2 3 2 2 3" xfId="19209"/>
    <cellStyle name="EYColumnHeading 2 3 2 3" xfId="14476"/>
    <cellStyle name="EYColumnHeading 2 3 2 3 2" xfId="31617"/>
    <cellStyle name="EYColumnHeading 2 3 2 4" xfId="18311"/>
    <cellStyle name="EYColumnHeading 2 3 3" xfId="1671"/>
    <cellStyle name="EYColumnHeading 2 3 3 2" xfId="14977"/>
    <cellStyle name="EYColumnHeading 2 3 3 2 2" xfId="32118"/>
    <cellStyle name="EYColumnHeading 2 3 3 3" xfId="18814"/>
    <cellStyle name="EYColumnHeading 2 3 4" xfId="14072"/>
    <cellStyle name="EYColumnHeading 2 3 4 2" xfId="31213"/>
    <cellStyle name="EYColumnHeading 2 3 5" xfId="17858"/>
    <cellStyle name="EYColumnHeading 2 4" xfId="966"/>
    <cellStyle name="EYColumnHeading 2 4 2" xfId="1370"/>
    <cellStyle name="EYColumnHeading 2 4 2 2" xfId="2268"/>
    <cellStyle name="EYColumnHeading 2 4 2 2 2" xfId="15574"/>
    <cellStyle name="EYColumnHeading 2 4 2 2 2 2" xfId="32715"/>
    <cellStyle name="EYColumnHeading 2 4 2 2 3" xfId="19411"/>
    <cellStyle name="EYColumnHeading 2 4 2 3" xfId="14678"/>
    <cellStyle name="EYColumnHeading 2 4 2 3 2" xfId="31819"/>
    <cellStyle name="EYColumnHeading 2 4 2 4" xfId="18513"/>
    <cellStyle name="EYColumnHeading 2 4 3" xfId="1873"/>
    <cellStyle name="EYColumnHeading 2 4 3 2" xfId="15179"/>
    <cellStyle name="EYColumnHeading 2 4 3 2 2" xfId="32320"/>
    <cellStyle name="EYColumnHeading 2 4 3 3" xfId="19016"/>
    <cellStyle name="EYColumnHeading 2 4 4" xfId="14274"/>
    <cellStyle name="EYColumnHeading 2 4 4 2" xfId="31415"/>
    <cellStyle name="EYColumnHeading 2 4 5" xfId="18109"/>
    <cellStyle name="EYColumnHeading 2 5" xfId="1067"/>
    <cellStyle name="EYColumnHeading 2 5 2" xfId="1974"/>
    <cellStyle name="EYColumnHeading 2 5 2 2" xfId="15280"/>
    <cellStyle name="EYColumnHeading 2 5 2 2 2" xfId="32421"/>
    <cellStyle name="EYColumnHeading 2 5 2 3" xfId="19117"/>
    <cellStyle name="EYColumnHeading 2 5 3" xfId="14375"/>
    <cellStyle name="EYColumnHeading 2 5 3 2" xfId="31516"/>
    <cellStyle name="EYColumnHeading 2 5 4" xfId="18210"/>
    <cellStyle name="EYColumnHeading 2 6" xfId="1467"/>
    <cellStyle name="EYColumnHeading 2 6 2" xfId="2364"/>
    <cellStyle name="EYColumnHeading 2 6 2 2" xfId="15670"/>
    <cellStyle name="EYColumnHeading 2 6 2 2 2" xfId="32811"/>
    <cellStyle name="EYColumnHeading 2 6 2 3" xfId="19507"/>
    <cellStyle name="EYColumnHeading 2 6 3" xfId="14774"/>
    <cellStyle name="EYColumnHeading 2 6 3 2" xfId="31915"/>
    <cellStyle name="EYColumnHeading 2 6 4" xfId="18610"/>
    <cellStyle name="EYColumnHeading 2 7" xfId="575"/>
    <cellStyle name="EYColumnHeading 2 7 2" xfId="13963"/>
    <cellStyle name="EYColumnHeading 2 7 2 2" xfId="31104"/>
    <cellStyle name="EYColumnHeading 2 7 3" xfId="17718"/>
    <cellStyle name="EYColumnHeading 2 8" xfId="1560"/>
    <cellStyle name="EYColumnHeading 2 8 2" xfId="14866"/>
    <cellStyle name="EYColumnHeading 2 8 2 2" xfId="32007"/>
    <cellStyle name="EYColumnHeading 2 8 3" xfId="18703"/>
    <cellStyle name="EYColumnHeading 2 9" xfId="12813"/>
    <cellStyle name="EYColumnHeading 2 9 2" xfId="16174"/>
    <cellStyle name="EYColumnHeading 2 9 2 2" xfId="33315"/>
    <cellStyle name="EYColumnHeading 2 9 3" xfId="29954"/>
    <cellStyle name="EYColumnHeading 20" xfId="2479"/>
    <cellStyle name="EYColumnHeading 20 2" xfId="19620"/>
    <cellStyle name="EYColumnHeading 21" xfId="2480"/>
    <cellStyle name="EYColumnHeading 21 2" xfId="19621"/>
    <cellStyle name="EYColumnHeading 22" xfId="2481"/>
    <cellStyle name="EYColumnHeading 22 2" xfId="19622"/>
    <cellStyle name="EYColumnHeading 23" xfId="2482"/>
    <cellStyle name="EYColumnHeading 23 2" xfId="15754"/>
    <cellStyle name="EYColumnHeading 23 2 2" xfId="32895"/>
    <cellStyle name="EYColumnHeading 23 3" xfId="19623"/>
    <cellStyle name="EYColumnHeading 24" xfId="2483"/>
    <cellStyle name="EYColumnHeading 24 2" xfId="15755"/>
    <cellStyle name="EYColumnHeading 24 2 2" xfId="32896"/>
    <cellStyle name="EYColumnHeading 24 3" xfId="19624"/>
    <cellStyle name="EYColumnHeading 25" xfId="2484"/>
    <cellStyle name="EYColumnHeading 25 2" xfId="15756"/>
    <cellStyle name="EYColumnHeading 25 2 2" xfId="32897"/>
    <cellStyle name="EYColumnHeading 25 3" xfId="19625"/>
    <cellStyle name="EYColumnHeading 26" xfId="17318"/>
    <cellStyle name="EYColumnHeading 3" xfId="411"/>
    <cellStyle name="EYColumnHeading 3 10" xfId="13011"/>
    <cellStyle name="EYColumnHeading 3 10 2" xfId="16362"/>
    <cellStyle name="EYColumnHeading 3 10 2 2" xfId="33503"/>
    <cellStyle name="EYColumnHeading 3 10 3" xfId="30152"/>
    <cellStyle name="EYColumnHeading 3 11" xfId="13099"/>
    <cellStyle name="EYColumnHeading 3 11 2" xfId="16450"/>
    <cellStyle name="EYColumnHeading 3 11 2 2" xfId="33591"/>
    <cellStyle name="EYColumnHeading 3 11 3" xfId="30240"/>
    <cellStyle name="EYColumnHeading 3 12" xfId="13184"/>
    <cellStyle name="EYColumnHeading 3 12 2" xfId="16535"/>
    <cellStyle name="EYColumnHeading 3 12 2 2" xfId="33676"/>
    <cellStyle name="EYColumnHeading 3 12 3" xfId="30325"/>
    <cellStyle name="EYColumnHeading 3 13" xfId="13265"/>
    <cellStyle name="EYColumnHeading 3 13 2" xfId="16616"/>
    <cellStyle name="EYColumnHeading 3 13 2 2" xfId="33757"/>
    <cellStyle name="EYColumnHeading 3 13 3" xfId="30406"/>
    <cellStyle name="EYColumnHeading 3 14" xfId="12962"/>
    <cellStyle name="EYColumnHeading 3 14 2" xfId="16320"/>
    <cellStyle name="EYColumnHeading 3 14 2 2" xfId="33461"/>
    <cellStyle name="EYColumnHeading 3 14 3" xfId="30103"/>
    <cellStyle name="EYColumnHeading 3 15" xfId="13365"/>
    <cellStyle name="EYColumnHeading 3 15 2" xfId="16716"/>
    <cellStyle name="EYColumnHeading 3 15 2 2" xfId="33857"/>
    <cellStyle name="EYColumnHeading 3 15 3" xfId="30506"/>
    <cellStyle name="EYColumnHeading 3 16" xfId="13440"/>
    <cellStyle name="EYColumnHeading 3 16 2" xfId="16791"/>
    <cellStyle name="EYColumnHeading 3 16 2 2" xfId="33932"/>
    <cellStyle name="EYColumnHeading 3 16 3" xfId="30581"/>
    <cellStyle name="EYColumnHeading 3 17" xfId="12858"/>
    <cellStyle name="EYColumnHeading 3 17 2" xfId="16216"/>
    <cellStyle name="EYColumnHeading 3 17 2 2" xfId="33357"/>
    <cellStyle name="EYColumnHeading 3 17 3" xfId="29999"/>
    <cellStyle name="EYColumnHeading 3 18" xfId="13574"/>
    <cellStyle name="EYColumnHeading 3 18 2" xfId="16925"/>
    <cellStyle name="EYColumnHeading 3 18 2 2" xfId="34066"/>
    <cellStyle name="EYColumnHeading 3 18 3" xfId="30715"/>
    <cellStyle name="EYColumnHeading 3 19" xfId="13637"/>
    <cellStyle name="EYColumnHeading 3 19 2" xfId="16988"/>
    <cellStyle name="EYColumnHeading 3 19 2 2" xfId="34129"/>
    <cellStyle name="EYColumnHeading 3 19 3" xfId="30778"/>
    <cellStyle name="EYColumnHeading 3 2" xfId="895"/>
    <cellStyle name="EYColumnHeading 3 2 2" xfId="1310"/>
    <cellStyle name="EYColumnHeading 3 2 2 2" xfId="2208"/>
    <cellStyle name="EYColumnHeading 3 2 2 2 2" xfId="15514"/>
    <cellStyle name="EYColumnHeading 3 2 2 2 2 2" xfId="32655"/>
    <cellStyle name="EYColumnHeading 3 2 2 2 3" xfId="19351"/>
    <cellStyle name="EYColumnHeading 3 2 2 3" xfId="14618"/>
    <cellStyle name="EYColumnHeading 3 2 2 3 2" xfId="31759"/>
    <cellStyle name="EYColumnHeading 3 2 2 4" xfId="18453"/>
    <cellStyle name="EYColumnHeading 3 2 3" xfId="1813"/>
    <cellStyle name="EYColumnHeading 3 2 3 2" xfId="15119"/>
    <cellStyle name="EYColumnHeading 3 2 3 2 2" xfId="32260"/>
    <cellStyle name="EYColumnHeading 3 2 3 3" xfId="18956"/>
    <cellStyle name="EYColumnHeading 3 2 4" xfId="14214"/>
    <cellStyle name="EYColumnHeading 3 2 4 2" xfId="31355"/>
    <cellStyle name="EYColumnHeading 3 2 5" xfId="18038"/>
    <cellStyle name="EYColumnHeading 3 20" xfId="13798"/>
    <cellStyle name="EYColumnHeading 3 20 2" xfId="17144"/>
    <cellStyle name="EYColumnHeading 3 20 2 2" xfId="34285"/>
    <cellStyle name="EYColumnHeading 3 20 3" xfId="30939"/>
    <cellStyle name="EYColumnHeading 3 21" xfId="13714"/>
    <cellStyle name="EYColumnHeading 3 21 2" xfId="17065"/>
    <cellStyle name="EYColumnHeading 3 21 2 2" xfId="34206"/>
    <cellStyle name="EYColumnHeading 3 21 3" xfId="30855"/>
    <cellStyle name="EYColumnHeading 3 22" xfId="13900"/>
    <cellStyle name="EYColumnHeading 3 22 2" xfId="31041"/>
    <cellStyle name="EYColumnHeading 3 23" xfId="17554"/>
    <cellStyle name="EYColumnHeading 3 3" xfId="753"/>
    <cellStyle name="EYColumnHeading 3 3 2" xfId="1206"/>
    <cellStyle name="EYColumnHeading 3 3 2 2" xfId="2104"/>
    <cellStyle name="EYColumnHeading 3 3 2 2 2" xfId="15410"/>
    <cellStyle name="EYColumnHeading 3 3 2 2 2 2" xfId="32551"/>
    <cellStyle name="EYColumnHeading 3 3 2 2 3" xfId="19247"/>
    <cellStyle name="EYColumnHeading 3 3 2 3" xfId="14514"/>
    <cellStyle name="EYColumnHeading 3 3 2 3 2" xfId="31655"/>
    <cellStyle name="EYColumnHeading 3 3 2 4" xfId="18349"/>
    <cellStyle name="EYColumnHeading 3 3 3" xfId="1709"/>
    <cellStyle name="EYColumnHeading 3 3 3 2" xfId="15015"/>
    <cellStyle name="EYColumnHeading 3 3 3 2 2" xfId="32156"/>
    <cellStyle name="EYColumnHeading 3 3 3 3" xfId="18852"/>
    <cellStyle name="EYColumnHeading 3 3 4" xfId="14110"/>
    <cellStyle name="EYColumnHeading 3 3 4 2" xfId="31251"/>
    <cellStyle name="EYColumnHeading 3 3 5" xfId="17896"/>
    <cellStyle name="EYColumnHeading 3 4" xfId="1010"/>
    <cellStyle name="EYColumnHeading 3 4 2" xfId="1408"/>
    <cellStyle name="EYColumnHeading 3 4 2 2" xfId="2306"/>
    <cellStyle name="EYColumnHeading 3 4 2 2 2" xfId="15612"/>
    <cellStyle name="EYColumnHeading 3 4 2 2 2 2" xfId="32753"/>
    <cellStyle name="EYColumnHeading 3 4 2 2 3" xfId="19449"/>
    <cellStyle name="EYColumnHeading 3 4 2 3" xfId="14716"/>
    <cellStyle name="EYColumnHeading 3 4 2 3 2" xfId="31857"/>
    <cellStyle name="EYColumnHeading 3 4 2 4" xfId="18551"/>
    <cellStyle name="EYColumnHeading 3 4 3" xfId="1917"/>
    <cellStyle name="EYColumnHeading 3 4 3 2" xfId="15223"/>
    <cellStyle name="EYColumnHeading 3 4 3 2 2" xfId="32364"/>
    <cellStyle name="EYColumnHeading 3 4 3 3" xfId="19060"/>
    <cellStyle name="EYColumnHeading 3 4 4" xfId="14318"/>
    <cellStyle name="EYColumnHeading 3 4 4 2" xfId="31459"/>
    <cellStyle name="EYColumnHeading 3 4 5" xfId="18153"/>
    <cellStyle name="EYColumnHeading 3 5" xfId="1109"/>
    <cellStyle name="EYColumnHeading 3 5 2" xfId="2011"/>
    <cellStyle name="EYColumnHeading 3 5 2 2" xfId="15317"/>
    <cellStyle name="EYColumnHeading 3 5 2 2 2" xfId="32458"/>
    <cellStyle name="EYColumnHeading 3 5 2 3" xfId="19154"/>
    <cellStyle name="EYColumnHeading 3 5 3" xfId="14417"/>
    <cellStyle name="EYColumnHeading 3 5 3 2" xfId="31558"/>
    <cellStyle name="EYColumnHeading 3 5 4" xfId="18252"/>
    <cellStyle name="EYColumnHeading 3 6" xfId="1504"/>
    <cellStyle name="EYColumnHeading 3 6 2" xfId="2401"/>
    <cellStyle name="EYColumnHeading 3 6 2 2" xfId="15707"/>
    <cellStyle name="EYColumnHeading 3 6 2 2 2" xfId="32848"/>
    <cellStyle name="EYColumnHeading 3 6 2 3" xfId="19544"/>
    <cellStyle name="EYColumnHeading 3 6 3" xfId="14811"/>
    <cellStyle name="EYColumnHeading 3 6 3 2" xfId="31952"/>
    <cellStyle name="EYColumnHeading 3 6 4" xfId="18647"/>
    <cellStyle name="EYColumnHeading 3 7" xfId="643"/>
    <cellStyle name="EYColumnHeading 3 7 2" xfId="14011"/>
    <cellStyle name="EYColumnHeading 3 7 2 2" xfId="31152"/>
    <cellStyle name="EYColumnHeading 3 7 3" xfId="17786"/>
    <cellStyle name="EYColumnHeading 3 8" xfId="1608"/>
    <cellStyle name="EYColumnHeading 3 8 2" xfId="14914"/>
    <cellStyle name="EYColumnHeading 3 8 2 2" xfId="32055"/>
    <cellStyle name="EYColumnHeading 3 8 3" xfId="18751"/>
    <cellStyle name="EYColumnHeading 3 9" xfId="12901"/>
    <cellStyle name="EYColumnHeading 3 9 2" xfId="16259"/>
    <cellStyle name="EYColumnHeading 3 9 2 2" xfId="33400"/>
    <cellStyle name="EYColumnHeading 3 9 3" xfId="30042"/>
    <cellStyle name="EYColumnHeading 4" xfId="417"/>
    <cellStyle name="EYColumnHeading 4 10" xfId="13017"/>
    <cellStyle name="EYColumnHeading 4 10 2" xfId="16368"/>
    <cellStyle name="EYColumnHeading 4 10 2 2" xfId="33509"/>
    <cellStyle name="EYColumnHeading 4 10 3" xfId="30158"/>
    <cellStyle name="EYColumnHeading 4 11" xfId="13105"/>
    <cellStyle name="EYColumnHeading 4 11 2" xfId="16456"/>
    <cellStyle name="EYColumnHeading 4 11 2 2" xfId="33597"/>
    <cellStyle name="EYColumnHeading 4 11 3" xfId="30246"/>
    <cellStyle name="EYColumnHeading 4 12" xfId="13190"/>
    <cellStyle name="EYColumnHeading 4 12 2" xfId="16541"/>
    <cellStyle name="EYColumnHeading 4 12 2 2" xfId="33682"/>
    <cellStyle name="EYColumnHeading 4 12 3" xfId="30331"/>
    <cellStyle name="EYColumnHeading 4 13" xfId="12744"/>
    <cellStyle name="EYColumnHeading 4 13 2" xfId="16107"/>
    <cellStyle name="EYColumnHeading 4 13 2 2" xfId="33248"/>
    <cellStyle name="EYColumnHeading 4 13 3" xfId="29885"/>
    <cellStyle name="EYColumnHeading 4 14" xfId="13371"/>
    <cellStyle name="EYColumnHeading 4 14 2" xfId="16722"/>
    <cellStyle name="EYColumnHeading 4 14 2 2" xfId="33863"/>
    <cellStyle name="EYColumnHeading 4 14 3" xfId="30512"/>
    <cellStyle name="EYColumnHeading 4 15" xfId="13445"/>
    <cellStyle name="EYColumnHeading 4 15 2" xfId="16796"/>
    <cellStyle name="EYColumnHeading 4 15 2 2" xfId="33937"/>
    <cellStyle name="EYColumnHeading 4 15 3" xfId="30586"/>
    <cellStyle name="EYColumnHeading 4 16" xfId="13510"/>
    <cellStyle name="EYColumnHeading 4 16 2" xfId="16861"/>
    <cellStyle name="EYColumnHeading 4 16 2 2" xfId="34002"/>
    <cellStyle name="EYColumnHeading 4 16 3" xfId="30651"/>
    <cellStyle name="EYColumnHeading 4 17" xfId="13580"/>
    <cellStyle name="EYColumnHeading 4 17 2" xfId="16931"/>
    <cellStyle name="EYColumnHeading 4 17 2 2" xfId="34072"/>
    <cellStyle name="EYColumnHeading 4 17 3" xfId="30721"/>
    <cellStyle name="EYColumnHeading 4 18" xfId="13643"/>
    <cellStyle name="EYColumnHeading 4 18 2" xfId="16994"/>
    <cellStyle name="EYColumnHeading 4 18 2 2" xfId="34135"/>
    <cellStyle name="EYColumnHeading 4 18 3" xfId="30784"/>
    <cellStyle name="EYColumnHeading 4 19" xfId="13710"/>
    <cellStyle name="EYColumnHeading 4 19 2" xfId="17061"/>
    <cellStyle name="EYColumnHeading 4 19 2 2" xfId="34202"/>
    <cellStyle name="EYColumnHeading 4 19 3" xfId="30851"/>
    <cellStyle name="EYColumnHeading 4 2" xfId="901"/>
    <cellStyle name="EYColumnHeading 4 2 2" xfId="1316"/>
    <cellStyle name="EYColumnHeading 4 2 2 2" xfId="2214"/>
    <cellStyle name="EYColumnHeading 4 2 2 2 2" xfId="15520"/>
    <cellStyle name="EYColumnHeading 4 2 2 2 2 2" xfId="32661"/>
    <cellStyle name="EYColumnHeading 4 2 2 2 3" xfId="19357"/>
    <cellStyle name="EYColumnHeading 4 2 2 3" xfId="14624"/>
    <cellStyle name="EYColumnHeading 4 2 2 3 2" xfId="31765"/>
    <cellStyle name="EYColumnHeading 4 2 2 4" xfId="18459"/>
    <cellStyle name="EYColumnHeading 4 2 3" xfId="1819"/>
    <cellStyle name="EYColumnHeading 4 2 3 2" xfId="15125"/>
    <cellStyle name="EYColumnHeading 4 2 3 2 2" xfId="32266"/>
    <cellStyle name="EYColumnHeading 4 2 3 3" xfId="18962"/>
    <cellStyle name="EYColumnHeading 4 2 4" xfId="14220"/>
    <cellStyle name="EYColumnHeading 4 2 4 2" xfId="31361"/>
    <cellStyle name="EYColumnHeading 4 2 5" xfId="18044"/>
    <cellStyle name="EYColumnHeading 4 20" xfId="13906"/>
    <cellStyle name="EYColumnHeading 4 20 2" xfId="31047"/>
    <cellStyle name="EYColumnHeading 4 21" xfId="17560"/>
    <cellStyle name="EYColumnHeading 4 3" xfId="759"/>
    <cellStyle name="EYColumnHeading 4 3 2" xfId="1212"/>
    <cellStyle name="EYColumnHeading 4 3 2 2" xfId="2110"/>
    <cellStyle name="EYColumnHeading 4 3 2 2 2" xfId="15416"/>
    <cellStyle name="EYColumnHeading 4 3 2 2 2 2" xfId="32557"/>
    <cellStyle name="EYColumnHeading 4 3 2 2 3" xfId="19253"/>
    <cellStyle name="EYColumnHeading 4 3 2 3" xfId="14520"/>
    <cellStyle name="EYColumnHeading 4 3 2 3 2" xfId="31661"/>
    <cellStyle name="EYColumnHeading 4 3 2 4" xfId="18355"/>
    <cellStyle name="EYColumnHeading 4 3 3" xfId="1715"/>
    <cellStyle name="EYColumnHeading 4 3 3 2" xfId="15021"/>
    <cellStyle name="EYColumnHeading 4 3 3 2 2" xfId="32162"/>
    <cellStyle name="EYColumnHeading 4 3 3 3" xfId="18858"/>
    <cellStyle name="EYColumnHeading 4 3 4" xfId="14116"/>
    <cellStyle name="EYColumnHeading 4 3 4 2" xfId="31257"/>
    <cellStyle name="EYColumnHeading 4 3 5" xfId="17902"/>
    <cellStyle name="EYColumnHeading 4 4" xfId="1016"/>
    <cellStyle name="EYColumnHeading 4 4 2" xfId="1414"/>
    <cellStyle name="EYColumnHeading 4 4 2 2" xfId="2312"/>
    <cellStyle name="EYColumnHeading 4 4 2 2 2" xfId="15618"/>
    <cellStyle name="EYColumnHeading 4 4 2 2 2 2" xfId="32759"/>
    <cellStyle name="EYColumnHeading 4 4 2 2 3" xfId="19455"/>
    <cellStyle name="EYColumnHeading 4 4 2 3" xfId="14722"/>
    <cellStyle name="EYColumnHeading 4 4 2 3 2" xfId="31863"/>
    <cellStyle name="EYColumnHeading 4 4 2 4" xfId="18557"/>
    <cellStyle name="EYColumnHeading 4 4 3" xfId="1923"/>
    <cellStyle name="EYColumnHeading 4 4 3 2" xfId="15229"/>
    <cellStyle name="EYColumnHeading 4 4 3 2 2" xfId="32370"/>
    <cellStyle name="EYColumnHeading 4 4 3 3" xfId="19066"/>
    <cellStyle name="EYColumnHeading 4 4 4" xfId="14324"/>
    <cellStyle name="EYColumnHeading 4 4 4 2" xfId="31465"/>
    <cellStyle name="EYColumnHeading 4 4 5" xfId="18159"/>
    <cellStyle name="EYColumnHeading 4 5" xfId="1115"/>
    <cellStyle name="EYColumnHeading 4 5 2" xfId="2017"/>
    <cellStyle name="EYColumnHeading 4 5 2 2" xfId="15323"/>
    <cellStyle name="EYColumnHeading 4 5 2 2 2" xfId="32464"/>
    <cellStyle name="EYColumnHeading 4 5 2 3" xfId="19160"/>
    <cellStyle name="EYColumnHeading 4 5 3" xfId="14423"/>
    <cellStyle name="EYColumnHeading 4 5 3 2" xfId="31564"/>
    <cellStyle name="EYColumnHeading 4 5 4" xfId="18258"/>
    <cellStyle name="EYColumnHeading 4 6" xfId="1510"/>
    <cellStyle name="EYColumnHeading 4 6 2" xfId="2407"/>
    <cellStyle name="EYColumnHeading 4 6 2 2" xfId="15713"/>
    <cellStyle name="EYColumnHeading 4 6 2 2 2" xfId="32854"/>
    <cellStyle name="EYColumnHeading 4 6 2 3" xfId="19550"/>
    <cellStyle name="EYColumnHeading 4 6 3" xfId="14817"/>
    <cellStyle name="EYColumnHeading 4 6 3 2" xfId="31958"/>
    <cellStyle name="EYColumnHeading 4 6 4" xfId="18653"/>
    <cellStyle name="EYColumnHeading 4 7" xfId="649"/>
    <cellStyle name="EYColumnHeading 4 7 2" xfId="14017"/>
    <cellStyle name="EYColumnHeading 4 7 2 2" xfId="31158"/>
    <cellStyle name="EYColumnHeading 4 7 3" xfId="17792"/>
    <cellStyle name="EYColumnHeading 4 8" xfId="1614"/>
    <cellStyle name="EYColumnHeading 4 8 2" xfId="14920"/>
    <cellStyle name="EYColumnHeading 4 8 2 2" xfId="32061"/>
    <cellStyle name="EYColumnHeading 4 8 3" xfId="18757"/>
    <cellStyle name="EYColumnHeading 4 9" xfId="12907"/>
    <cellStyle name="EYColumnHeading 4 9 2" xfId="16265"/>
    <cellStyle name="EYColumnHeading 4 9 2 2" xfId="33406"/>
    <cellStyle name="EYColumnHeading 4 9 3" xfId="30048"/>
    <cellStyle name="EYColumnHeading 5" xfId="424"/>
    <cellStyle name="EYColumnHeading 5 10" xfId="13024"/>
    <cellStyle name="EYColumnHeading 5 10 2" xfId="16375"/>
    <cellStyle name="EYColumnHeading 5 10 2 2" xfId="33516"/>
    <cellStyle name="EYColumnHeading 5 10 3" xfId="30165"/>
    <cellStyle name="EYColumnHeading 5 11" xfId="13111"/>
    <cellStyle name="EYColumnHeading 5 11 2" xfId="16462"/>
    <cellStyle name="EYColumnHeading 5 11 2 2" xfId="33603"/>
    <cellStyle name="EYColumnHeading 5 11 3" xfId="30252"/>
    <cellStyle name="EYColumnHeading 5 12" xfId="13197"/>
    <cellStyle name="EYColumnHeading 5 12 2" xfId="16548"/>
    <cellStyle name="EYColumnHeading 5 12 2 2" xfId="33689"/>
    <cellStyle name="EYColumnHeading 5 12 3" xfId="30338"/>
    <cellStyle name="EYColumnHeading 5 13" xfId="12768"/>
    <cellStyle name="EYColumnHeading 5 13 2" xfId="16131"/>
    <cellStyle name="EYColumnHeading 5 13 2 2" xfId="33272"/>
    <cellStyle name="EYColumnHeading 5 13 3" xfId="29909"/>
    <cellStyle name="EYColumnHeading 5 14" xfId="13377"/>
    <cellStyle name="EYColumnHeading 5 14 2" xfId="16728"/>
    <cellStyle name="EYColumnHeading 5 14 2 2" xfId="33869"/>
    <cellStyle name="EYColumnHeading 5 14 3" xfId="30518"/>
    <cellStyle name="EYColumnHeading 5 15" xfId="13451"/>
    <cellStyle name="EYColumnHeading 5 15 2" xfId="16802"/>
    <cellStyle name="EYColumnHeading 5 15 2 2" xfId="33943"/>
    <cellStyle name="EYColumnHeading 5 15 3" xfId="30592"/>
    <cellStyle name="EYColumnHeading 5 16" xfId="13517"/>
    <cellStyle name="EYColumnHeading 5 16 2" xfId="16868"/>
    <cellStyle name="EYColumnHeading 5 16 2 2" xfId="34009"/>
    <cellStyle name="EYColumnHeading 5 16 3" xfId="30658"/>
    <cellStyle name="EYColumnHeading 5 17" xfId="13586"/>
    <cellStyle name="EYColumnHeading 5 17 2" xfId="16937"/>
    <cellStyle name="EYColumnHeading 5 17 2 2" xfId="34078"/>
    <cellStyle name="EYColumnHeading 5 17 3" xfId="30727"/>
    <cellStyle name="EYColumnHeading 5 18" xfId="13649"/>
    <cellStyle name="EYColumnHeading 5 18 2" xfId="17000"/>
    <cellStyle name="EYColumnHeading 5 18 2 2" xfId="34141"/>
    <cellStyle name="EYColumnHeading 5 18 3" xfId="30790"/>
    <cellStyle name="EYColumnHeading 5 19" xfId="13706"/>
    <cellStyle name="EYColumnHeading 5 19 2" xfId="17057"/>
    <cellStyle name="EYColumnHeading 5 19 2 2" xfId="34198"/>
    <cellStyle name="EYColumnHeading 5 19 3" xfId="30847"/>
    <cellStyle name="EYColumnHeading 5 2" xfId="908"/>
    <cellStyle name="EYColumnHeading 5 2 2" xfId="1322"/>
    <cellStyle name="EYColumnHeading 5 2 2 2" xfId="2220"/>
    <cellStyle name="EYColumnHeading 5 2 2 2 2" xfId="15526"/>
    <cellStyle name="EYColumnHeading 5 2 2 2 2 2" xfId="32667"/>
    <cellStyle name="EYColumnHeading 5 2 2 2 3" xfId="19363"/>
    <cellStyle name="EYColumnHeading 5 2 2 3" xfId="14630"/>
    <cellStyle name="EYColumnHeading 5 2 2 3 2" xfId="31771"/>
    <cellStyle name="EYColumnHeading 5 2 2 4" xfId="18465"/>
    <cellStyle name="EYColumnHeading 5 2 3" xfId="1825"/>
    <cellStyle name="EYColumnHeading 5 2 3 2" xfId="15131"/>
    <cellStyle name="EYColumnHeading 5 2 3 2 2" xfId="32272"/>
    <cellStyle name="EYColumnHeading 5 2 3 3" xfId="18968"/>
    <cellStyle name="EYColumnHeading 5 2 4" xfId="14226"/>
    <cellStyle name="EYColumnHeading 5 2 4 2" xfId="31367"/>
    <cellStyle name="EYColumnHeading 5 2 5" xfId="18051"/>
    <cellStyle name="EYColumnHeading 5 20" xfId="13912"/>
    <cellStyle name="EYColumnHeading 5 20 2" xfId="31053"/>
    <cellStyle name="EYColumnHeading 5 21" xfId="17567"/>
    <cellStyle name="EYColumnHeading 5 3" xfId="764"/>
    <cellStyle name="EYColumnHeading 5 3 2" xfId="1217"/>
    <cellStyle name="EYColumnHeading 5 3 2 2" xfId="2115"/>
    <cellStyle name="EYColumnHeading 5 3 2 2 2" xfId="15421"/>
    <cellStyle name="EYColumnHeading 5 3 2 2 2 2" xfId="32562"/>
    <cellStyle name="EYColumnHeading 5 3 2 2 3" xfId="19258"/>
    <cellStyle name="EYColumnHeading 5 3 2 3" xfId="14525"/>
    <cellStyle name="EYColumnHeading 5 3 2 3 2" xfId="31666"/>
    <cellStyle name="EYColumnHeading 5 3 2 4" xfId="18360"/>
    <cellStyle name="EYColumnHeading 5 3 3" xfId="1720"/>
    <cellStyle name="EYColumnHeading 5 3 3 2" xfId="15026"/>
    <cellStyle name="EYColumnHeading 5 3 3 2 2" xfId="32167"/>
    <cellStyle name="EYColumnHeading 5 3 3 3" xfId="18863"/>
    <cellStyle name="EYColumnHeading 5 3 4" xfId="14121"/>
    <cellStyle name="EYColumnHeading 5 3 4 2" xfId="31262"/>
    <cellStyle name="EYColumnHeading 5 3 5" xfId="17907"/>
    <cellStyle name="EYColumnHeading 5 4" xfId="1022"/>
    <cellStyle name="EYColumnHeading 5 4 2" xfId="1419"/>
    <cellStyle name="EYColumnHeading 5 4 2 2" xfId="2317"/>
    <cellStyle name="EYColumnHeading 5 4 2 2 2" xfId="15623"/>
    <cellStyle name="EYColumnHeading 5 4 2 2 2 2" xfId="32764"/>
    <cellStyle name="EYColumnHeading 5 4 2 2 3" xfId="19460"/>
    <cellStyle name="EYColumnHeading 5 4 2 3" xfId="14727"/>
    <cellStyle name="EYColumnHeading 5 4 2 3 2" xfId="31868"/>
    <cellStyle name="EYColumnHeading 5 4 2 4" xfId="18562"/>
    <cellStyle name="EYColumnHeading 5 4 3" xfId="1929"/>
    <cellStyle name="EYColumnHeading 5 4 3 2" xfId="15235"/>
    <cellStyle name="EYColumnHeading 5 4 3 2 2" xfId="32376"/>
    <cellStyle name="EYColumnHeading 5 4 3 3" xfId="19072"/>
    <cellStyle name="EYColumnHeading 5 4 4" xfId="14330"/>
    <cellStyle name="EYColumnHeading 5 4 4 2" xfId="31471"/>
    <cellStyle name="EYColumnHeading 5 4 5" xfId="18165"/>
    <cellStyle name="EYColumnHeading 5 5" xfId="1120"/>
    <cellStyle name="EYColumnHeading 5 5 2" xfId="2022"/>
    <cellStyle name="EYColumnHeading 5 5 2 2" xfId="15328"/>
    <cellStyle name="EYColumnHeading 5 5 2 2 2" xfId="32469"/>
    <cellStyle name="EYColumnHeading 5 5 2 3" xfId="19165"/>
    <cellStyle name="EYColumnHeading 5 5 3" xfId="14428"/>
    <cellStyle name="EYColumnHeading 5 5 3 2" xfId="31569"/>
    <cellStyle name="EYColumnHeading 5 5 4" xfId="18263"/>
    <cellStyle name="EYColumnHeading 5 6" xfId="1515"/>
    <cellStyle name="EYColumnHeading 5 6 2" xfId="2412"/>
    <cellStyle name="EYColumnHeading 5 6 2 2" xfId="15718"/>
    <cellStyle name="EYColumnHeading 5 6 2 2 2" xfId="32859"/>
    <cellStyle name="EYColumnHeading 5 6 2 3" xfId="19555"/>
    <cellStyle name="EYColumnHeading 5 6 3" xfId="14822"/>
    <cellStyle name="EYColumnHeading 5 6 3 2" xfId="31963"/>
    <cellStyle name="EYColumnHeading 5 6 4" xfId="18658"/>
    <cellStyle name="EYColumnHeading 5 7" xfId="656"/>
    <cellStyle name="EYColumnHeading 5 7 2" xfId="14023"/>
    <cellStyle name="EYColumnHeading 5 7 2 2" xfId="31164"/>
    <cellStyle name="EYColumnHeading 5 7 3" xfId="17799"/>
    <cellStyle name="EYColumnHeading 5 8" xfId="1620"/>
    <cellStyle name="EYColumnHeading 5 8 2" xfId="14926"/>
    <cellStyle name="EYColumnHeading 5 8 2 2" xfId="32067"/>
    <cellStyle name="EYColumnHeading 5 8 3" xfId="18763"/>
    <cellStyle name="EYColumnHeading 5 9" xfId="12914"/>
    <cellStyle name="EYColumnHeading 5 9 2" xfId="16272"/>
    <cellStyle name="EYColumnHeading 5 9 2 2" xfId="33413"/>
    <cellStyle name="EYColumnHeading 5 9 3" xfId="30055"/>
    <cellStyle name="EYColumnHeading 6" xfId="430"/>
    <cellStyle name="EYColumnHeading 6 10" xfId="13030"/>
    <cellStyle name="EYColumnHeading 6 10 2" xfId="16381"/>
    <cellStyle name="EYColumnHeading 6 10 2 2" xfId="33522"/>
    <cellStyle name="EYColumnHeading 6 10 3" xfId="30171"/>
    <cellStyle name="EYColumnHeading 6 11" xfId="13115"/>
    <cellStyle name="EYColumnHeading 6 11 2" xfId="16466"/>
    <cellStyle name="EYColumnHeading 6 11 2 2" xfId="33607"/>
    <cellStyle name="EYColumnHeading 6 11 3" xfId="30256"/>
    <cellStyle name="EYColumnHeading 6 12" xfId="13203"/>
    <cellStyle name="EYColumnHeading 6 12 2" xfId="16554"/>
    <cellStyle name="EYColumnHeading 6 12 2 2" xfId="33695"/>
    <cellStyle name="EYColumnHeading 6 12 3" xfId="30344"/>
    <cellStyle name="EYColumnHeading 6 13" xfId="13167"/>
    <cellStyle name="EYColumnHeading 6 13 2" xfId="16518"/>
    <cellStyle name="EYColumnHeading 6 13 2 2" xfId="33659"/>
    <cellStyle name="EYColumnHeading 6 13 3" xfId="30308"/>
    <cellStyle name="EYColumnHeading 6 14" xfId="13381"/>
    <cellStyle name="EYColumnHeading 6 14 2" xfId="16732"/>
    <cellStyle name="EYColumnHeading 6 14 2 2" xfId="33873"/>
    <cellStyle name="EYColumnHeading 6 14 3" xfId="30522"/>
    <cellStyle name="EYColumnHeading 6 15" xfId="13457"/>
    <cellStyle name="EYColumnHeading 6 15 2" xfId="16808"/>
    <cellStyle name="EYColumnHeading 6 15 2 2" xfId="33949"/>
    <cellStyle name="EYColumnHeading 6 15 3" xfId="30598"/>
    <cellStyle name="EYColumnHeading 6 16" xfId="13521"/>
    <cellStyle name="EYColumnHeading 6 16 2" xfId="16872"/>
    <cellStyle name="EYColumnHeading 6 16 2 2" xfId="34013"/>
    <cellStyle name="EYColumnHeading 6 16 3" xfId="30662"/>
    <cellStyle name="EYColumnHeading 6 17" xfId="13589"/>
    <cellStyle name="EYColumnHeading 6 17 2" xfId="16940"/>
    <cellStyle name="EYColumnHeading 6 17 2 2" xfId="34081"/>
    <cellStyle name="EYColumnHeading 6 17 3" xfId="30730"/>
    <cellStyle name="EYColumnHeading 6 18" xfId="13652"/>
    <cellStyle name="EYColumnHeading 6 18 2" xfId="17003"/>
    <cellStyle name="EYColumnHeading 6 18 2 2" xfId="34144"/>
    <cellStyle name="EYColumnHeading 6 18 3" xfId="30793"/>
    <cellStyle name="EYColumnHeading 6 19" xfId="13704"/>
    <cellStyle name="EYColumnHeading 6 19 2" xfId="17055"/>
    <cellStyle name="EYColumnHeading 6 19 2 2" xfId="34196"/>
    <cellStyle name="EYColumnHeading 6 19 3" xfId="30845"/>
    <cellStyle name="EYColumnHeading 6 2" xfId="911"/>
    <cellStyle name="EYColumnHeading 6 2 2" xfId="1325"/>
    <cellStyle name="EYColumnHeading 6 2 2 2" xfId="2223"/>
    <cellStyle name="EYColumnHeading 6 2 2 2 2" xfId="15529"/>
    <cellStyle name="EYColumnHeading 6 2 2 2 2 2" xfId="32670"/>
    <cellStyle name="EYColumnHeading 6 2 2 2 3" xfId="19366"/>
    <cellStyle name="EYColumnHeading 6 2 2 3" xfId="14633"/>
    <cellStyle name="EYColumnHeading 6 2 2 3 2" xfId="31774"/>
    <cellStyle name="EYColumnHeading 6 2 2 4" xfId="18468"/>
    <cellStyle name="EYColumnHeading 6 2 3" xfId="1828"/>
    <cellStyle name="EYColumnHeading 6 2 3 2" xfId="15134"/>
    <cellStyle name="EYColumnHeading 6 2 3 2 2" xfId="32275"/>
    <cellStyle name="EYColumnHeading 6 2 3 3" xfId="18971"/>
    <cellStyle name="EYColumnHeading 6 2 4" xfId="14229"/>
    <cellStyle name="EYColumnHeading 6 2 4 2" xfId="31370"/>
    <cellStyle name="EYColumnHeading 6 2 5" xfId="18054"/>
    <cellStyle name="EYColumnHeading 6 20" xfId="13915"/>
    <cellStyle name="EYColumnHeading 6 20 2" xfId="31056"/>
    <cellStyle name="EYColumnHeading 6 21" xfId="17573"/>
    <cellStyle name="EYColumnHeading 6 3" xfId="767"/>
    <cellStyle name="EYColumnHeading 6 3 2" xfId="1220"/>
    <cellStyle name="EYColumnHeading 6 3 2 2" xfId="2118"/>
    <cellStyle name="EYColumnHeading 6 3 2 2 2" xfId="15424"/>
    <cellStyle name="EYColumnHeading 6 3 2 2 2 2" xfId="32565"/>
    <cellStyle name="EYColumnHeading 6 3 2 2 3" xfId="19261"/>
    <cellStyle name="EYColumnHeading 6 3 2 3" xfId="14528"/>
    <cellStyle name="EYColumnHeading 6 3 2 3 2" xfId="31669"/>
    <cellStyle name="EYColumnHeading 6 3 2 4" xfId="18363"/>
    <cellStyle name="EYColumnHeading 6 3 3" xfId="1723"/>
    <cellStyle name="EYColumnHeading 6 3 3 2" xfId="15029"/>
    <cellStyle name="EYColumnHeading 6 3 3 2 2" xfId="32170"/>
    <cellStyle name="EYColumnHeading 6 3 3 3" xfId="18866"/>
    <cellStyle name="EYColumnHeading 6 3 4" xfId="14124"/>
    <cellStyle name="EYColumnHeading 6 3 4 2" xfId="31265"/>
    <cellStyle name="EYColumnHeading 6 3 5" xfId="17910"/>
    <cellStyle name="EYColumnHeading 6 4" xfId="1025"/>
    <cellStyle name="EYColumnHeading 6 4 2" xfId="1422"/>
    <cellStyle name="EYColumnHeading 6 4 2 2" xfId="2320"/>
    <cellStyle name="EYColumnHeading 6 4 2 2 2" xfId="15626"/>
    <cellStyle name="EYColumnHeading 6 4 2 2 2 2" xfId="32767"/>
    <cellStyle name="EYColumnHeading 6 4 2 2 3" xfId="19463"/>
    <cellStyle name="EYColumnHeading 6 4 2 3" xfId="14730"/>
    <cellStyle name="EYColumnHeading 6 4 2 3 2" xfId="31871"/>
    <cellStyle name="EYColumnHeading 6 4 2 4" xfId="18565"/>
    <cellStyle name="EYColumnHeading 6 4 3" xfId="1932"/>
    <cellStyle name="EYColumnHeading 6 4 3 2" xfId="15238"/>
    <cellStyle name="EYColumnHeading 6 4 3 2 2" xfId="32379"/>
    <cellStyle name="EYColumnHeading 6 4 3 3" xfId="19075"/>
    <cellStyle name="EYColumnHeading 6 4 4" xfId="14333"/>
    <cellStyle name="EYColumnHeading 6 4 4 2" xfId="31474"/>
    <cellStyle name="EYColumnHeading 6 4 5" xfId="18168"/>
    <cellStyle name="EYColumnHeading 6 5" xfId="1123"/>
    <cellStyle name="EYColumnHeading 6 5 2" xfId="2025"/>
    <cellStyle name="EYColumnHeading 6 5 2 2" xfId="15331"/>
    <cellStyle name="EYColumnHeading 6 5 2 2 2" xfId="32472"/>
    <cellStyle name="EYColumnHeading 6 5 2 3" xfId="19168"/>
    <cellStyle name="EYColumnHeading 6 5 3" xfId="14431"/>
    <cellStyle name="EYColumnHeading 6 5 3 2" xfId="31572"/>
    <cellStyle name="EYColumnHeading 6 5 4" xfId="18266"/>
    <cellStyle name="EYColumnHeading 6 6" xfId="1518"/>
    <cellStyle name="EYColumnHeading 6 6 2" xfId="2415"/>
    <cellStyle name="EYColumnHeading 6 6 2 2" xfId="15721"/>
    <cellStyle name="EYColumnHeading 6 6 2 2 2" xfId="32862"/>
    <cellStyle name="EYColumnHeading 6 6 2 3" xfId="19558"/>
    <cellStyle name="EYColumnHeading 6 6 3" xfId="14825"/>
    <cellStyle name="EYColumnHeading 6 6 3 2" xfId="31966"/>
    <cellStyle name="EYColumnHeading 6 6 4" xfId="18661"/>
    <cellStyle name="EYColumnHeading 6 7" xfId="659"/>
    <cellStyle name="EYColumnHeading 6 7 2" xfId="14026"/>
    <cellStyle name="EYColumnHeading 6 7 2 2" xfId="31167"/>
    <cellStyle name="EYColumnHeading 6 7 3" xfId="17802"/>
    <cellStyle name="EYColumnHeading 6 8" xfId="1623"/>
    <cellStyle name="EYColumnHeading 6 8 2" xfId="14929"/>
    <cellStyle name="EYColumnHeading 6 8 2 2" xfId="32070"/>
    <cellStyle name="EYColumnHeading 6 8 3" xfId="18766"/>
    <cellStyle name="EYColumnHeading 6 9" xfId="12919"/>
    <cellStyle name="EYColumnHeading 6 9 2" xfId="16277"/>
    <cellStyle name="EYColumnHeading 6 9 2 2" xfId="33418"/>
    <cellStyle name="EYColumnHeading 6 9 3" xfId="30060"/>
    <cellStyle name="EYColumnHeading 7" xfId="404"/>
    <cellStyle name="EYColumnHeading 7 10" xfId="13006"/>
    <cellStyle name="EYColumnHeading 7 10 2" xfId="16357"/>
    <cellStyle name="EYColumnHeading 7 10 2 2" xfId="33498"/>
    <cellStyle name="EYColumnHeading 7 10 3" xfId="30147"/>
    <cellStyle name="EYColumnHeading 7 11" xfId="13094"/>
    <cellStyle name="EYColumnHeading 7 11 2" xfId="16445"/>
    <cellStyle name="EYColumnHeading 7 11 2 2" xfId="33586"/>
    <cellStyle name="EYColumnHeading 7 11 3" xfId="30235"/>
    <cellStyle name="EYColumnHeading 7 12" xfId="13177"/>
    <cellStyle name="EYColumnHeading 7 12 2" xfId="16528"/>
    <cellStyle name="EYColumnHeading 7 12 2 2" xfId="33669"/>
    <cellStyle name="EYColumnHeading 7 12 3" xfId="30318"/>
    <cellStyle name="EYColumnHeading 7 13" xfId="12822"/>
    <cellStyle name="EYColumnHeading 7 13 2" xfId="16180"/>
    <cellStyle name="EYColumnHeading 7 13 2 2" xfId="33321"/>
    <cellStyle name="EYColumnHeading 7 13 3" xfId="29963"/>
    <cellStyle name="EYColumnHeading 7 14" xfId="13359"/>
    <cellStyle name="EYColumnHeading 7 14 2" xfId="16710"/>
    <cellStyle name="EYColumnHeading 7 14 2 2" xfId="33851"/>
    <cellStyle name="EYColumnHeading 7 14 3" xfId="30500"/>
    <cellStyle name="EYColumnHeading 7 15" xfId="13435"/>
    <cellStyle name="EYColumnHeading 7 15 2" xfId="16786"/>
    <cellStyle name="EYColumnHeading 7 15 2 2" xfId="33927"/>
    <cellStyle name="EYColumnHeading 7 15 3" xfId="30576"/>
    <cellStyle name="EYColumnHeading 7 16" xfId="12802"/>
    <cellStyle name="EYColumnHeading 7 16 2" xfId="16163"/>
    <cellStyle name="EYColumnHeading 7 16 2 2" xfId="33304"/>
    <cellStyle name="EYColumnHeading 7 16 3" xfId="29943"/>
    <cellStyle name="EYColumnHeading 7 17" xfId="13569"/>
    <cellStyle name="EYColumnHeading 7 17 2" xfId="16920"/>
    <cellStyle name="EYColumnHeading 7 17 2 2" xfId="34061"/>
    <cellStyle name="EYColumnHeading 7 17 3" xfId="30710"/>
    <cellStyle name="EYColumnHeading 7 18" xfId="13633"/>
    <cellStyle name="EYColumnHeading 7 18 2" xfId="16984"/>
    <cellStyle name="EYColumnHeading 7 18 2 2" xfId="34125"/>
    <cellStyle name="EYColumnHeading 7 18 3" xfId="30774"/>
    <cellStyle name="EYColumnHeading 7 19" xfId="13717"/>
    <cellStyle name="EYColumnHeading 7 19 2" xfId="17068"/>
    <cellStyle name="EYColumnHeading 7 19 2 2" xfId="34209"/>
    <cellStyle name="EYColumnHeading 7 19 3" xfId="30858"/>
    <cellStyle name="EYColumnHeading 7 2" xfId="891"/>
    <cellStyle name="EYColumnHeading 7 2 2" xfId="1306"/>
    <cellStyle name="EYColumnHeading 7 2 2 2" xfId="2204"/>
    <cellStyle name="EYColumnHeading 7 2 2 2 2" xfId="15510"/>
    <cellStyle name="EYColumnHeading 7 2 2 2 2 2" xfId="32651"/>
    <cellStyle name="EYColumnHeading 7 2 2 2 3" xfId="19347"/>
    <cellStyle name="EYColumnHeading 7 2 2 3" xfId="14614"/>
    <cellStyle name="EYColumnHeading 7 2 2 3 2" xfId="31755"/>
    <cellStyle name="EYColumnHeading 7 2 2 4" xfId="18449"/>
    <cellStyle name="EYColumnHeading 7 2 3" xfId="1809"/>
    <cellStyle name="EYColumnHeading 7 2 3 2" xfId="15115"/>
    <cellStyle name="EYColumnHeading 7 2 3 2 2" xfId="32256"/>
    <cellStyle name="EYColumnHeading 7 2 3 3" xfId="18952"/>
    <cellStyle name="EYColumnHeading 7 2 4" xfId="14210"/>
    <cellStyle name="EYColumnHeading 7 2 4 2" xfId="31351"/>
    <cellStyle name="EYColumnHeading 7 2 5" xfId="18034"/>
    <cellStyle name="EYColumnHeading 7 20" xfId="13896"/>
    <cellStyle name="EYColumnHeading 7 20 2" xfId="31037"/>
    <cellStyle name="EYColumnHeading 7 21" xfId="17547"/>
    <cellStyle name="EYColumnHeading 7 3" xfId="750"/>
    <cellStyle name="EYColumnHeading 7 3 2" xfId="1203"/>
    <cellStyle name="EYColumnHeading 7 3 2 2" xfId="2101"/>
    <cellStyle name="EYColumnHeading 7 3 2 2 2" xfId="15407"/>
    <cellStyle name="EYColumnHeading 7 3 2 2 2 2" xfId="32548"/>
    <cellStyle name="EYColumnHeading 7 3 2 2 3" xfId="19244"/>
    <cellStyle name="EYColumnHeading 7 3 2 3" xfId="14511"/>
    <cellStyle name="EYColumnHeading 7 3 2 3 2" xfId="31652"/>
    <cellStyle name="EYColumnHeading 7 3 2 4" xfId="18346"/>
    <cellStyle name="EYColumnHeading 7 3 3" xfId="1706"/>
    <cellStyle name="EYColumnHeading 7 3 3 2" xfId="15012"/>
    <cellStyle name="EYColumnHeading 7 3 3 2 2" xfId="32153"/>
    <cellStyle name="EYColumnHeading 7 3 3 3" xfId="18849"/>
    <cellStyle name="EYColumnHeading 7 3 4" xfId="14107"/>
    <cellStyle name="EYColumnHeading 7 3 4 2" xfId="31248"/>
    <cellStyle name="EYColumnHeading 7 3 5" xfId="17893"/>
    <cellStyle name="EYColumnHeading 7 4" xfId="1006"/>
    <cellStyle name="EYColumnHeading 7 4 2" xfId="1405"/>
    <cellStyle name="EYColumnHeading 7 4 2 2" xfId="2303"/>
    <cellStyle name="EYColumnHeading 7 4 2 2 2" xfId="15609"/>
    <cellStyle name="EYColumnHeading 7 4 2 2 2 2" xfId="32750"/>
    <cellStyle name="EYColumnHeading 7 4 2 2 3" xfId="19446"/>
    <cellStyle name="EYColumnHeading 7 4 2 3" xfId="14713"/>
    <cellStyle name="EYColumnHeading 7 4 2 3 2" xfId="31854"/>
    <cellStyle name="EYColumnHeading 7 4 2 4" xfId="18548"/>
    <cellStyle name="EYColumnHeading 7 4 3" xfId="1913"/>
    <cellStyle name="EYColumnHeading 7 4 3 2" xfId="15219"/>
    <cellStyle name="EYColumnHeading 7 4 3 2 2" xfId="32360"/>
    <cellStyle name="EYColumnHeading 7 4 3 3" xfId="19056"/>
    <cellStyle name="EYColumnHeading 7 4 4" xfId="14314"/>
    <cellStyle name="EYColumnHeading 7 4 4 2" xfId="31455"/>
    <cellStyle name="EYColumnHeading 7 4 5" xfId="18149"/>
    <cellStyle name="EYColumnHeading 7 5" xfId="1106"/>
    <cellStyle name="EYColumnHeading 7 5 2" xfId="2008"/>
    <cellStyle name="EYColumnHeading 7 5 2 2" xfId="15314"/>
    <cellStyle name="EYColumnHeading 7 5 2 2 2" xfId="32455"/>
    <cellStyle name="EYColumnHeading 7 5 2 3" xfId="19151"/>
    <cellStyle name="EYColumnHeading 7 5 3" xfId="14414"/>
    <cellStyle name="EYColumnHeading 7 5 3 2" xfId="31555"/>
    <cellStyle name="EYColumnHeading 7 5 4" xfId="18249"/>
    <cellStyle name="EYColumnHeading 7 6" xfId="1501"/>
    <cellStyle name="EYColumnHeading 7 6 2" xfId="2398"/>
    <cellStyle name="EYColumnHeading 7 6 2 2" xfId="15704"/>
    <cellStyle name="EYColumnHeading 7 6 2 2 2" xfId="32845"/>
    <cellStyle name="EYColumnHeading 7 6 2 3" xfId="19541"/>
    <cellStyle name="EYColumnHeading 7 6 3" xfId="14808"/>
    <cellStyle name="EYColumnHeading 7 6 3 2" xfId="31949"/>
    <cellStyle name="EYColumnHeading 7 6 4" xfId="18644"/>
    <cellStyle name="EYColumnHeading 7 7" xfId="639"/>
    <cellStyle name="EYColumnHeading 7 7 2" xfId="14007"/>
    <cellStyle name="EYColumnHeading 7 7 2 2" xfId="31148"/>
    <cellStyle name="EYColumnHeading 7 7 3" xfId="17782"/>
    <cellStyle name="EYColumnHeading 7 8" xfId="1604"/>
    <cellStyle name="EYColumnHeading 7 8 2" xfId="14910"/>
    <cellStyle name="EYColumnHeading 7 8 2 2" xfId="32051"/>
    <cellStyle name="EYColumnHeading 7 8 3" xfId="18747"/>
    <cellStyle name="EYColumnHeading 7 9" xfId="12895"/>
    <cellStyle name="EYColumnHeading 7 9 2" xfId="16253"/>
    <cellStyle name="EYColumnHeading 7 9 2 2" xfId="33394"/>
    <cellStyle name="EYColumnHeading 7 9 3" xfId="30036"/>
    <cellStyle name="EYColumnHeading 8" xfId="465"/>
    <cellStyle name="EYColumnHeading 8 10" xfId="13061"/>
    <cellStyle name="EYColumnHeading 8 10 2" xfId="16412"/>
    <cellStyle name="EYColumnHeading 8 10 2 2" xfId="33553"/>
    <cellStyle name="EYColumnHeading 8 10 3" xfId="30202"/>
    <cellStyle name="EYColumnHeading 8 11" xfId="13141"/>
    <cellStyle name="EYColumnHeading 8 11 2" xfId="16492"/>
    <cellStyle name="EYColumnHeading 8 11 2 2" xfId="33633"/>
    <cellStyle name="EYColumnHeading 8 11 3" xfId="30282"/>
    <cellStyle name="EYColumnHeading 8 12" xfId="13233"/>
    <cellStyle name="EYColumnHeading 8 12 2" xfId="16584"/>
    <cellStyle name="EYColumnHeading 8 12 2 2" xfId="33725"/>
    <cellStyle name="EYColumnHeading 8 12 3" xfId="30374"/>
    <cellStyle name="EYColumnHeading 8 13" xfId="13320"/>
    <cellStyle name="EYColumnHeading 8 13 2" xfId="16671"/>
    <cellStyle name="EYColumnHeading 8 13 2 2" xfId="33812"/>
    <cellStyle name="EYColumnHeading 8 13 3" xfId="30461"/>
    <cellStyle name="EYColumnHeading 8 14" xfId="13407"/>
    <cellStyle name="EYColumnHeading 8 14 2" xfId="16758"/>
    <cellStyle name="EYColumnHeading 8 14 2 2" xfId="33899"/>
    <cellStyle name="EYColumnHeading 8 14 3" xfId="30548"/>
    <cellStyle name="EYColumnHeading 8 15" xfId="13482"/>
    <cellStyle name="EYColumnHeading 8 15 2" xfId="16833"/>
    <cellStyle name="EYColumnHeading 8 15 2 2" xfId="33974"/>
    <cellStyle name="EYColumnHeading 8 15 3" xfId="30623"/>
    <cellStyle name="EYColumnHeading 8 16" xfId="13545"/>
    <cellStyle name="EYColumnHeading 8 16 2" xfId="16896"/>
    <cellStyle name="EYColumnHeading 8 16 2 2" xfId="34037"/>
    <cellStyle name="EYColumnHeading 8 16 3" xfId="30686"/>
    <cellStyle name="EYColumnHeading 8 17" xfId="13610"/>
    <cellStyle name="EYColumnHeading 8 17 2" xfId="16961"/>
    <cellStyle name="EYColumnHeading 8 17 2 2" xfId="34102"/>
    <cellStyle name="EYColumnHeading 8 17 3" xfId="30751"/>
    <cellStyle name="EYColumnHeading 8 18" xfId="13673"/>
    <cellStyle name="EYColumnHeading 8 18 2" xfId="17024"/>
    <cellStyle name="EYColumnHeading 8 18 2 2" xfId="34165"/>
    <cellStyle name="EYColumnHeading 8 18 3" xfId="30814"/>
    <cellStyle name="EYColumnHeading 8 19" xfId="13691"/>
    <cellStyle name="EYColumnHeading 8 19 2" xfId="17042"/>
    <cellStyle name="EYColumnHeading 8 19 2 2" xfId="34183"/>
    <cellStyle name="EYColumnHeading 8 19 3" xfId="30832"/>
    <cellStyle name="EYColumnHeading 8 2" xfId="934"/>
    <cellStyle name="EYColumnHeading 8 2 2" xfId="1346"/>
    <cellStyle name="EYColumnHeading 8 2 2 2" xfId="2244"/>
    <cellStyle name="EYColumnHeading 8 2 2 2 2" xfId="15550"/>
    <cellStyle name="EYColumnHeading 8 2 2 2 2 2" xfId="32691"/>
    <cellStyle name="EYColumnHeading 8 2 2 2 3" xfId="19387"/>
    <cellStyle name="EYColumnHeading 8 2 2 3" xfId="14654"/>
    <cellStyle name="EYColumnHeading 8 2 2 3 2" xfId="31795"/>
    <cellStyle name="EYColumnHeading 8 2 2 4" xfId="18489"/>
    <cellStyle name="EYColumnHeading 8 2 3" xfId="1849"/>
    <cellStyle name="EYColumnHeading 8 2 3 2" xfId="15155"/>
    <cellStyle name="EYColumnHeading 8 2 3 2 2" xfId="32296"/>
    <cellStyle name="EYColumnHeading 8 2 3 3" xfId="18992"/>
    <cellStyle name="EYColumnHeading 8 2 4" xfId="14250"/>
    <cellStyle name="EYColumnHeading 8 2 4 2" xfId="31391"/>
    <cellStyle name="EYColumnHeading 8 2 5" xfId="18077"/>
    <cellStyle name="EYColumnHeading 8 20" xfId="13936"/>
    <cellStyle name="EYColumnHeading 8 20 2" xfId="31077"/>
    <cellStyle name="EYColumnHeading 8 21" xfId="17608"/>
    <cellStyle name="EYColumnHeading 8 3" xfId="784"/>
    <cellStyle name="EYColumnHeading 8 3 2" xfId="1237"/>
    <cellStyle name="EYColumnHeading 8 3 2 2" xfId="2135"/>
    <cellStyle name="EYColumnHeading 8 3 2 2 2" xfId="15441"/>
    <cellStyle name="EYColumnHeading 8 3 2 2 2 2" xfId="32582"/>
    <cellStyle name="EYColumnHeading 8 3 2 2 3" xfId="19278"/>
    <cellStyle name="EYColumnHeading 8 3 2 3" xfId="14545"/>
    <cellStyle name="EYColumnHeading 8 3 2 3 2" xfId="31686"/>
    <cellStyle name="EYColumnHeading 8 3 2 4" xfId="18380"/>
    <cellStyle name="EYColumnHeading 8 3 3" xfId="1740"/>
    <cellStyle name="EYColumnHeading 8 3 3 2" xfId="15046"/>
    <cellStyle name="EYColumnHeading 8 3 3 2 2" xfId="32187"/>
    <cellStyle name="EYColumnHeading 8 3 3 3" xfId="18883"/>
    <cellStyle name="EYColumnHeading 8 3 4" xfId="14141"/>
    <cellStyle name="EYColumnHeading 8 3 4 2" xfId="31282"/>
    <cellStyle name="EYColumnHeading 8 3 5" xfId="17927"/>
    <cellStyle name="EYColumnHeading 8 4" xfId="1044"/>
    <cellStyle name="EYColumnHeading 8 4 2" xfId="1439"/>
    <cellStyle name="EYColumnHeading 8 4 2 2" xfId="2337"/>
    <cellStyle name="EYColumnHeading 8 4 2 2 2" xfId="15643"/>
    <cellStyle name="EYColumnHeading 8 4 2 2 2 2" xfId="32784"/>
    <cellStyle name="EYColumnHeading 8 4 2 2 3" xfId="19480"/>
    <cellStyle name="EYColumnHeading 8 4 2 3" xfId="14747"/>
    <cellStyle name="EYColumnHeading 8 4 2 3 2" xfId="31888"/>
    <cellStyle name="EYColumnHeading 8 4 2 4" xfId="18582"/>
    <cellStyle name="EYColumnHeading 8 4 3" xfId="1951"/>
    <cellStyle name="EYColumnHeading 8 4 3 2" xfId="15257"/>
    <cellStyle name="EYColumnHeading 8 4 3 2 2" xfId="32398"/>
    <cellStyle name="EYColumnHeading 8 4 3 3" xfId="19094"/>
    <cellStyle name="EYColumnHeading 8 4 4" xfId="14352"/>
    <cellStyle name="EYColumnHeading 8 4 4 2" xfId="31493"/>
    <cellStyle name="EYColumnHeading 8 4 5" xfId="18187"/>
    <cellStyle name="EYColumnHeading 8 5" xfId="1142"/>
    <cellStyle name="EYColumnHeading 8 5 2" xfId="2042"/>
    <cellStyle name="EYColumnHeading 8 5 2 2" xfId="15348"/>
    <cellStyle name="EYColumnHeading 8 5 2 2 2" xfId="32489"/>
    <cellStyle name="EYColumnHeading 8 5 2 3" xfId="19185"/>
    <cellStyle name="EYColumnHeading 8 5 3" xfId="14450"/>
    <cellStyle name="EYColumnHeading 8 5 3 2" xfId="31591"/>
    <cellStyle name="EYColumnHeading 8 5 4" xfId="18285"/>
    <cellStyle name="EYColumnHeading 8 6" xfId="1535"/>
    <cellStyle name="EYColumnHeading 8 6 2" xfId="2432"/>
    <cellStyle name="EYColumnHeading 8 6 2 2" xfId="15738"/>
    <cellStyle name="EYColumnHeading 8 6 2 2 2" xfId="32879"/>
    <cellStyle name="EYColumnHeading 8 6 2 3" xfId="19575"/>
    <cellStyle name="EYColumnHeading 8 6 3" xfId="14842"/>
    <cellStyle name="EYColumnHeading 8 6 3 2" xfId="31983"/>
    <cellStyle name="EYColumnHeading 8 6 4" xfId="18678"/>
    <cellStyle name="EYColumnHeading 8 7" xfId="681"/>
    <cellStyle name="EYColumnHeading 8 7 2" xfId="14046"/>
    <cellStyle name="EYColumnHeading 8 7 2 2" xfId="31187"/>
    <cellStyle name="EYColumnHeading 8 7 3" xfId="17824"/>
    <cellStyle name="EYColumnHeading 8 8" xfId="1644"/>
    <cellStyle name="EYColumnHeading 8 8 2" xfId="14950"/>
    <cellStyle name="EYColumnHeading 8 8 2 2" xfId="32091"/>
    <cellStyle name="EYColumnHeading 8 8 3" xfId="18787"/>
    <cellStyle name="EYColumnHeading 8 9" xfId="12949"/>
    <cellStyle name="EYColumnHeading 8 9 2" xfId="16307"/>
    <cellStyle name="EYColumnHeading 8 9 2 2" xfId="33448"/>
    <cellStyle name="EYColumnHeading 8 9 3" xfId="30090"/>
    <cellStyle name="EYColumnHeading 9" xfId="470"/>
    <cellStyle name="EYColumnHeading 9 10" xfId="13065"/>
    <cellStyle name="EYColumnHeading 9 10 2" xfId="16416"/>
    <cellStyle name="EYColumnHeading 9 10 2 2" xfId="33557"/>
    <cellStyle name="EYColumnHeading 9 10 3" xfId="30206"/>
    <cellStyle name="EYColumnHeading 9 11" xfId="13145"/>
    <cellStyle name="EYColumnHeading 9 11 2" xfId="16496"/>
    <cellStyle name="EYColumnHeading 9 11 2 2" xfId="33637"/>
    <cellStyle name="EYColumnHeading 9 11 3" xfId="30286"/>
    <cellStyle name="EYColumnHeading 9 12" xfId="13238"/>
    <cellStyle name="EYColumnHeading 9 12 2" xfId="16589"/>
    <cellStyle name="EYColumnHeading 9 12 2 2" xfId="33730"/>
    <cellStyle name="EYColumnHeading 9 12 3" xfId="30379"/>
    <cellStyle name="EYColumnHeading 9 13" xfId="13325"/>
    <cellStyle name="EYColumnHeading 9 13 2" xfId="16676"/>
    <cellStyle name="EYColumnHeading 9 13 2 2" xfId="33817"/>
    <cellStyle name="EYColumnHeading 9 13 3" xfId="30466"/>
    <cellStyle name="EYColumnHeading 9 14" xfId="13412"/>
    <cellStyle name="EYColumnHeading 9 14 2" xfId="16763"/>
    <cellStyle name="EYColumnHeading 9 14 2 2" xfId="33904"/>
    <cellStyle name="EYColumnHeading 9 14 3" xfId="30553"/>
    <cellStyle name="EYColumnHeading 9 15" xfId="13486"/>
    <cellStyle name="EYColumnHeading 9 15 2" xfId="16837"/>
    <cellStyle name="EYColumnHeading 9 15 2 2" xfId="33978"/>
    <cellStyle name="EYColumnHeading 9 15 3" xfId="30627"/>
    <cellStyle name="EYColumnHeading 9 16" xfId="13549"/>
    <cellStyle name="EYColumnHeading 9 16 2" xfId="16900"/>
    <cellStyle name="EYColumnHeading 9 16 2 2" xfId="34041"/>
    <cellStyle name="EYColumnHeading 9 16 3" xfId="30690"/>
    <cellStyle name="EYColumnHeading 9 17" xfId="13615"/>
    <cellStyle name="EYColumnHeading 9 17 2" xfId="16966"/>
    <cellStyle name="EYColumnHeading 9 17 2 2" xfId="34107"/>
    <cellStyle name="EYColumnHeading 9 17 3" xfId="30756"/>
    <cellStyle name="EYColumnHeading 9 18" xfId="13677"/>
    <cellStyle name="EYColumnHeading 9 18 2" xfId="17028"/>
    <cellStyle name="EYColumnHeading 9 18 2 2" xfId="34169"/>
    <cellStyle name="EYColumnHeading 9 18 3" xfId="30818"/>
    <cellStyle name="EYColumnHeading 9 19" xfId="13822"/>
    <cellStyle name="EYColumnHeading 9 19 2" xfId="17161"/>
    <cellStyle name="EYColumnHeading 9 19 2 2" xfId="34302"/>
    <cellStyle name="EYColumnHeading 9 19 3" xfId="30963"/>
    <cellStyle name="EYColumnHeading 9 2" xfId="939"/>
    <cellStyle name="EYColumnHeading 9 2 2" xfId="1350"/>
    <cellStyle name="EYColumnHeading 9 2 2 2" xfId="2248"/>
    <cellStyle name="EYColumnHeading 9 2 2 2 2" xfId="15554"/>
    <cellStyle name="EYColumnHeading 9 2 2 2 2 2" xfId="32695"/>
    <cellStyle name="EYColumnHeading 9 2 2 2 3" xfId="19391"/>
    <cellStyle name="EYColumnHeading 9 2 2 3" xfId="14658"/>
    <cellStyle name="EYColumnHeading 9 2 2 3 2" xfId="31799"/>
    <cellStyle name="EYColumnHeading 9 2 2 4" xfId="18493"/>
    <cellStyle name="EYColumnHeading 9 2 3" xfId="1853"/>
    <cellStyle name="EYColumnHeading 9 2 3 2" xfId="15159"/>
    <cellStyle name="EYColumnHeading 9 2 3 2 2" xfId="32300"/>
    <cellStyle name="EYColumnHeading 9 2 3 3" xfId="18996"/>
    <cellStyle name="EYColumnHeading 9 2 4" xfId="14254"/>
    <cellStyle name="EYColumnHeading 9 2 4 2" xfId="31395"/>
    <cellStyle name="EYColumnHeading 9 2 5" xfId="18082"/>
    <cellStyle name="EYColumnHeading 9 20" xfId="13940"/>
    <cellStyle name="EYColumnHeading 9 20 2" xfId="31081"/>
    <cellStyle name="EYColumnHeading 9 21" xfId="17613"/>
    <cellStyle name="EYColumnHeading 9 3" xfId="787"/>
    <cellStyle name="EYColumnHeading 9 3 2" xfId="1240"/>
    <cellStyle name="EYColumnHeading 9 3 2 2" xfId="2138"/>
    <cellStyle name="EYColumnHeading 9 3 2 2 2" xfId="15444"/>
    <cellStyle name="EYColumnHeading 9 3 2 2 2 2" xfId="32585"/>
    <cellStyle name="EYColumnHeading 9 3 2 2 3" xfId="19281"/>
    <cellStyle name="EYColumnHeading 9 3 2 3" xfId="14548"/>
    <cellStyle name="EYColumnHeading 9 3 2 3 2" xfId="31689"/>
    <cellStyle name="EYColumnHeading 9 3 2 4" xfId="18383"/>
    <cellStyle name="EYColumnHeading 9 3 3" xfId="1743"/>
    <cellStyle name="EYColumnHeading 9 3 3 2" xfId="15049"/>
    <cellStyle name="EYColumnHeading 9 3 3 2 2" xfId="32190"/>
    <cellStyle name="EYColumnHeading 9 3 3 3" xfId="18886"/>
    <cellStyle name="EYColumnHeading 9 3 4" xfId="14144"/>
    <cellStyle name="EYColumnHeading 9 3 4 2" xfId="31285"/>
    <cellStyle name="EYColumnHeading 9 3 5" xfId="17930"/>
    <cellStyle name="EYColumnHeading 9 4" xfId="1047"/>
    <cellStyle name="EYColumnHeading 9 4 2" xfId="1442"/>
    <cellStyle name="EYColumnHeading 9 4 2 2" xfId="2340"/>
    <cellStyle name="EYColumnHeading 9 4 2 2 2" xfId="15646"/>
    <cellStyle name="EYColumnHeading 9 4 2 2 2 2" xfId="32787"/>
    <cellStyle name="EYColumnHeading 9 4 2 2 3" xfId="19483"/>
    <cellStyle name="EYColumnHeading 9 4 2 3" xfId="14750"/>
    <cellStyle name="EYColumnHeading 9 4 2 3 2" xfId="31891"/>
    <cellStyle name="EYColumnHeading 9 4 2 4" xfId="18585"/>
    <cellStyle name="EYColumnHeading 9 4 3" xfId="1954"/>
    <cellStyle name="EYColumnHeading 9 4 3 2" xfId="15260"/>
    <cellStyle name="EYColumnHeading 9 4 3 2 2" xfId="32401"/>
    <cellStyle name="EYColumnHeading 9 4 3 3" xfId="19097"/>
    <cellStyle name="EYColumnHeading 9 4 4" xfId="14355"/>
    <cellStyle name="EYColumnHeading 9 4 4 2" xfId="31496"/>
    <cellStyle name="EYColumnHeading 9 4 5" xfId="18190"/>
    <cellStyle name="EYColumnHeading 9 5" xfId="1146"/>
    <cellStyle name="EYColumnHeading 9 5 2" xfId="2045"/>
    <cellStyle name="EYColumnHeading 9 5 2 2" xfId="15351"/>
    <cellStyle name="EYColumnHeading 9 5 2 2 2" xfId="32492"/>
    <cellStyle name="EYColumnHeading 9 5 2 3" xfId="19188"/>
    <cellStyle name="EYColumnHeading 9 5 3" xfId="14454"/>
    <cellStyle name="EYColumnHeading 9 5 3 2" xfId="31595"/>
    <cellStyle name="EYColumnHeading 9 5 4" xfId="18289"/>
    <cellStyle name="EYColumnHeading 9 6" xfId="1538"/>
    <cellStyle name="EYColumnHeading 9 6 2" xfId="2435"/>
    <cellStyle name="EYColumnHeading 9 6 2 2" xfId="15741"/>
    <cellStyle name="EYColumnHeading 9 6 2 2 2" xfId="32882"/>
    <cellStyle name="EYColumnHeading 9 6 2 3" xfId="19578"/>
    <cellStyle name="EYColumnHeading 9 6 3" xfId="14845"/>
    <cellStyle name="EYColumnHeading 9 6 3 2" xfId="31986"/>
    <cellStyle name="EYColumnHeading 9 6 4" xfId="18681"/>
    <cellStyle name="EYColumnHeading 9 7" xfId="686"/>
    <cellStyle name="EYColumnHeading 9 7 2" xfId="14050"/>
    <cellStyle name="EYColumnHeading 9 7 2 2" xfId="31191"/>
    <cellStyle name="EYColumnHeading 9 7 3" xfId="17829"/>
    <cellStyle name="EYColumnHeading 9 8" xfId="1648"/>
    <cellStyle name="EYColumnHeading 9 8 2" xfId="14954"/>
    <cellStyle name="EYColumnHeading 9 8 2 2" xfId="32095"/>
    <cellStyle name="EYColumnHeading 9 8 3" xfId="18791"/>
    <cellStyle name="EYColumnHeading 9 9" xfId="12953"/>
    <cellStyle name="EYColumnHeading 9 9 2" xfId="16311"/>
    <cellStyle name="EYColumnHeading 9 9 2 2" xfId="33452"/>
    <cellStyle name="EYColumnHeading 9 9 3" xfId="30094"/>
    <cellStyle name="EYCurrency" xfId="176"/>
    <cellStyle name="EYCurrency 10" xfId="346"/>
    <cellStyle name="EYCurrency 10 10" xfId="12590"/>
    <cellStyle name="EYCurrency 10 10 2" xfId="15953"/>
    <cellStyle name="EYCurrency 10 10 2 2" xfId="33094"/>
    <cellStyle name="EYCurrency 10 10 3" xfId="29731"/>
    <cellStyle name="EYCurrency 10 11" xfId="12911"/>
    <cellStyle name="EYCurrency 10 11 2" xfId="16269"/>
    <cellStyle name="EYCurrency 10 11 2 2" xfId="33410"/>
    <cellStyle name="EYCurrency 10 11 3" xfId="30052"/>
    <cellStyle name="EYCurrency 10 12" xfId="12649"/>
    <cellStyle name="EYCurrency 10 12 2" xfId="16012"/>
    <cellStyle name="EYCurrency 10 12 2 2" xfId="33153"/>
    <cellStyle name="EYCurrency 10 12 3" xfId="29790"/>
    <cellStyle name="EYCurrency 10 13" xfId="12722"/>
    <cellStyle name="EYCurrency 10 13 2" xfId="16085"/>
    <cellStyle name="EYCurrency 10 13 2 2" xfId="33226"/>
    <cellStyle name="EYCurrency 10 13 3" xfId="29863"/>
    <cellStyle name="EYCurrency 10 14" xfId="12767"/>
    <cellStyle name="EYCurrency 10 14 2" xfId="16130"/>
    <cellStyle name="EYCurrency 10 14 2 2" xfId="33271"/>
    <cellStyle name="EYCurrency 10 14 3" xfId="29908"/>
    <cellStyle name="EYCurrency 10 15" xfId="13123"/>
    <cellStyle name="EYCurrency 10 15 2" xfId="16474"/>
    <cellStyle name="EYCurrency 10 15 2 2" xfId="33615"/>
    <cellStyle name="EYCurrency 10 15 3" xfId="30264"/>
    <cellStyle name="EYCurrency 10 16" xfId="12657"/>
    <cellStyle name="EYCurrency 10 16 2" xfId="16020"/>
    <cellStyle name="EYCurrency 10 16 2 2" xfId="33161"/>
    <cellStyle name="EYCurrency 10 16 3" xfId="29798"/>
    <cellStyle name="EYCurrency 10 17" xfId="12673"/>
    <cellStyle name="EYCurrency 10 17 2" xfId="16036"/>
    <cellStyle name="EYCurrency 10 17 2 2" xfId="33177"/>
    <cellStyle name="EYCurrency 10 17 3" xfId="29814"/>
    <cellStyle name="EYCurrency 10 18" xfId="12640"/>
    <cellStyle name="EYCurrency 10 18 2" xfId="16003"/>
    <cellStyle name="EYCurrency 10 18 2 2" xfId="33144"/>
    <cellStyle name="EYCurrency 10 18 3" xfId="29781"/>
    <cellStyle name="EYCurrency 10 19" xfId="13721"/>
    <cellStyle name="EYCurrency 10 19 2" xfId="17072"/>
    <cellStyle name="EYCurrency 10 19 2 2" xfId="34213"/>
    <cellStyle name="EYCurrency 10 19 3" xfId="30862"/>
    <cellStyle name="EYCurrency 10 2" xfId="854"/>
    <cellStyle name="EYCurrency 10 2 2" xfId="1280"/>
    <cellStyle name="EYCurrency 10 2 2 2" xfId="2178"/>
    <cellStyle name="EYCurrency 10 2 2 2 2" xfId="15484"/>
    <cellStyle name="EYCurrency 10 2 2 2 2 2" xfId="32625"/>
    <cellStyle name="EYCurrency 10 2 2 2 3" xfId="19321"/>
    <cellStyle name="EYCurrency 10 2 2 3" xfId="14588"/>
    <cellStyle name="EYCurrency 10 2 2 3 2" xfId="31729"/>
    <cellStyle name="EYCurrency 10 2 2 4" xfId="18423"/>
    <cellStyle name="EYCurrency 10 2 3" xfId="1783"/>
    <cellStyle name="EYCurrency 10 2 3 2" xfId="15089"/>
    <cellStyle name="EYCurrency 10 2 3 2 2" xfId="32230"/>
    <cellStyle name="EYCurrency 10 2 3 3" xfId="18926"/>
    <cellStyle name="EYCurrency 10 2 4" xfId="14184"/>
    <cellStyle name="EYCurrency 10 2 4 2" xfId="31325"/>
    <cellStyle name="EYCurrency 10 2 5" xfId="17997"/>
    <cellStyle name="EYCurrency 10 20" xfId="13870"/>
    <cellStyle name="EYCurrency 10 20 2" xfId="31011"/>
    <cellStyle name="EYCurrency 10 21" xfId="17489"/>
    <cellStyle name="EYCurrency 10 3" xfId="729"/>
    <cellStyle name="EYCurrency 10 3 2" xfId="1182"/>
    <cellStyle name="EYCurrency 10 3 2 2" xfId="2080"/>
    <cellStyle name="EYCurrency 10 3 2 2 2" xfId="15386"/>
    <cellStyle name="EYCurrency 10 3 2 2 2 2" xfId="32527"/>
    <cellStyle name="EYCurrency 10 3 2 2 3" xfId="19223"/>
    <cellStyle name="EYCurrency 10 3 2 3" xfId="14490"/>
    <cellStyle name="EYCurrency 10 3 2 3 2" xfId="31631"/>
    <cellStyle name="EYCurrency 10 3 2 4" xfId="18325"/>
    <cellStyle name="EYCurrency 10 3 3" xfId="1685"/>
    <cellStyle name="EYCurrency 10 3 3 2" xfId="14991"/>
    <cellStyle name="EYCurrency 10 3 3 2 2" xfId="32132"/>
    <cellStyle name="EYCurrency 10 3 3 3" xfId="18828"/>
    <cellStyle name="EYCurrency 10 3 4" xfId="14086"/>
    <cellStyle name="EYCurrency 10 3 4 2" xfId="31227"/>
    <cellStyle name="EYCurrency 10 3 5" xfId="17872"/>
    <cellStyle name="EYCurrency 10 4" xfId="982"/>
    <cellStyle name="EYCurrency 10 4 2" xfId="1384"/>
    <cellStyle name="EYCurrency 10 4 2 2" xfId="2282"/>
    <cellStyle name="EYCurrency 10 4 2 2 2" xfId="15588"/>
    <cellStyle name="EYCurrency 10 4 2 2 2 2" xfId="32729"/>
    <cellStyle name="EYCurrency 10 4 2 2 3" xfId="19425"/>
    <cellStyle name="EYCurrency 10 4 2 3" xfId="14692"/>
    <cellStyle name="EYCurrency 10 4 2 3 2" xfId="31833"/>
    <cellStyle name="EYCurrency 10 4 2 4" xfId="18527"/>
    <cellStyle name="EYCurrency 10 4 3" xfId="1889"/>
    <cellStyle name="EYCurrency 10 4 3 2" xfId="15195"/>
    <cellStyle name="EYCurrency 10 4 3 2 2" xfId="32336"/>
    <cellStyle name="EYCurrency 10 4 3 3" xfId="19032"/>
    <cellStyle name="EYCurrency 10 4 4" xfId="14290"/>
    <cellStyle name="EYCurrency 10 4 4 2" xfId="31431"/>
    <cellStyle name="EYCurrency 10 4 5" xfId="18125"/>
    <cellStyle name="EYCurrency 10 5" xfId="1083"/>
    <cellStyle name="EYCurrency 10 5 2" xfId="1988"/>
    <cellStyle name="EYCurrency 10 5 2 2" xfId="15294"/>
    <cellStyle name="EYCurrency 10 5 2 2 2" xfId="32435"/>
    <cellStyle name="EYCurrency 10 5 2 3" xfId="19131"/>
    <cellStyle name="EYCurrency 10 5 3" xfId="14391"/>
    <cellStyle name="EYCurrency 10 5 3 2" xfId="31532"/>
    <cellStyle name="EYCurrency 10 5 4" xfId="18226"/>
    <cellStyle name="EYCurrency 10 6" xfId="1481"/>
    <cellStyle name="EYCurrency 10 6 2" xfId="2378"/>
    <cellStyle name="EYCurrency 10 6 2 2" xfId="15684"/>
    <cellStyle name="EYCurrency 10 6 2 2 2" xfId="32825"/>
    <cellStyle name="EYCurrency 10 6 2 3" xfId="19521"/>
    <cellStyle name="EYCurrency 10 6 3" xfId="14788"/>
    <cellStyle name="EYCurrency 10 6 3 2" xfId="31929"/>
    <cellStyle name="EYCurrency 10 6 4" xfId="18624"/>
    <cellStyle name="EYCurrency 10 7" xfId="602"/>
    <cellStyle name="EYCurrency 10 7 2" xfId="13981"/>
    <cellStyle name="EYCurrency 10 7 2 2" xfId="31122"/>
    <cellStyle name="EYCurrency 10 7 3" xfId="17745"/>
    <cellStyle name="EYCurrency 10 8" xfId="1578"/>
    <cellStyle name="EYCurrency 10 8 2" xfId="14884"/>
    <cellStyle name="EYCurrency 10 8 2 2" xfId="32025"/>
    <cellStyle name="EYCurrency 10 8 3" xfId="18721"/>
    <cellStyle name="EYCurrency 10 9" xfId="12844"/>
    <cellStyle name="EYCurrency 10 9 2" xfId="16202"/>
    <cellStyle name="EYCurrency 10 9 2 2" xfId="33343"/>
    <cellStyle name="EYCurrency 10 9 3" xfId="29985"/>
    <cellStyle name="EYCurrency 11" xfId="483"/>
    <cellStyle name="EYCurrency 11 10" xfId="13078"/>
    <cellStyle name="EYCurrency 11 10 2" xfId="16429"/>
    <cellStyle name="EYCurrency 11 10 2 2" xfId="33570"/>
    <cellStyle name="EYCurrency 11 10 3" xfId="30219"/>
    <cellStyle name="EYCurrency 11 11" xfId="13156"/>
    <cellStyle name="EYCurrency 11 11 2" xfId="16507"/>
    <cellStyle name="EYCurrency 11 11 2 2" xfId="33648"/>
    <cellStyle name="EYCurrency 11 11 3" xfId="30297"/>
    <cellStyle name="EYCurrency 11 12" xfId="13250"/>
    <cellStyle name="EYCurrency 11 12 2" xfId="16601"/>
    <cellStyle name="EYCurrency 11 12 2 2" xfId="33742"/>
    <cellStyle name="EYCurrency 11 12 3" xfId="30391"/>
    <cellStyle name="EYCurrency 11 13" xfId="13336"/>
    <cellStyle name="EYCurrency 11 13 2" xfId="16687"/>
    <cellStyle name="EYCurrency 11 13 2 2" xfId="33828"/>
    <cellStyle name="EYCurrency 11 13 3" xfId="30477"/>
    <cellStyle name="EYCurrency 11 14" xfId="13422"/>
    <cellStyle name="EYCurrency 11 14 2" xfId="16773"/>
    <cellStyle name="EYCurrency 11 14 2 2" xfId="33914"/>
    <cellStyle name="EYCurrency 11 14 3" xfId="30563"/>
    <cellStyle name="EYCurrency 11 15" xfId="13496"/>
    <cellStyle name="EYCurrency 11 15 2" xfId="16847"/>
    <cellStyle name="EYCurrency 11 15 2 2" xfId="33988"/>
    <cellStyle name="EYCurrency 11 15 3" xfId="30637"/>
    <cellStyle name="EYCurrency 11 16" xfId="13558"/>
    <cellStyle name="EYCurrency 11 16 2" xfId="16909"/>
    <cellStyle name="EYCurrency 11 16 2 2" xfId="34050"/>
    <cellStyle name="EYCurrency 11 16 3" xfId="30699"/>
    <cellStyle name="EYCurrency 11 17" xfId="13624"/>
    <cellStyle name="EYCurrency 11 17 2" xfId="16975"/>
    <cellStyle name="EYCurrency 11 17 2 2" xfId="34116"/>
    <cellStyle name="EYCurrency 11 17 3" xfId="30765"/>
    <cellStyle name="EYCurrency 11 18" xfId="13686"/>
    <cellStyle name="EYCurrency 11 18 2" xfId="17037"/>
    <cellStyle name="EYCurrency 11 18 2 2" xfId="34178"/>
    <cellStyle name="EYCurrency 11 18 3" xfId="30827"/>
    <cellStyle name="EYCurrency 11 19" xfId="13831"/>
    <cellStyle name="EYCurrency 11 19 2" xfId="17170"/>
    <cellStyle name="EYCurrency 11 19 2 2" xfId="34311"/>
    <cellStyle name="EYCurrency 11 19 3" xfId="30972"/>
    <cellStyle name="EYCurrency 11 2" xfId="948"/>
    <cellStyle name="EYCurrency 11 2 2" xfId="1359"/>
    <cellStyle name="EYCurrency 11 2 2 2" xfId="2257"/>
    <cellStyle name="EYCurrency 11 2 2 2 2" xfId="15563"/>
    <cellStyle name="EYCurrency 11 2 2 2 2 2" xfId="32704"/>
    <cellStyle name="EYCurrency 11 2 2 2 3" xfId="19400"/>
    <cellStyle name="EYCurrency 11 2 2 3" xfId="14667"/>
    <cellStyle name="EYCurrency 11 2 2 3 2" xfId="31808"/>
    <cellStyle name="EYCurrency 11 2 2 4" xfId="18502"/>
    <cellStyle name="EYCurrency 11 2 3" xfId="1862"/>
    <cellStyle name="EYCurrency 11 2 3 2" xfId="15168"/>
    <cellStyle name="EYCurrency 11 2 3 2 2" xfId="32309"/>
    <cellStyle name="EYCurrency 11 2 3 3" xfId="19005"/>
    <cellStyle name="EYCurrency 11 2 4" xfId="14263"/>
    <cellStyle name="EYCurrency 11 2 4 2" xfId="31404"/>
    <cellStyle name="EYCurrency 11 2 5" xfId="18091"/>
    <cellStyle name="EYCurrency 11 20" xfId="13949"/>
    <cellStyle name="EYCurrency 11 20 2" xfId="31090"/>
    <cellStyle name="EYCurrency 11 21" xfId="17626"/>
    <cellStyle name="EYCurrency 11 3" xfId="795"/>
    <cellStyle name="EYCurrency 11 3 2" xfId="1248"/>
    <cellStyle name="EYCurrency 11 3 2 2" xfId="2146"/>
    <cellStyle name="EYCurrency 11 3 2 2 2" xfId="15452"/>
    <cellStyle name="EYCurrency 11 3 2 2 2 2" xfId="32593"/>
    <cellStyle name="EYCurrency 11 3 2 2 3" xfId="19289"/>
    <cellStyle name="EYCurrency 11 3 2 3" xfId="14556"/>
    <cellStyle name="EYCurrency 11 3 2 3 2" xfId="31697"/>
    <cellStyle name="EYCurrency 11 3 2 4" xfId="18391"/>
    <cellStyle name="EYCurrency 11 3 3" xfId="1751"/>
    <cellStyle name="EYCurrency 11 3 3 2" xfId="15057"/>
    <cellStyle name="EYCurrency 11 3 3 2 2" xfId="32198"/>
    <cellStyle name="EYCurrency 11 3 3 3" xfId="18894"/>
    <cellStyle name="EYCurrency 11 3 4" xfId="14152"/>
    <cellStyle name="EYCurrency 11 3 4 2" xfId="31293"/>
    <cellStyle name="EYCurrency 11 3 5" xfId="17938"/>
    <cellStyle name="EYCurrency 11 4" xfId="1056"/>
    <cellStyle name="EYCurrency 11 4 2" xfId="1450"/>
    <cellStyle name="EYCurrency 11 4 2 2" xfId="2348"/>
    <cellStyle name="EYCurrency 11 4 2 2 2" xfId="15654"/>
    <cellStyle name="EYCurrency 11 4 2 2 2 2" xfId="32795"/>
    <cellStyle name="EYCurrency 11 4 2 2 3" xfId="19491"/>
    <cellStyle name="EYCurrency 11 4 2 3" xfId="14758"/>
    <cellStyle name="EYCurrency 11 4 2 3 2" xfId="31899"/>
    <cellStyle name="EYCurrency 11 4 2 4" xfId="18593"/>
    <cellStyle name="EYCurrency 11 4 3" xfId="1963"/>
    <cellStyle name="EYCurrency 11 4 3 2" xfId="15269"/>
    <cellStyle name="EYCurrency 11 4 3 2 2" xfId="32410"/>
    <cellStyle name="EYCurrency 11 4 3 3" xfId="19106"/>
    <cellStyle name="EYCurrency 11 4 4" xfId="14364"/>
    <cellStyle name="EYCurrency 11 4 4 2" xfId="31505"/>
    <cellStyle name="EYCurrency 11 4 5" xfId="18199"/>
    <cellStyle name="EYCurrency 11 5" xfId="1154"/>
    <cellStyle name="EYCurrency 11 5 2" xfId="2053"/>
    <cellStyle name="EYCurrency 11 5 2 2" xfId="15359"/>
    <cellStyle name="EYCurrency 11 5 2 2 2" xfId="32500"/>
    <cellStyle name="EYCurrency 11 5 2 3" xfId="19196"/>
    <cellStyle name="EYCurrency 11 5 3" xfId="14462"/>
    <cellStyle name="EYCurrency 11 5 3 2" xfId="31603"/>
    <cellStyle name="EYCurrency 11 5 4" xfId="18297"/>
    <cellStyle name="EYCurrency 11 6" xfId="1546"/>
    <cellStyle name="EYCurrency 11 6 2" xfId="2443"/>
    <cellStyle name="EYCurrency 11 6 2 2" xfId="15749"/>
    <cellStyle name="EYCurrency 11 6 2 2 2" xfId="32890"/>
    <cellStyle name="EYCurrency 11 6 2 3" xfId="19586"/>
    <cellStyle name="EYCurrency 11 6 3" xfId="14853"/>
    <cellStyle name="EYCurrency 11 6 3 2" xfId="31994"/>
    <cellStyle name="EYCurrency 11 6 4" xfId="18689"/>
    <cellStyle name="EYCurrency 11 7" xfId="694"/>
    <cellStyle name="EYCurrency 11 7 2" xfId="14058"/>
    <cellStyle name="EYCurrency 11 7 2 2" xfId="31199"/>
    <cellStyle name="EYCurrency 11 7 3" xfId="17837"/>
    <cellStyle name="EYCurrency 11 8" xfId="1657"/>
    <cellStyle name="EYCurrency 11 8 2" xfId="14963"/>
    <cellStyle name="EYCurrency 11 8 2 2" xfId="32104"/>
    <cellStyle name="EYCurrency 11 8 3" xfId="18800"/>
    <cellStyle name="EYCurrency 11 9" xfId="12966"/>
    <cellStyle name="EYCurrency 11 9 2" xfId="16324"/>
    <cellStyle name="EYCurrency 11 9 2 2" xfId="33465"/>
    <cellStyle name="EYCurrency 11 9 3" xfId="30107"/>
    <cellStyle name="EYCurrency 12" xfId="485"/>
    <cellStyle name="EYCurrency 12 10" xfId="13080"/>
    <cellStyle name="EYCurrency 12 10 2" xfId="16431"/>
    <cellStyle name="EYCurrency 12 10 2 2" xfId="33572"/>
    <cellStyle name="EYCurrency 12 10 3" xfId="30221"/>
    <cellStyle name="EYCurrency 12 11" xfId="13158"/>
    <cellStyle name="EYCurrency 12 11 2" xfId="16509"/>
    <cellStyle name="EYCurrency 12 11 2 2" xfId="33650"/>
    <cellStyle name="EYCurrency 12 11 3" xfId="30299"/>
    <cellStyle name="EYCurrency 12 12" xfId="13252"/>
    <cellStyle name="EYCurrency 12 12 2" xfId="16603"/>
    <cellStyle name="EYCurrency 12 12 2 2" xfId="33744"/>
    <cellStyle name="EYCurrency 12 12 3" xfId="30393"/>
    <cellStyle name="EYCurrency 12 13" xfId="13338"/>
    <cellStyle name="EYCurrency 12 13 2" xfId="16689"/>
    <cellStyle name="EYCurrency 12 13 2 2" xfId="33830"/>
    <cellStyle name="EYCurrency 12 13 3" xfId="30479"/>
    <cellStyle name="EYCurrency 12 14" xfId="13424"/>
    <cellStyle name="EYCurrency 12 14 2" xfId="16775"/>
    <cellStyle name="EYCurrency 12 14 2 2" xfId="33916"/>
    <cellStyle name="EYCurrency 12 14 3" xfId="30565"/>
    <cellStyle name="EYCurrency 12 15" xfId="13498"/>
    <cellStyle name="EYCurrency 12 15 2" xfId="16849"/>
    <cellStyle name="EYCurrency 12 15 2 2" xfId="33990"/>
    <cellStyle name="EYCurrency 12 15 3" xfId="30639"/>
    <cellStyle name="EYCurrency 12 16" xfId="13560"/>
    <cellStyle name="EYCurrency 12 16 2" xfId="16911"/>
    <cellStyle name="EYCurrency 12 16 2 2" xfId="34052"/>
    <cellStyle name="EYCurrency 12 16 3" xfId="30701"/>
    <cellStyle name="EYCurrency 12 17" xfId="13626"/>
    <cellStyle name="EYCurrency 12 17 2" xfId="16977"/>
    <cellStyle name="EYCurrency 12 17 2 2" xfId="34118"/>
    <cellStyle name="EYCurrency 12 17 3" xfId="30767"/>
    <cellStyle name="EYCurrency 12 18" xfId="13688"/>
    <cellStyle name="EYCurrency 12 18 2" xfId="17039"/>
    <cellStyle name="EYCurrency 12 18 2 2" xfId="34180"/>
    <cellStyle name="EYCurrency 12 18 3" xfId="30829"/>
    <cellStyle name="EYCurrency 12 19" xfId="13833"/>
    <cellStyle name="EYCurrency 12 19 2" xfId="17172"/>
    <cellStyle name="EYCurrency 12 19 2 2" xfId="34313"/>
    <cellStyle name="EYCurrency 12 19 3" xfId="30974"/>
    <cellStyle name="EYCurrency 12 2" xfId="950"/>
    <cellStyle name="EYCurrency 12 2 2" xfId="1361"/>
    <cellStyle name="EYCurrency 12 2 2 2" xfId="2259"/>
    <cellStyle name="EYCurrency 12 2 2 2 2" xfId="15565"/>
    <cellStyle name="EYCurrency 12 2 2 2 2 2" xfId="32706"/>
    <cellStyle name="EYCurrency 12 2 2 2 3" xfId="19402"/>
    <cellStyle name="EYCurrency 12 2 2 3" xfId="14669"/>
    <cellStyle name="EYCurrency 12 2 2 3 2" xfId="31810"/>
    <cellStyle name="EYCurrency 12 2 2 4" xfId="18504"/>
    <cellStyle name="EYCurrency 12 2 3" xfId="1864"/>
    <cellStyle name="EYCurrency 12 2 3 2" xfId="15170"/>
    <cellStyle name="EYCurrency 12 2 3 2 2" xfId="32311"/>
    <cellStyle name="EYCurrency 12 2 3 3" xfId="19007"/>
    <cellStyle name="EYCurrency 12 2 4" xfId="14265"/>
    <cellStyle name="EYCurrency 12 2 4 2" xfId="31406"/>
    <cellStyle name="EYCurrency 12 2 5" xfId="18093"/>
    <cellStyle name="EYCurrency 12 20" xfId="13951"/>
    <cellStyle name="EYCurrency 12 20 2" xfId="31092"/>
    <cellStyle name="EYCurrency 12 21" xfId="17628"/>
    <cellStyle name="EYCurrency 12 3" xfId="797"/>
    <cellStyle name="EYCurrency 12 3 2" xfId="1250"/>
    <cellStyle name="EYCurrency 12 3 2 2" xfId="2148"/>
    <cellStyle name="EYCurrency 12 3 2 2 2" xfId="15454"/>
    <cellStyle name="EYCurrency 12 3 2 2 2 2" xfId="32595"/>
    <cellStyle name="EYCurrency 12 3 2 2 3" xfId="19291"/>
    <cellStyle name="EYCurrency 12 3 2 3" xfId="14558"/>
    <cellStyle name="EYCurrency 12 3 2 3 2" xfId="31699"/>
    <cellStyle name="EYCurrency 12 3 2 4" xfId="18393"/>
    <cellStyle name="EYCurrency 12 3 3" xfId="1753"/>
    <cellStyle name="EYCurrency 12 3 3 2" xfId="15059"/>
    <cellStyle name="EYCurrency 12 3 3 2 2" xfId="32200"/>
    <cellStyle name="EYCurrency 12 3 3 3" xfId="18896"/>
    <cellStyle name="EYCurrency 12 3 4" xfId="14154"/>
    <cellStyle name="EYCurrency 12 3 4 2" xfId="31295"/>
    <cellStyle name="EYCurrency 12 3 5" xfId="17940"/>
    <cellStyle name="EYCurrency 12 4" xfId="1058"/>
    <cellStyle name="EYCurrency 12 4 2" xfId="1452"/>
    <cellStyle name="EYCurrency 12 4 2 2" xfId="2350"/>
    <cellStyle name="EYCurrency 12 4 2 2 2" xfId="15656"/>
    <cellStyle name="EYCurrency 12 4 2 2 2 2" xfId="32797"/>
    <cellStyle name="EYCurrency 12 4 2 2 3" xfId="19493"/>
    <cellStyle name="EYCurrency 12 4 2 3" xfId="14760"/>
    <cellStyle name="EYCurrency 12 4 2 3 2" xfId="31901"/>
    <cellStyle name="EYCurrency 12 4 2 4" xfId="18595"/>
    <cellStyle name="EYCurrency 12 4 3" xfId="1965"/>
    <cellStyle name="EYCurrency 12 4 3 2" xfId="15271"/>
    <cellStyle name="EYCurrency 12 4 3 2 2" xfId="32412"/>
    <cellStyle name="EYCurrency 12 4 3 3" xfId="19108"/>
    <cellStyle name="EYCurrency 12 4 4" xfId="14366"/>
    <cellStyle name="EYCurrency 12 4 4 2" xfId="31507"/>
    <cellStyle name="EYCurrency 12 4 5" xfId="18201"/>
    <cellStyle name="EYCurrency 12 5" xfId="1156"/>
    <cellStyle name="EYCurrency 12 5 2" xfId="2055"/>
    <cellStyle name="EYCurrency 12 5 2 2" xfId="15361"/>
    <cellStyle name="EYCurrency 12 5 2 2 2" xfId="32502"/>
    <cellStyle name="EYCurrency 12 5 2 3" xfId="19198"/>
    <cellStyle name="EYCurrency 12 5 3" xfId="14464"/>
    <cellStyle name="EYCurrency 12 5 3 2" xfId="31605"/>
    <cellStyle name="EYCurrency 12 5 4" xfId="18299"/>
    <cellStyle name="EYCurrency 12 6" xfId="1548"/>
    <cellStyle name="EYCurrency 12 6 2" xfId="2445"/>
    <cellStyle name="EYCurrency 12 6 2 2" xfId="15751"/>
    <cellStyle name="EYCurrency 12 6 2 2 2" xfId="32892"/>
    <cellStyle name="EYCurrency 12 6 2 3" xfId="19588"/>
    <cellStyle name="EYCurrency 12 6 3" xfId="14855"/>
    <cellStyle name="EYCurrency 12 6 3 2" xfId="31996"/>
    <cellStyle name="EYCurrency 12 6 4" xfId="18691"/>
    <cellStyle name="EYCurrency 12 7" xfId="696"/>
    <cellStyle name="EYCurrency 12 7 2" xfId="14060"/>
    <cellStyle name="EYCurrency 12 7 2 2" xfId="31201"/>
    <cellStyle name="EYCurrency 12 7 3" xfId="17839"/>
    <cellStyle name="EYCurrency 12 8" xfId="1659"/>
    <cellStyle name="EYCurrency 12 8 2" xfId="14965"/>
    <cellStyle name="EYCurrency 12 8 2 2" xfId="32106"/>
    <cellStyle name="EYCurrency 12 8 3" xfId="18802"/>
    <cellStyle name="EYCurrency 12 9" xfId="12968"/>
    <cellStyle name="EYCurrency 12 9 2" xfId="16326"/>
    <cellStyle name="EYCurrency 12 9 2 2" xfId="33467"/>
    <cellStyle name="EYCurrency 12 9 3" xfId="30109"/>
    <cellStyle name="EYCurrency 13" xfId="487"/>
    <cellStyle name="EYCurrency 13 10" xfId="13082"/>
    <cellStyle name="EYCurrency 13 10 2" xfId="16433"/>
    <cellStyle name="EYCurrency 13 10 2 2" xfId="33574"/>
    <cellStyle name="EYCurrency 13 10 3" xfId="30223"/>
    <cellStyle name="EYCurrency 13 11" xfId="13160"/>
    <cellStyle name="EYCurrency 13 11 2" xfId="16511"/>
    <cellStyle name="EYCurrency 13 11 2 2" xfId="33652"/>
    <cellStyle name="EYCurrency 13 11 3" xfId="30301"/>
    <cellStyle name="EYCurrency 13 12" xfId="13254"/>
    <cellStyle name="EYCurrency 13 12 2" xfId="16605"/>
    <cellStyle name="EYCurrency 13 12 2 2" xfId="33746"/>
    <cellStyle name="EYCurrency 13 12 3" xfId="30395"/>
    <cellStyle name="EYCurrency 13 13" xfId="13340"/>
    <cellStyle name="EYCurrency 13 13 2" xfId="16691"/>
    <cellStyle name="EYCurrency 13 13 2 2" xfId="33832"/>
    <cellStyle name="EYCurrency 13 13 3" xfId="30481"/>
    <cellStyle name="EYCurrency 13 14" xfId="13426"/>
    <cellStyle name="EYCurrency 13 14 2" xfId="16777"/>
    <cellStyle name="EYCurrency 13 14 2 2" xfId="33918"/>
    <cellStyle name="EYCurrency 13 14 3" xfId="30567"/>
    <cellStyle name="EYCurrency 13 15" xfId="13500"/>
    <cellStyle name="EYCurrency 13 15 2" xfId="16851"/>
    <cellStyle name="EYCurrency 13 15 2 2" xfId="33992"/>
    <cellStyle name="EYCurrency 13 15 3" xfId="30641"/>
    <cellStyle name="EYCurrency 13 16" xfId="13562"/>
    <cellStyle name="EYCurrency 13 16 2" xfId="16913"/>
    <cellStyle name="EYCurrency 13 16 2 2" xfId="34054"/>
    <cellStyle name="EYCurrency 13 16 3" xfId="30703"/>
    <cellStyle name="EYCurrency 13 17" xfId="13628"/>
    <cellStyle name="EYCurrency 13 17 2" xfId="16979"/>
    <cellStyle name="EYCurrency 13 17 2 2" xfId="34120"/>
    <cellStyle name="EYCurrency 13 17 3" xfId="30769"/>
    <cellStyle name="EYCurrency 13 18" xfId="13690"/>
    <cellStyle name="EYCurrency 13 18 2" xfId="17041"/>
    <cellStyle name="EYCurrency 13 18 2 2" xfId="34182"/>
    <cellStyle name="EYCurrency 13 18 3" xfId="30831"/>
    <cellStyle name="EYCurrency 13 19" xfId="13835"/>
    <cellStyle name="EYCurrency 13 19 2" xfId="17174"/>
    <cellStyle name="EYCurrency 13 19 2 2" xfId="34315"/>
    <cellStyle name="EYCurrency 13 19 3" xfId="30976"/>
    <cellStyle name="EYCurrency 13 2" xfId="952"/>
    <cellStyle name="EYCurrency 13 2 2" xfId="1363"/>
    <cellStyle name="EYCurrency 13 2 2 2" xfId="2261"/>
    <cellStyle name="EYCurrency 13 2 2 2 2" xfId="15567"/>
    <cellStyle name="EYCurrency 13 2 2 2 2 2" xfId="32708"/>
    <cellStyle name="EYCurrency 13 2 2 2 3" xfId="19404"/>
    <cellStyle name="EYCurrency 13 2 2 3" xfId="14671"/>
    <cellStyle name="EYCurrency 13 2 2 3 2" xfId="31812"/>
    <cellStyle name="EYCurrency 13 2 2 4" xfId="18506"/>
    <cellStyle name="EYCurrency 13 2 3" xfId="1866"/>
    <cellStyle name="EYCurrency 13 2 3 2" xfId="15172"/>
    <cellStyle name="EYCurrency 13 2 3 2 2" xfId="32313"/>
    <cellStyle name="EYCurrency 13 2 3 3" xfId="19009"/>
    <cellStyle name="EYCurrency 13 2 4" xfId="14267"/>
    <cellStyle name="EYCurrency 13 2 4 2" xfId="31408"/>
    <cellStyle name="EYCurrency 13 2 5" xfId="18095"/>
    <cellStyle name="EYCurrency 13 20" xfId="13953"/>
    <cellStyle name="EYCurrency 13 20 2" xfId="31094"/>
    <cellStyle name="EYCurrency 13 21" xfId="17630"/>
    <cellStyle name="EYCurrency 13 3" xfId="799"/>
    <cellStyle name="EYCurrency 13 3 2" xfId="1252"/>
    <cellStyle name="EYCurrency 13 3 2 2" xfId="2150"/>
    <cellStyle name="EYCurrency 13 3 2 2 2" xfId="15456"/>
    <cellStyle name="EYCurrency 13 3 2 2 2 2" xfId="32597"/>
    <cellStyle name="EYCurrency 13 3 2 2 3" xfId="19293"/>
    <cellStyle name="EYCurrency 13 3 2 3" xfId="14560"/>
    <cellStyle name="EYCurrency 13 3 2 3 2" xfId="31701"/>
    <cellStyle name="EYCurrency 13 3 2 4" xfId="18395"/>
    <cellStyle name="EYCurrency 13 3 3" xfId="1755"/>
    <cellStyle name="EYCurrency 13 3 3 2" xfId="15061"/>
    <cellStyle name="EYCurrency 13 3 3 2 2" xfId="32202"/>
    <cellStyle name="EYCurrency 13 3 3 3" xfId="18898"/>
    <cellStyle name="EYCurrency 13 3 4" xfId="14156"/>
    <cellStyle name="EYCurrency 13 3 4 2" xfId="31297"/>
    <cellStyle name="EYCurrency 13 3 5" xfId="17942"/>
    <cellStyle name="EYCurrency 13 4" xfId="1060"/>
    <cellStyle name="EYCurrency 13 4 2" xfId="1454"/>
    <cellStyle name="EYCurrency 13 4 2 2" xfId="2352"/>
    <cellStyle name="EYCurrency 13 4 2 2 2" xfId="15658"/>
    <cellStyle name="EYCurrency 13 4 2 2 2 2" xfId="32799"/>
    <cellStyle name="EYCurrency 13 4 2 2 3" xfId="19495"/>
    <cellStyle name="EYCurrency 13 4 2 3" xfId="14762"/>
    <cellStyle name="EYCurrency 13 4 2 3 2" xfId="31903"/>
    <cellStyle name="EYCurrency 13 4 2 4" xfId="18597"/>
    <cellStyle name="EYCurrency 13 4 3" xfId="1967"/>
    <cellStyle name="EYCurrency 13 4 3 2" xfId="15273"/>
    <cellStyle name="EYCurrency 13 4 3 2 2" xfId="32414"/>
    <cellStyle name="EYCurrency 13 4 3 3" xfId="19110"/>
    <cellStyle name="EYCurrency 13 4 4" xfId="14368"/>
    <cellStyle name="EYCurrency 13 4 4 2" xfId="31509"/>
    <cellStyle name="EYCurrency 13 4 5" xfId="18203"/>
    <cellStyle name="EYCurrency 13 5" xfId="1158"/>
    <cellStyle name="EYCurrency 13 5 2" xfId="2057"/>
    <cellStyle name="EYCurrency 13 5 2 2" xfId="15363"/>
    <cellStyle name="EYCurrency 13 5 2 2 2" xfId="32504"/>
    <cellStyle name="EYCurrency 13 5 2 3" xfId="19200"/>
    <cellStyle name="EYCurrency 13 5 3" xfId="14466"/>
    <cellStyle name="EYCurrency 13 5 3 2" xfId="31607"/>
    <cellStyle name="EYCurrency 13 5 4" xfId="18301"/>
    <cellStyle name="EYCurrency 13 6" xfId="1550"/>
    <cellStyle name="EYCurrency 13 6 2" xfId="2447"/>
    <cellStyle name="EYCurrency 13 6 2 2" xfId="15753"/>
    <cellStyle name="EYCurrency 13 6 2 2 2" xfId="32894"/>
    <cellStyle name="EYCurrency 13 6 2 3" xfId="19590"/>
    <cellStyle name="EYCurrency 13 6 3" xfId="14857"/>
    <cellStyle name="EYCurrency 13 6 3 2" xfId="31998"/>
    <cellStyle name="EYCurrency 13 6 4" xfId="18693"/>
    <cellStyle name="EYCurrency 13 7" xfId="698"/>
    <cellStyle name="EYCurrency 13 7 2" xfId="14062"/>
    <cellStyle name="EYCurrency 13 7 2 2" xfId="31203"/>
    <cellStyle name="EYCurrency 13 7 3" xfId="17841"/>
    <cellStyle name="EYCurrency 13 8" xfId="1661"/>
    <cellStyle name="EYCurrency 13 8 2" xfId="14967"/>
    <cellStyle name="EYCurrency 13 8 2 2" xfId="32108"/>
    <cellStyle name="EYCurrency 13 8 3" xfId="18804"/>
    <cellStyle name="EYCurrency 13 9" xfId="12970"/>
    <cellStyle name="EYCurrency 13 9 2" xfId="16328"/>
    <cellStyle name="EYCurrency 13 9 2 2" xfId="33469"/>
    <cellStyle name="EYCurrency 13 9 3" xfId="30111"/>
    <cellStyle name="EYCurrency 14" xfId="2485"/>
    <cellStyle name="EYCurrency 14 2" xfId="19626"/>
    <cellStyle name="EYCurrency 15" xfId="2486"/>
    <cellStyle name="EYCurrency 15 2" xfId="19627"/>
    <cellStyle name="EYCurrency 16" xfId="2487"/>
    <cellStyle name="EYCurrency 16 2" xfId="19628"/>
    <cellStyle name="EYCurrency 17" xfId="2488"/>
    <cellStyle name="EYCurrency 17 2" xfId="19629"/>
    <cellStyle name="EYCurrency 18" xfId="2489"/>
    <cellStyle name="EYCurrency 18 2" xfId="19630"/>
    <cellStyle name="EYCurrency 19" xfId="2490"/>
    <cellStyle name="EYCurrency 19 2" xfId="19631"/>
    <cellStyle name="EYCurrency 2" xfId="313"/>
    <cellStyle name="EYCurrency 2 10" xfId="12646"/>
    <cellStyle name="EYCurrency 2 10 2" xfId="16009"/>
    <cellStyle name="EYCurrency 2 10 2 2" xfId="33150"/>
    <cellStyle name="EYCurrency 2 10 3" xfId="29787"/>
    <cellStyle name="EYCurrency 2 11" xfId="13053"/>
    <cellStyle name="EYCurrency 2 11 2" xfId="16404"/>
    <cellStyle name="EYCurrency 2 11 2 2" xfId="33545"/>
    <cellStyle name="EYCurrency 2 11 3" xfId="30194"/>
    <cellStyle name="EYCurrency 2 12" xfId="12677"/>
    <cellStyle name="EYCurrency 2 12 2" xfId="16040"/>
    <cellStyle name="EYCurrency 2 12 2 2" xfId="33181"/>
    <cellStyle name="EYCurrency 2 12 3" xfId="29818"/>
    <cellStyle name="EYCurrency 2 13" xfId="13164"/>
    <cellStyle name="EYCurrency 2 13 2" xfId="16515"/>
    <cellStyle name="EYCurrency 2 13 2 2" xfId="33656"/>
    <cellStyle name="EYCurrency 2 13 3" xfId="30305"/>
    <cellStyle name="EYCurrency 2 14" xfId="12694"/>
    <cellStyle name="EYCurrency 2 14 2" xfId="16057"/>
    <cellStyle name="EYCurrency 2 14 2 2" xfId="33198"/>
    <cellStyle name="EYCurrency 2 14 3" xfId="29835"/>
    <cellStyle name="EYCurrency 2 15" xfId="13264"/>
    <cellStyle name="EYCurrency 2 15 2" xfId="16615"/>
    <cellStyle name="EYCurrency 2 15 2 2" xfId="33756"/>
    <cellStyle name="EYCurrency 2 15 3" xfId="30405"/>
    <cellStyle name="EYCurrency 2 16" xfId="13400"/>
    <cellStyle name="EYCurrency 2 16 2" xfId="16751"/>
    <cellStyle name="EYCurrency 2 16 2 2" xfId="33892"/>
    <cellStyle name="EYCurrency 2 16 3" xfId="30541"/>
    <cellStyle name="EYCurrency 2 17" xfId="13428"/>
    <cellStyle name="EYCurrency 2 17 2" xfId="16779"/>
    <cellStyle name="EYCurrency 2 17 2 2" xfId="33920"/>
    <cellStyle name="EYCurrency 2 17 3" xfId="30569"/>
    <cellStyle name="EYCurrency 2 18" xfId="13459"/>
    <cellStyle name="EYCurrency 2 18 2" xfId="16810"/>
    <cellStyle name="EYCurrency 2 18 2 2" xfId="33951"/>
    <cellStyle name="EYCurrency 2 18 3" xfId="30600"/>
    <cellStyle name="EYCurrency 2 19" xfId="13564"/>
    <cellStyle name="EYCurrency 2 19 2" xfId="16915"/>
    <cellStyle name="EYCurrency 2 19 2 2" xfId="34056"/>
    <cellStyle name="EYCurrency 2 19 3" xfId="30705"/>
    <cellStyle name="EYCurrency 2 2" xfId="828"/>
    <cellStyle name="EYCurrency 2 2 2" xfId="1263"/>
    <cellStyle name="EYCurrency 2 2 2 2" xfId="2161"/>
    <cellStyle name="EYCurrency 2 2 2 2 2" xfId="15467"/>
    <cellStyle name="EYCurrency 2 2 2 2 2 2" xfId="32608"/>
    <cellStyle name="EYCurrency 2 2 2 2 3" xfId="19304"/>
    <cellStyle name="EYCurrency 2 2 2 3" xfId="14571"/>
    <cellStyle name="EYCurrency 2 2 2 3 2" xfId="31712"/>
    <cellStyle name="EYCurrency 2 2 2 4" xfId="18406"/>
    <cellStyle name="EYCurrency 2 2 3" xfId="1766"/>
    <cellStyle name="EYCurrency 2 2 3 2" xfId="15072"/>
    <cellStyle name="EYCurrency 2 2 3 2 2" xfId="32213"/>
    <cellStyle name="EYCurrency 2 2 3 3" xfId="18909"/>
    <cellStyle name="EYCurrency 2 2 4" xfId="14167"/>
    <cellStyle name="EYCurrency 2 2 4 2" xfId="31308"/>
    <cellStyle name="EYCurrency 2 2 5" xfId="17971"/>
    <cellStyle name="EYCurrency 2 20" xfId="13771"/>
    <cellStyle name="EYCurrency 2 20 2" xfId="17120"/>
    <cellStyle name="EYCurrency 2 20 2 2" xfId="34261"/>
    <cellStyle name="EYCurrency 2 20 3" xfId="30912"/>
    <cellStyle name="EYCurrency 2 21" xfId="13723"/>
    <cellStyle name="EYCurrency 2 21 2" xfId="17074"/>
    <cellStyle name="EYCurrency 2 21 2 2" xfId="34215"/>
    <cellStyle name="EYCurrency 2 21 3" xfId="30864"/>
    <cellStyle name="EYCurrency 2 22" xfId="13853"/>
    <cellStyle name="EYCurrency 2 22 2" xfId="30994"/>
    <cellStyle name="EYCurrency 2 23" xfId="17456"/>
    <cellStyle name="EYCurrency 2 3" xfId="716"/>
    <cellStyle name="EYCurrency 2 3 2" xfId="1169"/>
    <cellStyle name="EYCurrency 2 3 2 2" xfId="2067"/>
    <cellStyle name="EYCurrency 2 3 2 2 2" xfId="15373"/>
    <cellStyle name="EYCurrency 2 3 2 2 2 2" xfId="32514"/>
    <cellStyle name="EYCurrency 2 3 2 2 3" xfId="19210"/>
    <cellStyle name="EYCurrency 2 3 2 3" xfId="14477"/>
    <cellStyle name="EYCurrency 2 3 2 3 2" xfId="31618"/>
    <cellStyle name="EYCurrency 2 3 2 4" xfId="18312"/>
    <cellStyle name="EYCurrency 2 3 3" xfId="1672"/>
    <cellStyle name="EYCurrency 2 3 3 2" xfId="14978"/>
    <cellStyle name="EYCurrency 2 3 3 2 2" xfId="32119"/>
    <cellStyle name="EYCurrency 2 3 3 3" xfId="18815"/>
    <cellStyle name="EYCurrency 2 3 4" xfId="14073"/>
    <cellStyle name="EYCurrency 2 3 4 2" xfId="31214"/>
    <cellStyle name="EYCurrency 2 3 5" xfId="17859"/>
    <cellStyle name="EYCurrency 2 4" xfId="967"/>
    <cellStyle name="EYCurrency 2 4 2" xfId="1371"/>
    <cellStyle name="EYCurrency 2 4 2 2" xfId="2269"/>
    <cellStyle name="EYCurrency 2 4 2 2 2" xfId="15575"/>
    <cellStyle name="EYCurrency 2 4 2 2 2 2" xfId="32716"/>
    <cellStyle name="EYCurrency 2 4 2 2 3" xfId="19412"/>
    <cellStyle name="EYCurrency 2 4 2 3" xfId="14679"/>
    <cellStyle name="EYCurrency 2 4 2 3 2" xfId="31820"/>
    <cellStyle name="EYCurrency 2 4 2 4" xfId="18514"/>
    <cellStyle name="EYCurrency 2 4 3" xfId="1874"/>
    <cellStyle name="EYCurrency 2 4 3 2" xfId="15180"/>
    <cellStyle name="EYCurrency 2 4 3 2 2" xfId="32321"/>
    <cellStyle name="EYCurrency 2 4 3 3" xfId="19017"/>
    <cellStyle name="EYCurrency 2 4 4" xfId="14275"/>
    <cellStyle name="EYCurrency 2 4 4 2" xfId="31416"/>
    <cellStyle name="EYCurrency 2 4 5" xfId="18110"/>
    <cellStyle name="EYCurrency 2 5" xfId="1068"/>
    <cellStyle name="EYCurrency 2 5 2" xfId="1975"/>
    <cellStyle name="EYCurrency 2 5 2 2" xfId="15281"/>
    <cellStyle name="EYCurrency 2 5 2 2 2" xfId="32422"/>
    <cellStyle name="EYCurrency 2 5 2 3" xfId="19118"/>
    <cellStyle name="EYCurrency 2 5 3" xfId="14376"/>
    <cellStyle name="EYCurrency 2 5 3 2" xfId="31517"/>
    <cellStyle name="EYCurrency 2 5 4" xfId="18211"/>
    <cellStyle name="EYCurrency 2 6" xfId="1468"/>
    <cellStyle name="EYCurrency 2 6 2" xfId="2365"/>
    <cellStyle name="EYCurrency 2 6 2 2" xfId="15671"/>
    <cellStyle name="EYCurrency 2 6 2 2 2" xfId="32812"/>
    <cellStyle name="EYCurrency 2 6 2 3" xfId="19508"/>
    <cellStyle name="EYCurrency 2 6 3" xfId="14775"/>
    <cellStyle name="EYCurrency 2 6 3 2" xfId="31916"/>
    <cellStyle name="EYCurrency 2 6 4" xfId="18611"/>
    <cellStyle name="EYCurrency 2 7" xfId="576"/>
    <cellStyle name="EYCurrency 2 7 2" xfId="13964"/>
    <cellStyle name="EYCurrency 2 7 2 2" xfId="31105"/>
    <cellStyle name="EYCurrency 2 7 3" xfId="17719"/>
    <cellStyle name="EYCurrency 2 8" xfId="1561"/>
    <cellStyle name="EYCurrency 2 8 2" xfId="14867"/>
    <cellStyle name="EYCurrency 2 8 2 2" xfId="32008"/>
    <cellStyle name="EYCurrency 2 8 3" xfId="18704"/>
    <cellStyle name="EYCurrency 2 9" xfId="12814"/>
    <cellStyle name="EYCurrency 2 9 2" xfId="16175"/>
    <cellStyle name="EYCurrency 2 9 2 2" xfId="33316"/>
    <cellStyle name="EYCurrency 2 9 3" xfId="29955"/>
    <cellStyle name="EYCurrency 20" xfId="2491"/>
    <cellStyle name="EYCurrency 20 2" xfId="19632"/>
    <cellStyle name="EYCurrency 21" xfId="2492"/>
    <cellStyle name="EYCurrency 21 2" xfId="19633"/>
    <cellStyle name="EYCurrency 22" xfId="2493"/>
    <cellStyle name="EYCurrency 22 2" xfId="19634"/>
    <cellStyle name="EYCurrency 23" xfId="2494"/>
    <cellStyle name="EYCurrency 23 2" xfId="15757"/>
    <cellStyle name="EYCurrency 23 2 2" xfId="32898"/>
    <cellStyle name="EYCurrency 23 3" xfId="19635"/>
    <cellStyle name="EYCurrency 24" xfId="2495"/>
    <cellStyle name="EYCurrency 24 2" xfId="15758"/>
    <cellStyle name="EYCurrency 24 2 2" xfId="32899"/>
    <cellStyle name="EYCurrency 24 3" xfId="19636"/>
    <cellStyle name="EYCurrency 25" xfId="2496"/>
    <cellStyle name="EYCurrency 25 2" xfId="15759"/>
    <cellStyle name="EYCurrency 25 2 2" xfId="32900"/>
    <cellStyle name="EYCurrency 25 3" xfId="19637"/>
    <cellStyle name="EYCurrency 26" xfId="17319"/>
    <cellStyle name="EYCurrency 3" xfId="412"/>
    <cellStyle name="EYCurrency 3 10" xfId="13012"/>
    <cellStyle name="EYCurrency 3 10 2" xfId="16363"/>
    <cellStyle name="EYCurrency 3 10 2 2" xfId="33504"/>
    <cellStyle name="EYCurrency 3 10 3" xfId="30153"/>
    <cellStyle name="EYCurrency 3 11" xfId="13100"/>
    <cellStyle name="EYCurrency 3 11 2" xfId="16451"/>
    <cellStyle name="EYCurrency 3 11 2 2" xfId="33592"/>
    <cellStyle name="EYCurrency 3 11 3" xfId="30241"/>
    <cellStyle name="EYCurrency 3 12" xfId="13185"/>
    <cellStyle name="EYCurrency 3 12 2" xfId="16536"/>
    <cellStyle name="EYCurrency 3 12 2 2" xfId="33677"/>
    <cellStyle name="EYCurrency 3 12 3" xfId="30326"/>
    <cellStyle name="EYCurrency 3 13" xfId="13266"/>
    <cellStyle name="EYCurrency 3 13 2" xfId="16617"/>
    <cellStyle name="EYCurrency 3 13 2 2" xfId="33758"/>
    <cellStyle name="EYCurrency 3 13 3" xfId="30407"/>
    <cellStyle name="EYCurrency 3 14" xfId="12650"/>
    <cellStyle name="EYCurrency 3 14 2" xfId="16013"/>
    <cellStyle name="EYCurrency 3 14 2 2" xfId="33154"/>
    <cellStyle name="EYCurrency 3 14 3" xfId="29791"/>
    <cellStyle name="EYCurrency 3 15" xfId="13366"/>
    <cellStyle name="EYCurrency 3 15 2" xfId="16717"/>
    <cellStyle name="EYCurrency 3 15 2 2" xfId="33858"/>
    <cellStyle name="EYCurrency 3 15 3" xfId="30507"/>
    <cellStyle name="EYCurrency 3 16" xfId="13441"/>
    <cellStyle name="EYCurrency 3 16 2" xfId="16792"/>
    <cellStyle name="EYCurrency 3 16 2 2" xfId="33933"/>
    <cellStyle name="EYCurrency 3 16 3" xfId="30582"/>
    <cellStyle name="EYCurrency 3 17" xfId="13505"/>
    <cellStyle name="EYCurrency 3 17 2" xfId="16856"/>
    <cellStyle name="EYCurrency 3 17 2 2" xfId="33997"/>
    <cellStyle name="EYCurrency 3 17 3" xfId="30646"/>
    <cellStyle name="EYCurrency 3 18" xfId="13575"/>
    <cellStyle name="EYCurrency 3 18 2" xfId="16926"/>
    <cellStyle name="EYCurrency 3 18 2 2" xfId="34067"/>
    <cellStyle name="EYCurrency 3 18 3" xfId="30716"/>
    <cellStyle name="EYCurrency 3 19" xfId="13638"/>
    <cellStyle name="EYCurrency 3 19 2" xfId="16989"/>
    <cellStyle name="EYCurrency 3 19 2 2" xfId="34130"/>
    <cellStyle name="EYCurrency 3 19 3" xfId="30779"/>
    <cellStyle name="EYCurrency 3 2" xfId="896"/>
    <cellStyle name="EYCurrency 3 2 2" xfId="1311"/>
    <cellStyle name="EYCurrency 3 2 2 2" xfId="2209"/>
    <cellStyle name="EYCurrency 3 2 2 2 2" xfId="15515"/>
    <cellStyle name="EYCurrency 3 2 2 2 2 2" xfId="32656"/>
    <cellStyle name="EYCurrency 3 2 2 2 3" xfId="19352"/>
    <cellStyle name="EYCurrency 3 2 2 3" xfId="14619"/>
    <cellStyle name="EYCurrency 3 2 2 3 2" xfId="31760"/>
    <cellStyle name="EYCurrency 3 2 2 4" xfId="18454"/>
    <cellStyle name="EYCurrency 3 2 3" xfId="1814"/>
    <cellStyle name="EYCurrency 3 2 3 2" xfId="15120"/>
    <cellStyle name="EYCurrency 3 2 3 2 2" xfId="32261"/>
    <cellStyle name="EYCurrency 3 2 3 3" xfId="18957"/>
    <cellStyle name="EYCurrency 3 2 4" xfId="14215"/>
    <cellStyle name="EYCurrency 3 2 4 2" xfId="31356"/>
    <cellStyle name="EYCurrency 3 2 5" xfId="18039"/>
    <cellStyle name="EYCurrency 3 20" xfId="13799"/>
    <cellStyle name="EYCurrency 3 20 2" xfId="17145"/>
    <cellStyle name="EYCurrency 3 20 2 2" xfId="34286"/>
    <cellStyle name="EYCurrency 3 20 3" xfId="30940"/>
    <cellStyle name="EYCurrency 3 21" xfId="13713"/>
    <cellStyle name="EYCurrency 3 21 2" xfId="17064"/>
    <cellStyle name="EYCurrency 3 21 2 2" xfId="34205"/>
    <cellStyle name="EYCurrency 3 21 3" xfId="30854"/>
    <cellStyle name="EYCurrency 3 22" xfId="13901"/>
    <cellStyle name="EYCurrency 3 22 2" xfId="31042"/>
    <cellStyle name="EYCurrency 3 23" xfId="17555"/>
    <cellStyle name="EYCurrency 3 3" xfId="754"/>
    <cellStyle name="EYCurrency 3 3 2" xfId="1207"/>
    <cellStyle name="EYCurrency 3 3 2 2" xfId="2105"/>
    <cellStyle name="EYCurrency 3 3 2 2 2" xfId="15411"/>
    <cellStyle name="EYCurrency 3 3 2 2 2 2" xfId="32552"/>
    <cellStyle name="EYCurrency 3 3 2 2 3" xfId="19248"/>
    <cellStyle name="EYCurrency 3 3 2 3" xfId="14515"/>
    <cellStyle name="EYCurrency 3 3 2 3 2" xfId="31656"/>
    <cellStyle name="EYCurrency 3 3 2 4" xfId="18350"/>
    <cellStyle name="EYCurrency 3 3 3" xfId="1710"/>
    <cellStyle name="EYCurrency 3 3 3 2" xfId="15016"/>
    <cellStyle name="EYCurrency 3 3 3 2 2" xfId="32157"/>
    <cellStyle name="EYCurrency 3 3 3 3" xfId="18853"/>
    <cellStyle name="EYCurrency 3 3 4" xfId="14111"/>
    <cellStyle name="EYCurrency 3 3 4 2" xfId="31252"/>
    <cellStyle name="EYCurrency 3 3 5" xfId="17897"/>
    <cellStyle name="EYCurrency 3 4" xfId="1011"/>
    <cellStyle name="EYCurrency 3 4 2" xfId="1409"/>
    <cellStyle name="EYCurrency 3 4 2 2" xfId="2307"/>
    <cellStyle name="EYCurrency 3 4 2 2 2" xfId="15613"/>
    <cellStyle name="EYCurrency 3 4 2 2 2 2" xfId="32754"/>
    <cellStyle name="EYCurrency 3 4 2 2 3" xfId="19450"/>
    <cellStyle name="EYCurrency 3 4 2 3" xfId="14717"/>
    <cellStyle name="EYCurrency 3 4 2 3 2" xfId="31858"/>
    <cellStyle name="EYCurrency 3 4 2 4" xfId="18552"/>
    <cellStyle name="EYCurrency 3 4 3" xfId="1918"/>
    <cellStyle name="EYCurrency 3 4 3 2" xfId="15224"/>
    <cellStyle name="EYCurrency 3 4 3 2 2" xfId="32365"/>
    <cellStyle name="EYCurrency 3 4 3 3" xfId="19061"/>
    <cellStyle name="EYCurrency 3 4 4" xfId="14319"/>
    <cellStyle name="EYCurrency 3 4 4 2" xfId="31460"/>
    <cellStyle name="EYCurrency 3 4 5" xfId="18154"/>
    <cellStyle name="EYCurrency 3 5" xfId="1110"/>
    <cellStyle name="EYCurrency 3 5 2" xfId="2012"/>
    <cellStyle name="EYCurrency 3 5 2 2" xfId="15318"/>
    <cellStyle name="EYCurrency 3 5 2 2 2" xfId="32459"/>
    <cellStyle name="EYCurrency 3 5 2 3" xfId="19155"/>
    <cellStyle name="EYCurrency 3 5 3" xfId="14418"/>
    <cellStyle name="EYCurrency 3 5 3 2" xfId="31559"/>
    <cellStyle name="EYCurrency 3 5 4" xfId="18253"/>
    <cellStyle name="EYCurrency 3 6" xfId="1505"/>
    <cellStyle name="EYCurrency 3 6 2" xfId="2402"/>
    <cellStyle name="EYCurrency 3 6 2 2" xfId="15708"/>
    <cellStyle name="EYCurrency 3 6 2 2 2" xfId="32849"/>
    <cellStyle name="EYCurrency 3 6 2 3" xfId="19545"/>
    <cellStyle name="EYCurrency 3 6 3" xfId="14812"/>
    <cellStyle name="EYCurrency 3 6 3 2" xfId="31953"/>
    <cellStyle name="EYCurrency 3 6 4" xfId="18648"/>
    <cellStyle name="EYCurrency 3 7" xfId="644"/>
    <cellStyle name="EYCurrency 3 7 2" xfId="14012"/>
    <cellStyle name="EYCurrency 3 7 2 2" xfId="31153"/>
    <cellStyle name="EYCurrency 3 7 3" xfId="17787"/>
    <cellStyle name="EYCurrency 3 8" xfId="1609"/>
    <cellStyle name="EYCurrency 3 8 2" xfId="14915"/>
    <cellStyle name="EYCurrency 3 8 2 2" xfId="32056"/>
    <cellStyle name="EYCurrency 3 8 3" xfId="18752"/>
    <cellStyle name="EYCurrency 3 9" xfId="12902"/>
    <cellStyle name="EYCurrency 3 9 2" xfId="16260"/>
    <cellStyle name="EYCurrency 3 9 2 2" xfId="33401"/>
    <cellStyle name="EYCurrency 3 9 3" xfId="30043"/>
    <cellStyle name="EYCurrency 4" xfId="418"/>
    <cellStyle name="EYCurrency 4 10" xfId="13018"/>
    <cellStyle name="EYCurrency 4 10 2" xfId="16369"/>
    <cellStyle name="EYCurrency 4 10 2 2" xfId="33510"/>
    <cellStyle name="EYCurrency 4 10 3" xfId="30159"/>
    <cellStyle name="EYCurrency 4 11" xfId="13106"/>
    <cellStyle name="EYCurrency 4 11 2" xfId="16457"/>
    <cellStyle name="EYCurrency 4 11 2 2" xfId="33598"/>
    <cellStyle name="EYCurrency 4 11 3" xfId="30247"/>
    <cellStyle name="EYCurrency 4 12" xfId="13191"/>
    <cellStyle name="EYCurrency 4 12 2" xfId="16542"/>
    <cellStyle name="EYCurrency 4 12 2 2" xfId="33683"/>
    <cellStyle name="EYCurrency 4 12 3" xfId="30332"/>
    <cellStyle name="EYCurrency 4 13" xfId="12611"/>
    <cellStyle name="EYCurrency 4 13 2" xfId="15974"/>
    <cellStyle name="EYCurrency 4 13 2 2" xfId="33115"/>
    <cellStyle name="EYCurrency 4 13 3" xfId="29752"/>
    <cellStyle name="EYCurrency 4 14" xfId="13372"/>
    <cellStyle name="EYCurrency 4 14 2" xfId="16723"/>
    <cellStyle name="EYCurrency 4 14 2 2" xfId="33864"/>
    <cellStyle name="EYCurrency 4 14 3" xfId="30513"/>
    <cellStyle name="EYCurrency 4 15" xfId="13446"/>
    <cellStyle name="EYCurrency 4 15 2" xfId="16797"/>
    <cellStyle name="EYCurrency 4 15 2 2" xfId="33938"/>
    <cellStyle name="EYCurrency 4 15 3" xfId="30587"/>
    <cellStyle name="EYCurrency 4 16" xfId="13511"/>
    <cellStyle name="EYCurrency 4 16 2" xfId="16862"/>
    <cellStyle name="EYCurrency 4 16 2 2" xfId="34003"/>
    <cellStyle name="EYCurrency 4 16 3" xfId="30652"/>
    <cellStyle name="EYCurrency 4 17" xfId="13581"/>
    <cellStyle name="EYCurrency 4 17 2" xfId="16932"/>
    <cellStyle name="EYCurrency 4 17 2 2" xfId="34073"/>
    <cellStyle name="EYCurrency 4 17 3" xfId="30722"/>
    <cellStyle name="EYCurrency 4 18" xfId="13644"/>
    <cellStyle name="EYCurrency 4 18 2" xfId="16995"/>
    <cellStyle name="EYCurrency 4 18 2 2" xfId="34136"/>
    <cellStyle name="EYCurrency 4 18 3" xfId="30785"/>
    <cellStyle name="EYCurrency 4 19" xfId="13709"/>
    <cellStyle name="EYCurrency 4 19 2" xfId="17060"/>
    <cellStyle name="EYCurrency 4 19 2 2" xfId="34201"/>
    <cellStyle name="EYCurrency 4 19 3" xfId="30850"/>
    <cellStyle name="EYCurrency 4 2" xfId="902"/>
    <cellStyle name="EYCurrency 4 2 2" xfId="1317"/>
    <cellStyle name="EYCurrency 4 2 2 2" xfId="2215"/>
    <cellStyle name="EYCurrency 4 2 2 2 2" xfId="15521"/>
    <cellStyle name="EYCurrency 4 2 2 2 2 2" xfId="32662"/>
    <cellStyle name="EYCurrency 4 2 2 2 3" xfId="19358"/>
    <cellStyle name="EYCurrency 4 2 2 3" xfId="14625"/>
    <cellStyle name="EYCurrency 4 2 2 3 2" xfId="31766"/>
    <cellStyle name="EYCurrency 4 2 2 4" xfId="18460"/>
    <cellStyle name="EYCurrency 4 2 3" xfId="1820"/>
    <cellStyle name="EYCurrency 4 2 3 2" xfId="15126"/>
    <cellStyle name="EYCurrency 4 2 3 2 2" xfId="32267"/>
    <cellStyle name="EYCurrency 4 2 3 3" xfId="18963"/>
    <cellStyle name="EYCurrency 4 2 4" xfId="14221"/>
    <cellStyle name="EYCurrency 4 2 4 2" xfId="31362"/>
    <cellStyle name="EYCurrency 4 2 5" xfId="18045"/>
    <cellStyle name="EYCurrency 4 20" xfId="13907"/>
    <cellStyle name="EYCurrency 4 20 2" xfId="31048"/>
    <cellStyle name="EYCurrency 4 21" xfId="17561"/>
    <cellStyle name="EYCurrency 4 3" xfId="760"/>
    <cellStyle name="EYCurrency 4 3 2" xfId="1213"/>
    <cellStyle name="EYCurrency 4 3 2 2" xfId="2111"/>
    <cellStyle name="EYCurrency 4 3 2 2 2" xfId="15417"/>
    <cellStyle name="EYCurrency 4 3 2 2 2 2" xfId="32558"/>
    <cellStyle name="EYCurrency 4 3 2 2 3" xfId="19254"/>
    <cellStyle name="EYCurrency 4 3 2 3" xfId="14521"/>
    <cellStyle name="EYCurrency 4 3 2 3 2" xfId="31662"/>
    <cellStyle name="EYCurrency 4 3 2 4" xfId="18356"/>
    <cellStyle name="EYCurrency 4 3 3" xfId="1716"/>
    <cellStyle name="EYCurrency 4 3 3 2" xfId="15022"/>
    <cellStyle name="EYCurrency 4 3 3 2 2" xfId="32163"/>
    <cellStyle name="EYCurrency 4 3 3 3" xfId="18859"/>
    <cellStyle name="EYCurrency 4 3 4" xfId="14117"/>
    <cellStyle name="EYCurrency 4 3 4 2" xfId="31258"/>
    <cellStyle name="EYCurrency 4 3 5" xfId="17903"/>
    <cellStyle name="EYCurrency 4 4" xfId="1017"/>
    <cellStyle name="EYCurrency 4 4 2" xfId="1415"/>
    <cellStyle name="EYCurrency 4 4 2 2" xfId="2313"/>
    <cellStyle name="EYCurrency 4 4 2 2 2" xfId="15619"/>
    <cellStyle name="EYCurrency 4 4 2 2 2 2" xfId="32760"/>
    <cellStyle name="EYCurrency 4 4 2 2 3" xfId="19456"/>
    <cellStyle name="EYCurrency 4 4 2 3" xfId="14723"/>
    <cellStyle name="EYCurrency 4 4 2 3 2" xfId="31864"/>
    <cellStyle name="EYCurrency 4 4 2 4" xfId="18558"/>
    <cellStyle name="EYCurrency 4 4 3" xfId="1924"/>
    <cellStyle name="EYCurrency 4 4 3 2" xfId="15230"/>
    <cellStyle name="EYCurrency 4 4 3 2 2" xfId="32371"/>
    <cellStyle name="EYCurrency 4 4 3 3" xfId="19067"/>
    <cellStyle name="EYCurrency 4 4 4" xfId="14325"/>
    <cellStyle name="EYCurrency 4 4 4 2" xfId="31466"/>
    <cellStyle name="EYCurrency 4 4 5" xfId="18160"/>
    <cellStyle name="EYCurrency 4 5" xfId="1116"/>
    <cellStyle name="EYCurrency 4 5 2" xfId="2018"/>
    <cellStyle name="EYCurrency 4 5 2 2" xfId="15324"/>
    <cellStyle name="EYCurrency 4 5 2 2 2" xfId="32465"/>
    <cellStyle name="EYCurrency 4 5 2 3" xfId="19161"/>
    <cellStyle name="EYCurrency 4 5 3" xfId="14424"/>
    <cellStyle name="EYCurrency 4 5 3 2" xfId="31565"/>
    <cellStyle name="EYCurrency 4 5 4" xfId="18259"/>
    <cellStyle name="EYCurrency 4 6" xfId="1511"/>
    <cellStyle name="EYCurrency 4 6 2" xfId="2408"/>
    <cellStyle name="EYCurrency 4 6 2 2" xfId="15714"/>
    <cellStyle name="EYCurrency 4 6 2 2 2" xfId="32855"/>
    <cellStyle name="EYCurrency 4 6 2 3" xfId="19551"/>
    <cellStyle name="EYCurrency 4 6 3" xfId="14818"/>
    <cellStyle name="EYCurrency 4 6 3 2" xfId="31959"/>
    <cellStyle name="EYCurrency 4 6 4" xfId="18654"/>
    <cellStyle name="EYCurrency 4 7" xfId="650"/>
    <cellStyle name="EYCurrency 4 7 2" xfId="14018"/>
    <cellStyle name="EYCurrency 4 7 2 2" xfId="31159"/>
    <cellStyle name="EYCurrency 4 7 3" xfId="17793"/>
    <cellStyle name="EYCurrency 4 8" xfId="1615"/>
    <cellStyle name="EYCurrency 4 8 2" xfId="14921"/>
    <cellStyle name="EYCurrency 4 8 2 2" xfId="32062"/>
    <cellStyle name="EYCurrency 4 8 3" xfId="18758"/>
    <cellStyle name="EYCurrency 4 9" xfId="12908"/>
    <cellStyle name="EYCurrency 4 9 2" xfId="16266"/>
    <cellStyle name="EYCurrency 4 9 2 2" xfId="33407"/>
    <cellStyle name="EYCurrency 4 9 3" xfId="30049"/>
    <cellStyle name="EYCurrency 5" xfId="425"/>
    <cellStyle name="EYCurrency 5 10" xfId="13025"/>
    <cellStyle name="EYCurrency 5 10 2" xfId="16376"/>
    <cellStyle name="EYCurrency 5 10 2 2" xfId="33517"/>
    <cellStyle name="EYCurrency 5 10 3" xfId="30166"/>
    <cellStyle name="EYCurrency 5 11" xfId="13112"/>
    <cellStyle name="EYCurrency 5 11 2" xfId="16463"/>
    <cellStyle name="EYCurrency 5 11 2 2" xfId="33604"/>
    <cellStyle name="EYCurrency 5 11 3" xfId="30253"/>
    <cellStyle name="EYCurrency 5 12" xfId="13198"/>
    <cellStyle name="EYCurrency 5 12 2" xfId="16549"/>
    <cellStyle name="EYCurrency 5 12 2 2" xfId="33690"/>
    <cellStyle name="EYCurrency 5 12 3" xfId="30339"/>
    <cellStyle name="EYCurrency 5 13" xfId="12586"/>
    <cellStyle name="EYCurrency 5 13 2" xfId="15949"/>
    <cellStyle name="EYCurrency 5 13 2 2" xfId="33090"/>
    <cellStyle name="EYCurrency 5 13 3" xfId="29727"/>
    <cellStyle name="EYCurrency 5 14" xfId="13378"/>
    <cellStyle name="EYCurrency 5 14 2" xfId="16729"/>
    <cellStyle name="EYCurrency 5 14 2 2" xfId="33870"/>
    <cellStyle name="EYCurrency 5 14 3" xfId="30519"/>
    <cellStyle name="EYCurrency 5 15" xfId="13452"/>
    <cellStyle name="EYCurrency 5 15 2" xfId="16803"/>
    <cellStyle name="EYCurrency 5 15 2 2" xfId="33944"/>
    <cellStyle name="EYCurrency 5 15 3" xfId="30593"/>
    <cellStyle name="EYCurrency 5 16" xfId="13518"/>
    <cellStyle name="EYCurrency 5 16 2" xfId="16869"/>
    <cellStyle name="EYCurrency 5 16 2 2" xfId="34010"/>
    <cellStyle name="EYCurrency 5 16 3" xfId="30659"/>
    <cellStyle name="EYCurrency 5 17" xfId="13587"/>
    <cellStyle name="EYCurrency 5 17 2" xfId="16938"/>
    <cellStyle name="EYCurrency 5 17 2 2" xfId="34079"/>
    <cellStyle name="EYCurrency 5 17 3" xfId="30728"/>
    <cellStyle name="EYCurrency 5 18" xfId="13650"/>
    <cellStyle name="EYCurrency 5 18 2" xfId="17001"/>
    <cellStyle name="EYCurrency 5 18 2 2" xfId="34142"/>
    <cellStyle name="EYCurrency 5 18 3" xfId="30791"/>
    <cellStyle name="EYCurrency 5 19" xfId="13747"/>
    <cellStyle name="EYCurrency 5 19 2" xfId="17098"/>
    <cellStyle name="EYCurrency 5 19 2 2" xfId="34239"/>
    <cellStyle name="EYCurrency 5 19 3" xfId="30888"/>
    <cellStyle name="EYCurrency 5 2" xfId="909"/>
    <cellStyle name="EYCurrency 5 2 2" xfId="1323"/>
    <cellStyle name="EYCurrency 5 2 2 2" xfId="2221"/>
    <cellStyle name="EYCurrency 5 2 2 2 2" xfId="15527"/>
    <cellStyle name="EYCurrency 5 2 2 2 2 2" xfId="32668"/>
    <cellStyle name="EYCurrency 5 2 2 2 3" xfId="19364"/>
    <cellStyle name="EYCurrency 5 2 2 3" xfId="14631"/>
    <cellStyle name="EYCurrency 5 2 2 3 2" xfId="31772"/>
    <cellStyle name="EYCurrency 5 2 2 4" xfId="18466"/>
    <cellStyle name="EYCurrency 5 2 3" xfId="1826"/>
    <cellStyle name="EYCurrency 5 2 3 2" xfId="15132"/>
    <cellStyle name="EYCurrency 5 2 3 2 2" xfId="32273"/>
    <cellStyle name="EYCurrency 5 2 3 3" xfId="18969"/>
    <cellStyle name="EYCurrency 5 2 4" xfId="14227"/>
    <cellStyle name="EYCurrency 5 2 4 2" xfId="31368"/>
    <cellStyle name="EYCurrency 5 2 5" xfId="18052"/>
    <cellStyle name="EYCurrency 5 20" xfId="13913"/>
    <cellStyle name="EYCurrency 5 20 2" xfId="31054"/>
    <cellStyle name="EYCurrency 5 21" xfId="17568"/>
    <cellStyle name="EYCurrency 5 3" xfId="765"/>
    <cellStyle name="EYCurrency 5 3 2" xfId="1218"/>
    <cellStyle name="EYCurrency 5 3 2 2" xfId="2116"/>
    <cellStyle name="EYCurrency 5 3 2 2 2" xfId="15422"/>
    <cellStyle name="EYCurrency 5 3 2 2 2 2" xfId="32563"/>
    <cellStyle name="EYCurrency 5 3 2 2 3" xfId="19259"/>
    <cellStyle name="EYCurrency 5 3 2 3" xfId="14526"/>
    <cellStyle name="EYCurrency 5 3 2 3 2" xfId="31667"/>
    <cellStyle name="EYCurrency 5 3 2 4" xfId="18361"/>
    <cellStyle name="EYCurrency 5 3 3" xfId="1721"/>
    <cellStyle name="EYCurrency 5 3 3 2" xfId="15027"/>
    <cellStyle name="EYCurrency 5 3 3 2 2" xfId="32168"/>
    <cellStyle name="EYCurrency 5 3 3 3" xfId="18864"/>
    <cellStyle name="EYCurrency 5 3 4" xfId="14122"/>
    <cellStyle name="EYCurrency 5 3 4 2" xfId="31263"/>
    <cellStyle name="EYCurrency 5 3 5" xfId="17908"/>
    <cellStyle name="EYCurrency 5 4" xfId="1023"/>
    <cellStyle name="EYCurrency 5 4 2" xfId="1420"/>
    <cellStyle name="EYCurrency 5 4 2 2" xfId="2318"/>
    <cellStyle name="EYCurrency 5 4 2 2 2" xfId="15624"/>
    <cellStyle name="EYCurrency 5 4 2 2 2 2" xfId="32765"/>
    <cellStyle name="EYCurrency 5 4 2 2 3" xfId="19461"/>
    <cellStyle name="EYCurrency 5 4 2 3" xfId="14728"/>
    <cellStyle name="EYCurrency 5 4 2 3 2" xfId="31869"/>
    <cellStyle name="EYCurrency 5 4 2 4" xfId="18563"/>
    <cellStyle name="EYCurrency 5 4 3" xfId="1930"/>
    <cellStyle name="EYCurrency 5 4 3 2" xfId="15236"/>
    <cellStyle name="EYCurrency 5 4 3 2 2" xfId="32377"/>
    <cellStyle name="EYCurrency 5 4 3 3" xfId="19073"/>
    <cellStyle name="EYCurrency 5 4 4" xfId="14331"/>
    <cellStyle name="EYCurrency 5 4 4 2" xfId="31472"/>
    <cellStyle name="EYCurrency 5 4 5" xfId="18166"/>
    <cellStyle name="EYCurrency 5 5" xfId="1121"/>
    <cellStyle name="EYCurrency 5 5 2" xfId="2023"/>
    <cellStyle name="EYCurrency 5 5 2 2" xfId="15329"/>
    <cellStyle name="EYCurrency 5 5 2 2 2" xfId="32470"/>
    <cellStyle name="EYCurrency 5 5 2 3" xfId="19166"/>
    <cellStyle name="EYCurrency 5 5 3" xfId="14429"/>
    <cellStyle name="EYCurrency 5 5 3 2" xfId="31570"/>
    <cellStyle name="EYCurrency 5 5 4" xfId="18264"/>
    <cellStyle name="EYCurrency 5 6" xfId="1516"/>
    <cellStyle name="EYCurrency 5 6 2" xfId="2413"/>
    <cellStyle name="EYCurrency 5 6 2 2" xfId="15719"/>
    <cellStyle name="EYCurrency 5 6 2 2 2" xfId="32860"/>
    <cellStyle name="EYCurrency 5 6 2 3" xfId="19556"/>
    <cellStyle name="EYCurrency 5 6 3" xfId="14823"/>
    <cellStyle name="EYCurrency 5 6 3 2" xfId="31964"/>
    <cellStyle name="EYCurrency 5 6 4" xfId="18659"/>
    <cellStyle name="EYCurrency 5 7" xfId="657"/>
    <cellStyle name="EYCurrency 5 7 2" xfId="14024"/>
    <cellStyle name="EYCurrency 5 7 2 2" xfId="31165"/>
    <cellStyle name="EYCurrency 5 7 3" xfId="17800"/>
    <cellStyle name="EYCurrency 5 8" xfId="1621"/>
    <cellStyle name="EYCurrency 5 8 2" xfId="14927"/>
    <cellStyle name="EYCurrency 5 8 2 2" xfId="32068"/>
    <cellStyle name="EYCurrency 5 8 3" xfId="18764"/>
    <cellStyle name="EYCurrency 5 9" xfId="12915"/>
    <cellStyle name="EYCurrency 5 9 2" xfId="16273"/>
    <cellStyle name="EYCurrency 5 9 2 2" xfId="33414"/>
    <cellStyle name="EYCurrency 5 9 3" xfId="30056"/>
    <cellStyle name="EYCurrency 6" xfId="431"/>
    <cellStyle name="EYCurrency 6 10" xfId="13031"/>
    <cellStyle name="EYCurrency 6 10 2" xfId="16382"/>
    <cellStyle name="EYCurrency 6 10 2 2" xfId="33523"/>
    <cellStyle name="EYCurrency 6 10 3" xfId="30172"/>
    <cellStyle name="EYCurrency 6 11" xfId="13116"/>
    <cellStyle name="EYCurrency 6 11 2" xfId="16467"/>
    <cellStyle name="EYCurrency 6 11 2 2" xfId="33608"/>
    <cellStyle name="EYCurrency 6 11 3" xfId="30257"/>
    <cellStyle name="EYCurrency 6 12" xfId="13204"/>
    <cellStyle name="EYCurrency 6 12 2" xfId="16555"/>
    <cellStyle name="EYCurrency 6 12 2 2" xfId="33696"/>
    <cellStyle name="EYCurrency 6 12 3" xfId="30345"/>
    <cellStyle name="EYCurrency 6 13" xfId="12809"/>
    <cellStyle name="EYCurrency 6 13 2" xfId="16170"/>
    <cellStyle name="EYCurrency 6 13 2 2" xfId="33311"/>
    <cellStyle name="EYCurrency 6 13 3" xfId="29950"/>
    <cellStyle name="EYCurrency 6 14" xfId="13382"/>
    <cellStyle name="EYCurrency 6 14 2" xfId="16733"/>
    <cellStyle name="EYCurrency 6 14 2 2" xfId="33874"/>
    <cellStyle name="EYCurrency 6 14 3" xfId="30523"/>
    <cellStyle name="EYCurrency 6 15" xfId="13458"/>
    <cellStyle name="EYCurrency 6 15 2" xfId="16809"/>
    <cellStyle name="EYCurrency 6 15 2 2" xfId="33950"/>
    <cellStyle name="EYCurrency 6 15 3" xfId="30599"/>
    <cellStyle name="EYCurrency 6 16" xfId="13522"/>
    <cellStyle name="EYCurrency 6 16 2" xfId="16873"/>
    <cellStyle name="EYCurrency 6 16 2 2" xfId="34014"/>
    <cellStyle name="EYCurrency 6 16 3" xfId="30663"/>
    <cellStyle name="EYCurrency 6 17" xfId="13590"/>
    <cellStyle name="EYCurrency 6 17 2" xfId="16941"/>
    <cellStyle name="EYCurrency 6 17 2 2" xfId="34082"/>
    <cellStyle name="EYCurrency 6 17 3" xfId="30731"/>
    <cellStyle name="EYCurrency 6 18" xfId="13653"/>
    <cellStyle name="EYCurrency 6 18 2" xfId="17004"/>
    <cellStyle name="EYCurrency 6 18 2 2" xfId="34145"/>
    <cellStyle name="EYCurrency 6 18 3" xfId="30794"/>
    <cellStyle name="EYCurrency 6 19" xfId="13746"/>
    <cellStyle name="EYCurrency 6 19 2" xfId="17097"/>
    <cellStyle name="EYCurrency 6 19 2 2" xfId="34238"/>
    <cellStyle name="EYCurrency 6 19 3" xfId="30887"/>
    <cellStyle name="EYCurrency 6 2" xfId="912"/>
    <cellStyle name="EYCurrency 6 2 2" xfId="1326"/>
    <cellStyle name="EYCurrency 6 2 2 2" xfId="2224"/>
    <cellStyle name="EYCurrency 6 2 2 2 2" xfId="15530"/>
    <cellStyle name="EYCurrency 6 2 2 2 2 2" xfId="32671"/>
    <cellStyle name="EYCurrency 6 2 2 2 3" xfId="19367"/>
    <cellStyle name="EYCurrency 6 2 2 3" xfId="14634"/>
    <cellStyle name="EYCurrency 6 2 2 3 2" xfId="31775"/>
    <cellStyle name="EYCurrency 6 2 2 4" xfId="18469"/>
    <cellStyle name="EYCurrency 6 2 3" xfId="1829"/>
    <cellStyle name="EYCurrency 6 2 3 2" xfId="15135"/>
    <cellStyle name="EYCurrency 6 2 3 2 2" xfId="32276"/>
    <cellStyle name="EYCurrency 6 2 3 3" xfId="18972"/>
    <cellStyle name="EYCurrency 6 2 4" xfId="14230"/>
    <cellStyle name="EYCurrency 6 2 4 2" xfId="31371"/>
    <cellStyle name="EYCurrency 6 2 5" xfId="18055"/>
    <cellStyle name="EYCurrency 6 20" xfId="13916"/>
    <cellStyle name="EYCurrency 6 20 2" xfId="31057"/>
    <cellStyle name="EYCurrency 6 21" xfId="17574"/>
    <cellStyle name="EYCurrency 6 3" xfId="768"/>
    <cellStyle name="EYCurrency 6 3 2" xfId="1221"/>
    <cellStyle name="EYCurrency 6 3 2 2" xfId="2119"/>
    <cellStyle name="EYCurrency 6 3 2 2 2" xfId="15425"/>
    <cellStyle name="EYCurrency 6 3 2 2 2 2" xfId="32566"/>
    <cellStyle name="EYCurrency 6 3 2 2 3" xfId="19262"/>
    <cellStyle name="EYCurrency 6 3 2 3" xfId="14529"/>
    <cellStyle name="EYCurrency 6 3 2 3 2" xfId="31670"/>
    <cellStyle name="EYCurrency 6 3 2 4" xfId="18364"/>
    <cellStyle name="EYCurrency 6 3 3" xfId="1724"/>
    <cellStyle name="EYCurrency 6 3 3 2" xfId="15030"/>
    <cellStyle name="EYCurrency 6 3 3 2 2" xfId="32171"/>
    <cellStyle name="EYCurrency 6 3 3 3" xfId="18867"/>
    <cellStyle name="EYCurrency 6 3 4" xfId="14125"/>
    <cellStyle name="EYCurrency 6 3 4 2" xfId="31266"/>
    <cellStyle name="EYCurrency 6 3 5" xfId="17911"/>
    <cellStyle name="EYCurrency 6 4" xfId="1026"/>
    <cellStyle name="EYCurrency 6 4 2" xfId="1423"/>
    <cellStyle name="EYCurrency 6 4 2 2" xfId="2321"/>
    <cellStyle name="EYCurrency 6 4 2 2 2" xfId="15627"/>
    <cellStyle name="EYCurrency 6 4 2 2 2 2" xfId="32768"/>
    <cellStyle name="EYCurrency 6 4 2 2 3" xfId="19464"/>
    <cellStyle name="EYCurrency 6 4 2 3" xfId="14731"/>
    <cellStyle name="EYCurrency 6 4 2 3 2" xfId="31872"/>
    <cellStyle name="EYCurrency 6 4 2 4" xfId="18566"/>
    <cellStyle name="EYCurrency 6 4 3" xfId="1933"/>
    <cellStyle name="EYCurrency 6 4 3 2" xfId="15239"/>
    <cellStyle name="EYCurrency 6 4 3 2 2" xfId="32380"/>
    <cellStyle name="EYCurrency 6 4 3 3" xfId="19076"/>
    <cellStyle name="EYCurrency 6 4 4" xfId="14334"/>
    <cellStyle name="EYCurrency 6 4 4 2" xfId="31475"/>
    <cellStyle name="EYCurrency 6 4 5" xfId="18169"/>
    <cellStyle name="EYCurrency 6 5" xfId="1124"/>
    <cellStyle name="EYCurrency 6 5 2" xfId="2026"/>
    <cellStyle name="EYCurrency 6 5 2 2" xfId="15332"/>
    <cellStyle name="EYCurrency 6 5 2 2 2" xfId="32473"/>
    <cellStyle name="EYCurrency 6 5 2 3" xfId="19169"/>
    <cellStyle name="EYCurrency 6 5 3" xfId="14432"/>
    <cellStyle name="EYCurrency 6 5 3 2" xfId="31573"/>
    <cellStyle name="EYCurrency 6 5 4" xfId="18267"/>
    <cellStyle name="EYCurrency 6 6" xfId="1519"/>
    <cellStyle name="EYCurrency 6 6 2" xfId="2416"/>
    <cellStyle name="EYCurrency 6 6 2 2" xfId="15722"/>
    <cellStyle name="EYCurrency 6 6 2 2 2" xfId="32863"/>
    <cellStyle name="EYCurrency 6 6 2 3" xfId="19559"/>
    <cellStyle name="EYCurrency 6 6 3" xfId="14826"/>
    <cellStyle name="EYCurrency 6 6 3 2" xfId="31967"/>
    <cellStyle name="EYCurrency 6 6 4" xfId="18662"/>
    <cellStyle name="EYCurrency 6 7" xfId="660"/>
    <cellStyle name="EYCurrency 6 7 2" xfId="14027"/>
    <cellStyle name="EYCurrency 6 7 2 2" xfId="31168"/>
    <cellStyle name="EYCurrency 6 7 3" xfId="17803"/>
    <cellStyle name="EYCurrency 6 8" xfId="1624"/>
    <cellStyle name="EYCurrency 6 8 2" xfId="14930"/>
    <cellStyle name="EYCurrency 6 8 2 2" xfId="32071"/>
    <cellStyle name="EYCurrency 6 8 3" xfId="18767"/>
    <cellStyle name="EYCurrency 6 9" xfId="12920"/>
    <cellStyle name="EYCurrency 6 9 2" xfId="16278"/>
    <cellStyle name="EYCurrency 6 9 2 2" xfId="33419"/>
    <cellStyle name="EYCurrency 6 9 3" xfId="30061"/>
    <cellStyle name="EYCurrency 7" xfId="440"/>
    <cellStyle name="EYCurrency 7 10" xfId="13039"/>
    <cellStyle name="EYCurrency 7 10 2" xfId="16390"/>
    <cellStyle name="EYCurrency 7 10 2 2" xfId="33531"/>
    <cellStyle name="EYCurrency 7 10 3" xfId="30180"/>
    <cellStyle name="EYCurrency 7 11" xfId="13122"/>
    <cellStyle name="EYCurrency 7 11 2" xfId="16473"/>
    <cellStyle name="EYCurrency 7 11 2 2" xfId="33614"/>
    <cellStyle name="EYCurrency 7 11 3" xfId="30263"/>
    <cellStyle name="EYCurrency 7 12" xfId="13212"/>
    <cellStyle name="EYCurrency 7 12 2" xfId="16563"/>
    <cellStyle name="EYCurrency 7 12 2 2" xfId="33704"/>
    <cellStyle name="EYCurrency 7 12 3" xfId="30353"/>
    <cellStyle name="EYCurrency 7 13" xfId="13222"/>
    <cellStyle name="EYCurrency 7 13 2" xfId="16573"/>
    <cellStyle name="EYCurrency 7 13 2 2" xfId="33714"/>
    <cellStyle name="EYCurrency 7 13 3" xfId="30363"/>
    <cellStyle name="EYCurrency 7 14" xfId="13390"/>
    <cellStyle name="EYCurrency 7 14 2" xfId="16741"/>
    <cellStyle name="EYCurrency 7 14 2 2" xfId="33882"/>
    <cellStyle name="EYCurrency 7 14 3" xfId="30531"/>
    <cellStyle name="EYCurrency 7 15" xfId="13464"/>
    <cellStyle name="EYCurrency 7 15 2" xfId="16815"/>
    <cellStyle name="EYCurrency 7 15 2 2" xfId="33956"/>
    <cellStyle name="EYCurrency 7 15 3" xfId="30605"/>
    <cellStyle name="EYCurrency 7 16" xfId="13527"/>
    <cellStyle name="EYCurrency 7 16 2" xfId="16878"/>
    <cellStyle name="EYCurrency 7 16 2 2" xfId="34019"/>
    <cellStyle name="EYCurrency 7 16 3" xfId="30668"/>
    <cellStyle name="EYCurrency 7 17" xfId="13595"/>
    <cellStyle name="EYCurrency 7 17 2" xfId="16946"/>
    <cellStyle name="EYCurrency 7 17 2 2" xfId="34087"/>
    <cellStyle name="EYCurrency 7 17 3" xfId="30736"/>
    <cellStyle name="EYCurrency 7 18" xfId="13658"/>
    <cellStyle name="EYCurrency 7 18 2" xfId="17009"/>
    <cellStyle name="EYCurrency 7 18 2 2" xfId="34150"/>
    <cellStyle name="EYCurrency 7 18 3" xfId="30799"/>
    <cellStyle name="EYCurrency 7 19" xfId="13699"/>
    <cellStyle name="EYCurrency 7 19 2" xfId="17050"/>
    <cellStyle name="EYCurrency 7 19 2 2" xfId="34191"/>
    <cellStyle name="EYCurrency 7 19 3" xfId="30840"/>
    <cellStyle name="EYCurrency 7 2" xfId="918"/>
    <cellStyle name="EYCurrency 7 2 2" xfId="1331"/>
    <cellStyle name="EYCurrency 7 2 2 2" xfId="2229"/>
    <cellStyle name="EYCurrency 7 2 2 2 2" xfId="15535"/>
    <cellStyle name="EYCurrency 7 2 2 2 2 2" xfId="32676"/>
    <cellStyle name="EYCurrency 7 2 2 2 3" xfId="19372"/>
    <cellStyle name="EYCurrency 7 2 2 3" xfId="14639"/>
    <cellStyle name="EYCurrency 7 2 2 3 2" xfId="31780"/>
    <cellStyle name="EYCurrency 7 2 2 4" xfId="18474"/>
    <cellStyle name="EYCurrency 7 2 3" xfId="1834"/>
    <cellStyle name="EYCurrency 7 2 3 2" xfId="15140"/>
    <cellStyle name="EYCurrency 7 2 3 2 2" xfId="32281"/>
    <cellStyle name="EYCurrency 7 2 3 3" xfId="18977"/>
    <cellStyle name="EYCurrency 7 2 4" xfId="14235"/>
    <cellStyle name="EYCurrency 7 2 4 2" xfId="31376"/>
    <cellStyle name="EYCurrency 7 2 5" xfId="18061"/>
    <cellStyle name="EYCurrency 7 20" xfId="13921"/>
    <cellStyle name="EYCurrency 7 20 2" xfId="31062"/>
    <cellStyle name="EYCurrency 7 21" xfId="17583"/>
    <cellStyle name="EYCurrency 7 3" xfId="772"/>
    <cellStyle name="EYCurrency 7 3 2" xfId="1225"/>
    <cellStyle name="EYCurrency 7 3 2 2" xfId="2123"/>
    <cellStyle name="EYCurrency 7 3 2 2 2" xfId="15429"/>
    <cellStyle name="EYCurrency 7 3 2 2 2 2" xfId="32570"/>
    <cellStyle name="EYCurrency 7 3 2 2 3" xfId="19266"/>
    <cellStyle name="EYCurrency 7 3 2 3" xfId="14533"/>
    <cellStyle name="EYCurrency 7 3 2 3 2" xfId="31674"/>
    <cellStyle name="EYCurrency 7 3 2 4" xfId="18368"/>
    <cellStyle name="EYCurrency 7 3 3" xfId="1728"/>
    <cellStyle name="EYCurrency 7 3 3 2" xfId="15034"/>
    <cellStyle name="EYCurrency 7 3 3 2 2" xfId="32175"/>
    <cellStyle name="EYCurrency 7 3 3 3" xfId="18871"/>
    <cellStyle name="EYCurrency 7 3 4" xfId="14129"/>
    <cellStyle name="EYCurrency 7 3 4 2" xfId="31270"/>
    <cellStyle name="EYCurrency 7 3 5" xfId="17915"/>
    <cellStyle name="EYCurrency 7 4" xfId="1031"/>
    <cellStyle name="EYCurrency 7 4 2" xfId="1427"/>
    <cellStyle name="EYCurrency 7 4 2 2" xfId="2325"/>
    <cellStyle name="EYCurrency 7 4 2 2 2" xfId="15631"/>
    <cellStyle name="EYCurrency 7 4 2 2 2 2" xfId="32772"/>
    <cellStyle name="EYCurrency 7 4 2 2 3" xfId="19468"/>
    <cellStyle name="EYCurrency 7 4 2 3" xfId="14735"/>
    <cellStyle name="EYCurrency 7 4 2 3 2" xfId="31876"/>
    <cellStyle name="EYCurrency 7 4 2 4" xfId="18570"/>
    <cellStyle name="EYCurrency 7 4 3" xfId="1938"/>
    <cellStyle name="EYCurrency 7 4 3 2" xfId="15244"/>
    <cellStyle name="EYCurrency 7 4 3 2 2" xfId="32385"/>
    <cellStyle name="EYCurrency 7 4 3 3" xfId="19081"/>
    <cellStyle name="EYCurrency 7 4 4" xfId="14339"/>
    <cellStyle name="EYCurrency 7 4 4 2" xfId="31480"/>
    <cellStyle name="EYCurrency 7 4 5" xfId="18174"/>
    <cellStyle name="EYCurrency 7 5" xfId="1128"/>
    <cellStyle name="EYCurrency 7 5 2" xfId="2030"/>
    <cellStyle name="EYCurrency 7 5 2 2" xfId="15336"/>
    <cellStyle name="EYCurrency 7 5 2 2 2" xfId="32477"/>
    <cellStyle name="EYCurrency 7 5 2 3" xfId="19173"/>
    <cellStyle name="EYCurrency 7 5 3" xfId="14436"/>
    <cellStyle name="EYCurrency 7 5 3 2" xfId="31577"/>
    <cellStyle name="EYCurrency 7 5 4" xfId="18271"/>
    <cellStyle name="EYCurrency 7 6" xfId="1523"/>
    <cellStyle name="EYCurrency 7 6 2" xfId="2420"/>
    <cellStyle name="EYCurrency 7 6 2 2" xfId="15726"/>
    <cellStyle name="EYCurrency 7 6 2 2 2" xfId="32867"/>
    <cellStyle name="EYCurrency 7 6 2 3" xfId="19563"/>
    <cellStyle name="EYCurrency 7 6 3" xfId="14830"/>
    <cellStyle name="EYCurrency 7 6 3 2" xfId="31971"/>
    <cellStyle name="EYCurrency 7 6 4" xfId="18666"/>
    <cellStyle name="EYCurrency 7 7" xfId="666"/>
    <cellStyle name="EYCurrency 7 7 2" xfId="14032"/>
    <cellStyle name="EYCurrency 7 7 2 2" xfId="31173"/>
    <cellStyle name="EYCurrency 7 7 3" xfId="17809"/>
    <cellStyle name="EYCurrency 7 8" xfId="1629"/>
    <cellStyle name="EYCurrency 7 8 2" xfId="14935"/>
    <cellStyle name="EYCurrency 7 8 2 2" xfId="32076"/>
    <cellStyle name="EYCurrency 7 8 3" xfId="18772"/>
    <cellStyle name="EYCurrency 7 9" xfId="12927"/>
    <cellStyle name="EYCurrency 7 9 2" xfId="16285"/>
    <cellStyle name="EYCurrency 7 9 2 2" xfId="33426"/>
    <cellStyle name="EYCurrency 7 9 3" xfId="30068"/>
    <cellStyle name="EYCurrency 8" xfId="466"/>
    <cellStyle name="EYCurrency 8 10" xfId="13062"/>
    <cellStyle name="EYCurrency 8 10 2" xfId="16413"/>
    <cellStyle name="EYCurrency 8 10 2 2" xfId="33554"/>
    <cellStyle name="EYCurrency 8 10 3" xfId="30203"/>
    <cellStyle name="EYCurrency 8 11" xfId="13142"/>
    <cellStyle name="EYCurrency 8 11 2" xfId="16493"/>
    <cellStyle name="EYCurrency 8 11 2 2" xfId="33634"/>
    <cellStyle name="EYCurrency 8 11 3" xfId="30283"/>
    <cellStyle name="EYCurrency 8 12" xfId="13234"/>
    <cellStyle name="EYCurrency 8 12 2" xfId="16585"/>
    <cellStyle name="EYCurrency 8 12 2 2" xfId="33726"/>
    <cellStyle name="EYCurrency 8 12 3" xfId="30375"/>
    <cellStyle name="EYCurrency 8 13" xfId="13321"/>
    <cellStyle name="EYCurrency 8 13 2" xfId="16672"/>
    <cellStyle name="EYCurrency 8 13 2 2" xfId="33813"/>
    <cellStyle name="EYCurrency 8 13 3" xfId="30462"/>
    <cellStyle name="EYCurrency 8 14" xfId="13408"/>
    <cellStyle name="EYCurrency 8 14 2" xfId="16759"/>
    <cellStyle name="EYCurrency 8 14 2 2" xfId="33900"/>
    <cellStyle name="EYCurrency 8 14 3" xfId="30549"/>
    <cellStyle name="EYCurrency 8 15" xfId="13483"/>
    <cellStyle name="EYCurrency 8 15 2" xfId="16834"/>
    <cellStyle name="EYCurrency 8 15 2 2" xfId="33975"/>
    <cellStyle name="EYCurrency 8 15 3" xfId="30624"/>
    <cellStyle name="EYCurrency 8 16" xfId="13546"/>
    <cellStyle name="EYCurrency 8 16 2" xfId="16897"/>
    <cellStyle name="EYCurrency 8 16 2 2" xfId="34038"/>
    <cellStyle name="EYCurrency 8 16 3" xfId="30687"/>
    <cellStyle name="EYCurrency 8 17" xfId="13611"/>
    <cellStyle name="EYCurrency 8 17 2" xfId="16962"/>
    <cellStyle name="EYCurrency 8 17 2 2" xfId="34103"/>
    <cellStyle name="EYCurrency 8 17 3" xfId="30752"/>
    <cellStyle name="EYCurrency 8 18" xfId="13674"/>
    <cellStyle name="EYCurrency 8 18 2" xfId="17025"/>
    <cellStyle name="EYCurrency 8 18 2 2" xfId="34166"/>
    <cellStyle name="EYCurrency 8 18 3" xfId="30815"/>
    <cellStyle name="EYCurrency 8 19" xfId="13819"/>
    <cellStyle name="EYCurrency 8 19 2" xfId="17158"/>
    <cellStyle name="EYCurrency 8 19 2 2" xfId="34299"/>
    <cellStyle name="EYCurrency 8 19 3" xfId="30960"/>
    <cellStyle name="EYCurrency 8 2" xfId="935"/>
    <cellStyle name="EYCurrency 8 2 2" xfId="1347"/>
    <cellStyle name="EYCurrency 8 2 2 2" xfId="2245"/>
    <cellStyle name="EYCurrency 8 2 2 2 2" xfId="15551"/>
    <cellStyle name="EYCurrency 8 2 2 2 2 2" xfId="32692"/>
    <cellStyle name="EYCurrency 8 2 2 2 3" xfId="19388"/>
    <cellStyle name="EYCurrency 8 2 2 3" xfId="14655"/>
    <cellStyle name="EYCurrency 8 2 2 3 2" xfId="31796"/>
    <cellStyle name="EYCurrency 8 2 2 4" xfId="18490"/>
    <cellStyle name="EYCurrency 8 2 3" xfId="1850"/>
    <cellStyle name="EYCurrency 8 2 3 2" xfId="15156"/>
    <cellStyle name="EYCurrency 8 2 3 2 2" xfId="32297"/>
    <cellStyle name="EYCurrency 8 2 3 3" xfId="18993"/>
    <cellStyle name="EYCurrency 8 2 4" xfId="14251"/>
    <cellStyle name="EYCurrency 8 2 4 2" xfId="31392"/>
    <cellStyle name="EYCurrency 8 2 5" xfId="18078"/>
    <cellStyle name="EYCurrency 8 20" xfId="13937"/>
    <cellStyle name="EYCurrency 8 20 2" xfId="31078"/>
    <cellStyle name="EYCurrency 8 21" xfId="17609"/>
    <cellStyle name="EYCurrency 8 3" xfId="785"/>
    <cellStyle name="EYCurrency 8 3 2" xfId="1238"/>
    <cellStyle name="EYCurrency 8 3 2 2" xfId="2136"/>
    <cellStyle name="EYCurrency 8 3 2 2 2" xfId="15442"/>
    <cellStyle name="EYCurrency 8 3 2 2 2 2" xfId="32583"/>
    <cellStyle name="EYCurrency 8 3 2 2 3" xfId="19279"/>
    <cellStyle name="EYCurrency 8 3 2 3" xfId="14546"/>
    <cellStyle name="EYCurrency 8 3 2 3 2" xfId="31687"/>
    <cellStyle name="EYCurrency 8 3 2 4" xfId="18381"/>
    <cellStyle name="EYCurrency 8 3 3" xfId="1741"/>
    <cellStyle name="EYCurrency 8 3 3 2" xfId="15047"/>
    <cellStyle name="EYCurrency 8 3 3 2 2" xfId="32188"/>
    <cellStyle name="EYCurrency 8 3 3 3" xfId="18884"/>
    <cellStyle name="EYCurrency 8 3 4" xfId="14142"/>
    <cellStyle name="EYCurrency 8 3 4 2" xfId="31283"/>
    <cellStyle name="EYCurrency 8 3 5" xfId="17928"/>
    <cellStyle name="EYCurrency 8 4" xfId="1045"/>
    <cellStyle name="EYCurrency 8 4 2" xfId="1440"/>
    <cellStyle name="EYCurrency 8 4 2 2" xfId="2338"/>
    <cellStyle name="EYCurrency 8 4 2 2 2" xfId="15644"/>
    <cellStyle name="EYCurrency 8 4 2 2 2 2" xfId="32785"/>
    <cellStyle name="EYCurrency 8 4 2 2 3" xfId="19481"/>
    <cellStyle name="EYCurrency 8 4 2 3" xfId="14748"/>
    <cellStyle name="EYCurrency 8 4 2 3 2" xfId="31889"/>
    <cellStyle name="EYCurrency 8 4 2 4" xfId="18583"/>
    <cellStyle name="EYCurrency 8 4 3" xfId="1952"/>
    <cellStyle name="EYCurrency 8 4 3 2" xfId="15258"/>
    <cellStyle name="EYCurrency 8 4 3 2 2" xfId="32399"/>
    <cellStyle name="EYCurrency 8 4 3 3" xfId="19095"/>
    <cellStyle name="EYCurrency 8 4 4" xfId="14353"/>
    <cellStyle name="EYCurrency 8 4 4 2" xfId="31494"/>
    <cellStyle name="EYCurrency 8 4 5" xfId="18188"/>
    <cellStyle name="EYCurrency 8 5" xfId="1143"/>
    <cellStyle name="EYCurrency 8 5 2" xfId="2043"/>
    <cellStyle name="EYCurrency 8 5 2 2" xfId="15349"/>
    <cellStyle name="EYCurrency 8 5 2 2 2" xfId="32490"/>
    <cellStyle name="EYCurrency 8 5 2 3" xfId="19186"/>
    <cellStyle name="EYCurrency 8 5 3" xfId="14451"/>
    <cellStyle name="EYCurrency 8 5 3 2" xfId="31592"/>
    <cellStyle name="EYCurrency 8 5 4" xfId="18286"/>
    <cellStyle name="EYCurrency 8 6" xfId="1536"/>
    <cellStyle name="EYCurrency 8 6 2" xfId="2433"/>
    <cellStyle name="EYCurrency 8 6 2 2" xfId="15739"/>
    <cellStyle name="EYCurrency 8 6 2 2 2" xfId="32880"/>
    <cellStyle name="EYCurrency 8 6 2 3" xfId="19576"/>
    <cellStyle name="EYCurrency 8 6 3" xfId="14843"/>
    <cellStyle name="EYCurrency 8 6 3 2" xfId="31984"/>
    <cellStyle name="EYCurrency 8 6 4" xfId="18679"/>
    <cellStyle name="EYCurrency 8 7" xfId="682"/>
    <cellStyle name="EYCurrency 8 7 2" xfId="14047"/>
    <cellStyle name="EYCurrency 8 7 2 2" xfId="31188"/>
    <cellStyle name="EYCurrency 8 7 3" xfId="17825"/>
    <cellStyle name="EYCurrency 8 8" xfId="1645"/>
    <cellStyle name="EYCurrency 8 8 2" xfId="14951"/>
    <cellStyle name="EYCurrency 8 8 2 2" xfId="32092"/>
    <cellStyle name="EYCurrency 8 8 3" xfId="18788"/>
    <cellStyle name="EYCurrency 8 9" xfId="12950"/>
    <cellStyle name="EYCurrency 8 9 2" xfId="16308"/>
    <cellStyle name="EYCurrency 8 9 2 2" xfId="33449"/>
    <cellStyle name="EYCurrency 8 9 3" xfId="30091"/>
    <cellStyle name="EYCurrency 9" xfId="471"/>
    <cellStyle name="EYCurrency 9 10" xfId="13066"/>
    <cellStyle name="EYCurrency 9 10 2" xfId="16417"/>
    <cellStyle name="EYCurrency 9 10 2 2" xfId="33558"/>
    <cellStyle name="EYCurrency 9 10 3" xfId="30207"/>
    <cellStyle name="EYCurrency 9 11" xfId="13146"/>
    <cellStyle name="EYCurrency 9 11 2" xfId="16497"/>
    <cellStyle name="EYCurrency 9 11 2 2" xfId="33638"/>
    <cellStyle name="EYCurrency 9 11 3" xfId="30287"/>
    <cellStyle name="EYCurrency 9 12" xfId="13239"/>
    <cellStyle name="EYCurrency 9 12 2" xfId="16590"/>
    <cellStyle name="EYCurrency 9 12 2 2" xfId="33731"/>
    <cellStyle name="EYCurrency 9 12 3" xfId="30380"/>
    <cellStyle name="EYCurrency 9 13" xfId="13326"/>
    <cellStyle name="EYCurrency 9 13 2" xfId="16677"/>
    <cellStyle name="EYCurrency 9 13 2 2" xfId="33818"/>
    <cellStyle name="EYCurrency 9 13 3" xfId="30467"/>
    <cellStyle name="EYCurrency 9 14" xfId="13413"/>
    <cellStyle name="EYCurrency 9 14 2" xfId="16764"/>
    <cellStyle name="EYCurrency 9 14 2 2" xfId="33905"/>
    <cellStyle name="EYCurrency 9 14 3" xfId="30554"/>
    <cellStyle name="EYCurrency 9 15" xfId="13487"/>
    <cellStyle name="EYCurrency 9 15 2" xfId="16838"/>
    <cellStyle name="EYCurrency 9 15 2 2" xfId="33979"/>
    <cellStyle name="EYCurrency 9 15 3" xfId="30628"/>
    <cellStyle name="EYCurrency 9 16" xfId="13550"/>
    <cellStyle name="EYCurrency 9 16 2" xfId="16901"/>
    <cellStyle name="EYCurrency 9 16 2 2" xfId="34042"/>
    <cellStyle name="EYCurrency 9 16 3" xfId="30691"/>
    <cellStyle name="EYCurrency 9 17" xfId="13616"/>
    <cellStyle name="EYCurrency 9 17 2" xfId="16967"/>
    <cellStyle name="EYCurrency 9 17 2 2" xfId="34108"/>
    <cellStyle name="EYCurrency 9 17 3" xfId="30757"/>
    <cellStyle name="EYCurrency 9 18" xfId="13678"/>
    <cellStyle name="EYCurrency 9 18 2" xfId="17029"/>
    <cellStyle name="EYCurrency 9 18 2 2" xfId="34170"/>
    <cellStyle name="EYCurrency 9 18 3" xfId="30819"/>
    <cellStyle name="EYCurrency 9 19" xfId="13823"/>
    <cellStyle name="EYCurrency 9 19 2" xfId="17162"/>
    <cellStyle name="EYCurrency 9 19 2 2" xfId="34303"/>
    <cellStyle name="EYCurrency 9 19 3" xfId="30964"/>
    <cellStyle name="EYCurrency 9 2" xfId="940"/>
    <cellStyle name="EYCurrency 9 2 2" xfId="1351"/>
    <cellStyle name="EYCurrency 9 2 2 2" xfId="2249"/>
    <cellStyle name="EYCurrency 9 2 2 2 2" xfId="15555"/>
    <cellStyle name="EYCurrency 9 2 2 2 2 2" xfId="32696"/>
    <cellStyle name="EYCurrency 9 2 2 2 3" xfId="19392"/>
    <cellStyle name="EYCurrency 9 2 2 3" xfId="14659"/>
    <cellStyle name="EYCurrency 9 2 2 3 2" xfId="31800"/>
    <cellStyle name="EYCurrency 9 2 2 4" xfId="18494"/>
    <cellStyle name="EYCurrency 9 2 3" xfId="1854"/>
    <cellStyle name="EYCurrency 9 2 3 2" xfId="15160"/>
    <cellStyle name="EYCurrency 9 2 3 2 2" xfId="32301"/>
    <cellStyle name="EYCurrency 9 2 3 3" xfId="18997"/>
    <cellStyle name="EYCurrency 9 2 4" xfId="14255"/>
    <cellStyle name="EYCurrency 9 2 4 2" xfId="31396"/>
    <cellStyle name="EYCurrency 9 2 5" xfId="18083"/>
    <cellStyle name="EYCurrency 9 20" xfId="13941"/>
    <cellStyle name="EYCurrency 9 20 2" xfId="31082"/>
    <cellStyle name="EYCurrency 9 21" xfId="17614"/>
    <cellStyle name="EYCurrency 9 3" xfId="788"/>
    <cellStyle name="EYCurrency 9 3 2" xfId="1241"/>
    <cellStyle name="EYCurrency 9 3 2 2" xfId="2139"/>
    <cellStyle name="EYCurrency 9 3 2 2 2" xfId="15445"/>
    <cellStyle name="EYCurrency 9 3 2 2 2 2" xfId="32586"/>
    <cellStyle name="EYCurrency 9 3 2 2 3" xfId="19282"/>
    <cellStyle name="EYCurrency 9 3 2 3" xfId="14549"/>
    <cellStyle name="EYCurrency 9 3 2 3 2" xfId="31690"/>
    <cellStyle name="EYCurrency 9 3 2 4" xfId="18384"/>
    <cellStyle name="EYCurrency 9 3 3" xfId="1744"/>
    <cellStyle name="EYCurrency 9 3 3 2" xfId="15050"/>
    <cellStyle name="EYCurrency 9 3 3 2 2" xfId="32191"/>
    <cellStyle name="EYCurrency 9 3 3 3" xfId="18887"/>
    <cellStyle name="EYCurrency 9 3 4" xfId="14145"/>
    <cellStyle name="EYCurrency 9 3 4 2" xfId="31286"/>
    <cellStyle name="EYCurrency 9 3 5" xfId="17931"/>
    <cellStyle name="EYCurrency 9 4" xfId="1048"/>
    <cellStyle name="EYCurrency 9 4 2" xfId="1443"/>
    <cellStyle name="EYCurrency 9 4 2 2" xfId="2341"/>
    <cellStyle name="EYCurrency 9 4 2 2 2" xfId="15647"/>
    <cellStyle name="EYCurrency 9 4 2 2 2 2" xfId="32788"/>
    <cellStyle name="EYCurrency 9 4 2 2 3" xfId="19484"/>
    <cellStyle name="EYCurrency 9 4 2 3" xfId="14751"/>
    <cellStyle name="EYCurrency 9 4 2 3 2" xfId="31892"/>
    <cellStyle name="EYCurrency 9 4 2 4" xfId="18586"/>
    <cellStyle name="EYCurrency 9 4 3" xfId="1955"/>
    <cellStyle name="EYCurrency 9 4 3 2" xfId="15261"/>
    <cellStyle name="EYCurrency 9 4 3 2 2" xfId="32402"/>
    <cellStyle name="EYCurrency 9 4 3 3" xfId="19098"/>
    <cellStyle name="EYCurrency 9 4 4" xfId="14356"/>
    <cellStyle name="EYCurrency 9 4 4 2" xfId="31497"/>
    <cellStyle name="EYCurrency 9 4 5" xfId="18191"/>
    <cellStyle name="EYCurrency 9 5" xfId="1147"/>
    <cellStyle name="EYCurrency 9 5 2" xfId="2046"/>
    <cellStyle name="EYCurrency 9 5 2 2" xfId="15352"/>
    <cellStyle name="EYCurrency 9 5 2 2 2" xfId="32493"/>
    <cellStyle name="EYCurrency 9 5 2 3" xfId="19189"/>
    <cellStyle name="EYCurrency 9 5 3" xfId="14455"/>
    <cellStyle name="EYCurrency 9 5 3 2" xfId="31596"/>
    <cellStyle name="EYCurrency 9 5 4" xfId="18290"/>
    <cellStyle name="EYCurrency 9 6" xfId="1539"/>
    <cellStyle name="EYCurrency 9 6 2" xfId="2436"/>
    <cellStyle name="EYCurrency 9 6 2 2" xfId="15742"/>
    <cellStyle name="EYCurrency 9 6 2 2 2" xfId="32883"/>
    <cellStyle name="EYCurrency 9 6 2 3" xfId="19579"/>
    <cellStyle name="EYCurrency 9 6 3" xfId="14846"/>
    <cellStyle name="EYCurrency 9 6 3 2" xfId="31987"/>
    <cellStyle name="EYCurrency 9 6 4" xfId="18682"/>
    <cellStyle name="EYCurrency 9 7" xfId="687"/>
    <cellStyle name="EYCurrency 9 7 2" xfId="14051"/>
    <cellStyle name="EYCurrency 9 7 2 2" xfId="31192"/>
    <cellStyle name="EYCurrency 9 7 3" xfId="17830"/>
    <cellStyle name="EYCurrency 9 8" xfId="1649"/>
    <cellStyle name="EYCurrency 9 8 2" xfId="14955"/>
    <cellStyle name="EYCurrency 9 8 2 2" xfId="32096"/>
    <cellStyle name="EYCurrency 9 8 3" xfId="18792"/>
    <cellStyle name="EYCurrency 9 9" xfId="12954"/>
    <cellStyle name="EYCurrency 9 9 2" xfId="16312"/>
    <cellStyle name="EYCurrency 9 9 2 2" xfId="33453"/>
    <cellStyle name="EYCurrency 9 9 3" xfId="30095"/>
    <cellStyle name="EYtext" xfId="177"/>
    <cellStyle name="EYtext 2" xfId="314"/>
    <cellStyle name="EYtext 2 2" xfId="17457"/>
    <cellStyle name="EYtext 3" xfId="17320"/>
    <cellStyle name="F2" xfId="36340"/>
    <cellStyle name="F3" xfId="36341"/>
    <cellStyle name="F4" xfId="36342"/>
    <cellStyle name="F5" xfId="36343"/>
    <cellStyle name="F6" xfId="36344"/>
    <cellStyle name="F7" xfId="36345"/>
    <cellStyle name="F8" xfId="36346"/>
    <cellStyle name="Fixed" xfId="151"/>
    <cellStyle name="fixed 0" xfId="36347"/>
    <cellStyle name="fixed 1" xfId="36348"/>
    <cellStyle name="Fixed 2" xfId="294"/>
    <cellStyle name="Fixed 2 2" xfId="17437"/>
    <cellStyle name="Fixed 2 2 2" xfId="35361"/>
    <cellStyle name="Fixed 2 3" xfId="35362"/>
    <cellStyle name="Fixed 2 4" xfId="35363"/>
    <cellStyle name="Fixed 2 5" xfId="35360"/>
    <cellStyle name="Fixed 3" xfId="17296"/>
    <cellStyle name="Fixed 3 2" xfId="35364"/>
    <cellStyle name="Fixed 4" xfId="35365"/>
    <cellStyle name="Fixed 5" xfId="35366"/>
    <cellStyle name="Fixed 6" xfId="35367"/>
    <cellStyle name="Fixed 7" xfId="35368"/>
    <cellStyle name="Fixed 8" xfId="35359"/>
    <cellStyle name="Fixed_투자비 추정_하이퐁(대안1)_v11" xfId="36349"/>
    <cellStyle name="Followed Hyperlink" xfId="36350"/>
    <cellStyle name="Footnote" xfId="36351"/>
    <cellStyle name="Good" xfId="36352"/>
    <cellStyle name="Grey" xfId="110"/>
    <cellStyle name="Grey 2" xfId="261"/>
    <cellStyle name="Grey 2 2" xfId="17404"/>
    <cellStyle name="Grey 2 2 2" xfId="35371"/>
    <cellStyle name="Grey 2 3" xfId="35372"/>
    <cellStyle name="Grey 2 4" xfId="35373"/>
    <cellStyle name="Grey 2 5" xfId="35370"/>
    <cellStyle name="Grey 3" xfId="17263"/>
    <cellStyle name="Grey 3 2" xfId="35374"/>
    <cellStyle name="Grey 4" xfId="35375"/>
    <cellStyle name="Grey 5" xfId="35376"/>
    <cellStyle name="Grey 6" xfId="35377"/>
    <cellStyle name="Grey 7" xfId="35378"/>
    <cellStyle name="Grey 8" xfId="35379"/>
    <cellStyle name="Grey 9" xfId="35369"/>
    <cellStyle name="HDR" xfId="36353"/>
    <cellStyle name="Head table" xfId="36354"/>
    <cellStyle name="HEADER" xfId="111"/>
    <cellStyle name="HEADER 2" xfId="262"/>
    <cellStyle name="HEADER 2 2" xfId="17405"/>
    <cellStyle name="HEADER 3" xfId="17264"/>
    <cellStyle name="HEADER 4" xfId="35380"/>
    <cellStyle name="Header1" xfId="112"/>
    <cellStyle name="Header1 2" xfId="263"/>
    <cellStyle name="Header1 2 2" xfId="17406"/>
    <cellStyle name="Header1 3" xfId="17265"/>
    <cellStyle name="Header1 4" xfId="35381"/>
    <cellStyle name="Header2" xfId="113"/>
    <cellStyle name="Header2 10" xfId="461"/>
    <cellStyle name="Header2 10 10" xfId="13202"/>
    <cellStyle name="Header2 10 10 2" xfId="16553"/>
    <cellStyle name="Header2 10 10 2 2" xfId="33694"/>
    <cellStyle name="Header2 10 10 3" xfId="30343"/>
    <cellStyle name="Header2 10 11" xfId="13403"/>
    <cellStyle name="Header2 10 11 2" xfId="16754"/>
    <cellStyle name="Header2 10 11 2 2" xfId="33895"/>
    <cellStyle name="Header2 10 11 3" xfId="30544"/>
    <cellStyle name="Header2 10 12" xfId="13541"/>
    <cellStyle name="Header2 10 12 2" xfId="16892"/>
    <cellStyle name="Header2 10 12 2 2" xfId="34033"/>
    <cellStyle name="Header2 10 12 3" xfId="30682"/>
    <cellStyle name="Header2 10 13" xfId="13606"/>
    <cellStyle name="Header2 10 13 2" xfId="16957"/>
    <cellStyle name="Header2 10 13 2 2" xfId="34098"/>
    <cellStyle name="Header2 10 13 3" xfId="30747"/>
    <cellStyle name="Header2 10 14" xfId="13669"/>
    <cellStyle name="Header2 10 14 2" xfId="17020"/>
    <cellStyle name="Header2 10 14 2 2" xfId="34161"/>
    <cellStyle name="Header2 10 14 3" xfId="30810"/>
    <cellStyle name="Header2 10 15" xfId="13722"/>
    <cellStyle name="Header2 10 15 2" xfId="17073"/>
    <cellStyle name="Header2 10 15 2 2" xfId="34214"/>
    <cellStyle name="Header2 10 15 3" xfId="30863"/>
    <cellStyle name="Header2 10 16" xfId="13932"/>
    <cellStyle name="Header2 10 16 2" xfId="31073"/>
    <cellStyle name="Header2 10 17" xfId="17604"/>
    <cellStyle name="Header2 10 2" xfId="930"/>
    <cellStyle name="Header2 10 2 2" xfId="1342"/>
    <cellStyle name="Header2 10 2 2 2" xfId="2240"/>
    <cellStyle name="Header2 10 2 2 2 2" xfId="15546"/>
    <cellStyle name="Header2 10 2 2 2 2 2" xfId="32687"/>
    <cellStyle name="Header2 10 2 2 2 3" xfId="19383"/>
    <cellStyle name="Header2 10 2 2 3" xfId="14650"/>
    <cellStyle name="Header2 10 2 2 3 2" xfId="31791"/>
    <cellStyle name="Header2 10 2 2 4" xfId="18485"/>
    <cellStyle name="Header2 10 2 3" xfId="1845"/>
    <cellStyle name="Header2 10 2 3 2" xfId="15151"/>
    <cellStyle name="Header2 10 2 3 2 2" xfId="32292"/>
    <cellStyle name="Header2 10 2 3 3" xfId="18988"/>
    <cellStyle name="Header2 10 2 4" xfId="14246"/>
    <cellStyle name="Header2 10 2 4 2" xfId="31387"/>
    <cellStyle name="Header2 10 2 5" xfId="18073"/>
    <cellStyle name="Header2 10 3" xfId="1139"/>
    <cellStyle name="Header2 10 3 2" xfId="14447"/>
    <cellStyle name="Header2 10 3 2 2" xfId="31588"/>
    <cellStyle name="Header2 10 3 3" xfId="18282"/>
    <cellStyle name="Header2 10 4" xfId="678"/>
    <cellStyle name="Header2 10 4 2" xfId="14043"/>
    <cellStyle name="Header2 10 4 2 2" xfId="31184"/>
    <cellStyle name="Header2 10 4 3" xfId="17821"/>
    <cellStyle name="Header2 10 5" xfId="1640"/>
    <cellStyle name="Header2 10 5 2" xfId="14946"/>
    <cellStyle name="Header2 10 5 2 2" xfId="32087"/>
    <cellStyle name="Header2 10 5 3" xfId="18783"/>
    <cellStyle name="Header2 10 6" xfId="12945"/>
    <cellStyle name="Header2 10 6 2" xfId="16303"/>
    <cellStyle name="Header2 10 6 2 2" xfId="33444"/>
    <cellStyle name="Header2 10 6 3" xfId="30086"/>
    <cellStyle name="Header2 10 7" xfId="13057"/>
    <cellStyle name="Header2 10 7 2" xfId="16408"/>
    <cellStyle name="Header2 10 7 2 2" xfId="33549"/>
    <cellStyle name="Header2 10 7 3" xfId="30198"/>
    <cellStyle name="Header2 10 8" xfId="13137"/>
    <cellStyle name="Header2 10 8 2" xfId="16488"/>
    <cellStyle name="Header2 10 8 2 2" xfId="33629"/>
    <cellStyle name="Header2 10 8 3" xfId="30278"/>
    <cellStyle name="Header2 10 9" xfId="13229"/>
    <cellStyle name="Header2 10 9 2" xfId="16580"/>
    <cellStyle name="Header2 10 9 2 2" xfId="33721"/>
    <cellStyle name="Header2 10 9 3" xfId="30370"/>
    <cellStyle name="Header2 11" xfId="2497"/>
    <cellStyle name="Header2 11 2" xfId="19638"/>
    <cellStyle name="Header2 12" xfId="2498"/>
    <cellStyle name="Header2 12 2" xfId="19639"/>
    <cellStyle name="Header2 13" xfId="2499"/>
    <cellStyle name="Header2 13 2" xfId="19640"/>
    <cellStyle name="Header2 14" xfId="2500"/>
    <cellStyle name="Header2 14 2" xfId="19641"/>
    <cellStyle name="Header2 15" xfId="2501"/>
    <cellStyle name="Header2 15 2" xfId="19642"/>
    <cellStyle name="Header2 16" xfId="2502"/>
    <cellStyle name="Header2 16 2" xfId="19643"/>
    <cellStyle name="Header2 17" xfId="2503"/>
    <cellStyle name="Header2 17 2" xfId="19644"/>
    <cellStyle name="Header2 18" xfId="2504"/>
    <cellStyle name="Header2 18 2" xfId="19645"/>
    <cellStyle name="Header2 19" xfId="2505"/>
    <cellStyle name="Header2 19 2" xfId="19646"/>
    <cellStyle name="Header2 2" xfId="264"/>
    <cellStyle name="Header2 2 10" xfId="13002"/>
    <cellStyle name="Header2 2 10 2" xfId="16353"/>
    <cellStyle name="Header2 2 10 2 2" xfId="33494"/>
    <cellStyle name="Header2 2 10 3" xfId="30143"/>
    <cellStyle name="Header2 2 11" xfId="13389"/>
    <cellStyle name="Header2 2 11 2" xfId="16740"/>
    <cellStyle name="Header2 2 11 2 2" xfId="33881"/>
    <cellStyle name="Header2 2 11 3" xfId="30530"/>
    <cellStyle name="Header2 2 12" xfId="13759"/>
    <cellStyle name="Header2 2 12 2" xfId="17110"/>
    <cellStyle name="Header2 2 12 2 2" xfId="34251"/>
    <cellStyle name="Header2 2 12 3" xfId="30900"/>
    <cellStyle name="Header2 2 13" xfId="13726"/>
    <cellStyle name="Header2 2 13 2" xfId="17077"/>
    <cellStyle name="Header2 2 13 2 2" xfId="34218"/>
    <cellStyle name="Header2 2 13 3" xfId="30867"/>
    <cellStyle name="Header2 2 14" xfId="13850"/>
    <cellStyle name="Header2 2 14 2" xfId="30991"/>
    <cellStyle name="Header2 2 15" xfId="17407"/>
    <cellStyle name="Header2 2 2" xfId="819"/>
    <cellStyle name="Header2 2 2 2" xfId="1260"/>
    <cellStyle name="Header2 2 2 2 2" xfId="2158"/>
    <cellStyle name="Header2 2 2 2 2 2" xfId="15464"/>
    <cellStyle name="Header2 2 2 2 2 2 2" xfId="32605"/>
    <cellStyle name="Header2 2 2 2 2 3" xfId="19301"/>
    <cellStyle name="Header2 2 2 2 3" xfId="14568"/>
    <cellStyle name="Header2 2 2 2 3 2" xfId="31709"/>
    <cellStyle name="Header2 2 2 2 4" xfId="18403"/>
    <cellStyle name="Header2 2 2 3" xfId="1763"/>
    <cellStyle name="Header2 2 2 3 2" xfId="15069"/>
    <cellStyle name="Header2 2 2 3 2 2" xfId="32210"/>
    <cellStyle name="Header2 2 2 3 3" xfId="18906"/>
    <cellStyle name="Header2 2 2 4" xfId="14164"/>
    <cellStyle name="Header2 2 2 4 2" xfId="31305"/>
    <cellStyle name="Header2 2 2 5" xfId="17962"/>
    <cellStyle name="Header2 2 3" xfId="713"/>
    <cellStyle name="Header2 2 3 2" xfId="1166"/>
    <cellStyle name="Header2 2 3 2 2" xfId="14474"/>
    <cellStyle name="Header2 2 3 2 2 2" xfId="31615"/>
    <cellStyle name="Header2 2 3 2 3" xfId="18309"/>
    <cellStyle name="Header2 2 3 3" xfId="1456"/>
    <cellStyle name="Header2 2 3 3 2" xfId="2354"/>
    <cellStyle name="Header2 2 3 3 2 2" xfId="15660"/>
    <cellStyle name="Header2 2 3 3 2 2 2" xfId="32801"/>
    <cellStyle name="Header2 2 3 3 2 3" xfId="19497"/>
    <cellStyle name="Header2 2 3 3 3" xfId="14764"/>
    <cellStyle name="Header2 2 3 3 3 2" xfId="31905"/>
    <cellStyle name="Header2 2 3 3 4" xfId="18599"/>
    <cellStyle name="Header2 2 3 4" xfId="1669"/>
    <cellStyle name="Header2 2 3 4 2" xfId="14975"/>
    <cellStyle name="Header2 2 3 4 2 2" xfId="32116"/>
    <cellStyle name="Header2 2 3 4 3" xfId="18812"/>
    <cellStyle name="Header2 2 3 5" xfId="14070"/>
    <cellStyle name="Header2 2 3 5 2" xfId="31211"/>
    <cellStyle name="Header2 2 3 6" xfId="17856"/>
    <cellStyle name="Header2 2 4" xfId="567"/>
    <cellStyle name="Header2 2 4 2" xfId="13961"/>
    <cellStyle name="Header2 2 4 2 2" xfId="31102"/>
    <cellStyle name="Header2 2 4 3" xfId="17710"/>
    <cellStyle name="Header2 2 5" xfId="12774"/>
    <cellStyle name="Header2 2 5 2" xfId="16137"/>
    <cellStyle name="Header2 2 5 2 2" xfId="33278"/>
    <cellStyle name="Header2 2 5 3" xfId="29915"/>
    <cellStyle name="Header2 2 6" xfId="12882"/>
    <cellStyle name="Header2 2 6 2" xfId="16240"/>
    <cellStyle name="Header2 2 6 2 2" xfId="33381"/>
    <cellStyle name="Header2 2 6 3" xfId="30023"/>
    <cellStyle name="Header2 2 7" xfId="12594"/>
    <cellStyle name="Header2 2 7 2" xfId="15957"/>
    <cellStyle name="Header2 2 7 2 2" xfId="33098"/>
    <cellStyle name="Header2 2 7 3" xfId="29735"/>
    <cellStyle name="Header2 2 8" xfId="12887"/>
    <cellStyle name="Header2 2 8 2" xfId="16245"/>
    <cellStyle name="Header2 2 8 2 2" xfId="33386"/>
    <cellStyle name="Header2 2 8 3" xfId="30028"/>
    <cellStyle name="Header2 2 9" xfId="13309"/>
    <cellStyle name="Header2 2 9 2" xfId="16660"/>
    <cellStyle name="Header2 2 9 2 2" xfId="33801"/>
    <cellStyle name="Header2 2 9 3" xfId="30450"/>
    <cellStyle name="Header2 20" xfId="2506"/>
    <cellStyle name="Header2 20 2" xfId="19647"/>
    <cellStyle name="Header2 21" xfId="2507"/>
    <cellStyle name="Header2 21 2" xfId="19648"/>
    <cellStyle name="Header2 22" xfId="2508"/>
    <cellStyle name="Header2 22 2" xfId="19649"/>
    <cellStyle name="Header2 23" xfId="2509"/>
    <cellStyle name="Header2 23 2" xfId="19650"/>
    <cellStyle name="Header2 24" xfId="2510"/>
    <cellStyle name="Header2 24 2" xfId="15760"/>
    <cellStyle name="Header2 24 2 2" xfId="32901"/>
    <cellStyle name="Header2 24 3" xfId="19651"/>
    <cellStyle name="Header2 25" xfId="2511"/>
    <cellStyle name="Header2 25 2" xfId="15761"/>
    <cellStyle name="Header2 25 2 2" xfId="32902"/>
    <cellStyle name="Header2 25 3" xfId="19652"/>
    <cellStyle name="Header2 26" xfId="17266"/>
    <cellStyle name="Header2 27" xfId="35382"/>
    <cellStyle name="Header2 3" xfId="340"/>
    <cellStyle name="Header2 3 10" xfId="13162"/>
    <cellStyle name="Header2 3 10 2" xfId="16513"/>
    <cellStyle name="Header2 3 10 2 2" xfId="33654"/>
    <cellStyle name="Header2 3 10 3" xfId="30303"/>
    <cellStyle name="Header2 3 11" xfId="13228"/>
    <cellStyle name="Header2 3 11 2" xfId="16579"/>
    <cellStyle name="Header2 3 11 2 2" xfId="33720"/>
    <cellStyle name="Header2 3 11 3" xfId="30369"/>
    <cellStyle name="Header2 3 12" xfId="13071"/>
    <cellStyle name="Header2 3 12 2" xfId="16422"/>
    <cellStyle name="Header2 3 12 2 2" xfId="33563"/>
    <cellStyle name="Header2 3 12 3" xfId="30212"/>
    <cellStyle name="Header2 3 13" xfId="12629"/>
    <cellStyle name="Header2 3 13 2" xfId="15992"/>
    <cellStyle name="Header2 3 13 2 2" xfId="33133"/>
    <cellStyle name="Header2 3 13 3" xfId="29770"/>
    <cellStyle name="Header2 3 14" xfId="13502"/>
    <cellStyle name="Header2 3 14 2" xfId="16853"/>
    <cellStyle name="Header2 3 14 2 2" xfId="33994"/>
    <cellStyle name="Header2 3 14 3" xfId="30643"/>
    <cellStyle name="Header2 3 15" xfId="13173"/>
    <cellStyle name="Header2 3 15 2" xfId="16524"/>
    <cellStyle name="Header2 3 15 2 2" xfId="33665"/>
    <cellStyle name="Header2 3 15 3" xfId="30314"/>
    <cellStyle name="Header2 3 16" xfId="13769"/>
    <cellStyle name="Header2 3 16 2" xfId="17118"/>
    <cellStyle name="Header2 3 16 2 2" xfId="34259"/>
    <cellStyle name="Header2 3 16 3" xfId="30910"/>
    <cellStyle name="Header2 3 17" xfId="13865"/>
    <cellStyle name="Header2 3 17 2" xfId="31006"/>
    <cellStyle name="Header2 3 18" xfId="17483"/>
    <cellStyle name="Header2 3 2" xfId="849"/>
    <cellStyle name="Header2 3 2 2" xfId="1275"/>
    <cellStyle name="Header2 3 2 2 2" xfId="2173"/>
    <cellStyle name="Header2 3 2 2 2 2" xfId="15479"/>
    <cellStyle name="Header2 3 2 2 2 2 2" xfId="32620"/>
    <cellStyle name="Header2 3 2 2 2 3" xfId="19316"/>
    <cellStyle name="Header2 3 2 2 3" xfId="14583"/>
    <cellStyle name="Header2 3 2 2 3 2" xfId="31724"/>
    <cellStyle name="Header2 3 2 2 4" xfId="18418"/>
    <cellStyle name="Header2 3 2 3" xfId="1778"/>
    <cellStyle name="Header2 3 2 3 2" xfId="15084"/>
    <cellStyle name="Header2 3 2 3 2 2" xfId="32225"/>
    <cellStyle name="Header2 3 2 3 3" xfId="18921"/>
    <cellStyle name="Header2 3 2 4" xfId="14179"/>
    <cellStyle name="Header2 3 2 4 2" xfId="31320"/>
    <cellStyle name="Header2 3 2 5" xfId="17992"/>
    <cellStyle name="Header2 3 3" xfId="1079"/>
    <cellStyle name="Header2 3 3 2" xfId="14387"/>
    <cellStyle name="Header2 3 3 2 2" xfId="31528"/>
    <cellStyle name="Header2 3 3 3" xfId="18222"/>
    <cellStyle name="Header2 3 4" xfId="597"/>
    <cellStyle name="Header2 3 4 2" xfId="13976"/>
    <cellStyle name="Header2 3 4 2 2" xfId="31117"/>
    <cellStyle name="Header2 3 4 3" xfId="17740"/>
    <cellStyle name="Header2 3 5" xfId="1573"/>
    <cellStyle name="Header2 3 5 2" xfId="14879"/>
    <cellStyle name="Header2 3 5 2 2" xfId="32020"/>
    <cellStyle name="Header2 3 5 3" xfId="18716"/>
    <cellStyle name="Header2 3 6" xfId="12839"/>
    <cellStyle name="Header2 3 6 2" xfId="16197"/>
    <cellStyle name="Header2 3 6 2 2" xfId="33338"/>
    <cellStyle name="Header2 3 6 3" xfId="29980"/>
    <cellStyle name="Header2 3 7" xfId="12593"/>
    <cellStyle name="Header2 3 7 2" xfId="15956"/>
    <cellStyle name="Header2 3 7 2 2" xfId="33097"/>
    <cellStyle name="Header2 3 7 3" xfId="29734"/>
    <cellStyle name="Header2 3 8" xfId="12832"/>
    <cellStyle name="Header2 3 8 2" xfId="16190"/>
    <cellStyle name="Header2 3 8 2 2" xfId="33331"/>
    <cellStyle name="Header2 3 8 3" xfId="29973"/>
    <cellStyle name="Header2 3 9" xfId="13083"/>
    <cellStyle name="Header2 3 9 2" xfId="16434"/>
    <cellStyle name="Header2 3 9 2 2" xfId="33575"/>
    <cellStyle name="Header2 3 9 3" xfId="30224"/>
    <cellStyle name="Header2 4" xfId="347"/>
    <cellStyle name="Header2 4 10" xfId="12687"/>
    <cellStyle name="Header2 4 10 2" xfId="16050"/>
    <cellStyle name="Header2 4 10 2 2" xfId="33191"/>
    <cellStyle name="Header2 4 10 3" xfId="29828"/>
    <cellStyle name="Header2 4 11" xfId="12791"/>
    <cellStyle name="Header2 4 11 2" xfId="16153"/>
    <cellStyle name="Header2 4 11 2 2" xfId="33294"/>
    <cellStyle name="Header2 4 11 3" xfId="29932"/>
    <cellStyle name="Header2 4 12" xfId="12644"/>
    <cellStyle name="Header2 4 12 2" xfId="16007"/>
    <cellStyle name="Header2 4 12 2 2" xfId="33148"/>
    <cellStyle name="Header2 4 12 3" xfId="29785"/>
    <cellStyle name="Header2 4 13" xfId="13098"/>
    <cellStyle name="Header2 4 13 2" xfId="16449"/>
    <cellStyle name="Header2 4 13 2 2" xfId="33590"/>
    <cellStyle name="Header2 4 13 3" xfId="30239"/>
    <cellStyle name="Header2 4 14" xfId="13281"/>
    <cellStyle name="Header2 4 14 2" xfId="16632"/>
    <cellStyle name="Header2 4 14 2 2" xfId="33773"/>
    <cellStyle name="Header2 4 14 3" xfId="30422"/>
    <cellStyle name="Header2 4 15" xfId="13733"/>
    <cellStyle name="Header2 4 15 2" xfId="17084"/>
    <cellStyle name="Header2 4 15 2 2" xfId="34225"/>
    <cellStyle name="Header2 4 15 3" xfId="30874"/>
    <cellStyle name="Header2 4 16" xfId="13871"/>
    <cellStyle name="Header2 4 16 2" xfId="31012"/>
    <cellStyle name="Header2 4 17" xfId="17490"/>
    <cellStyle name="Header2 4 2" xfId="855"/>
    <cellStyle name="Header2 4 2 2" xfId="1281"/>
    <cellStyle name="Header2 4 2 2 2" xfId="2179"/>
    <cellStyle name="Header2 4 2 2 2 2" xfId="15485"/>
    <cellStyle name="Header2 4 2 2 2 2 2" xfId="32626"/>
    <cellStyle name="Header2 4 2 2 2 3" xfId="19322"/>
    <cellStyle name="Header2 4 2 2 3" xfId="14589"/>
    <cellStyle name="Header2 4 2 2 3 2" xfId="31730"/>
    <cellStyle name="Header2 4 2 2 4" xfId="18424"/>
    <cellStyle name="Header2 4 2 3" xfId="1784"/>
    <cellStyle name="Header2 4 2 3 2" xfId="15090"/>
    <cellStyle name="Header2 4 2 3 2 2" xfId="32231"/>
    <cellStyle name="Header2 4 2 3 3" xfId="18927"/>
    <cellStyle name="Header2 4 2 4" xfId="14185"/>
    <cellStyle name="Header2 4 2 4 2" xfId="31326"/>
    <cellStyle name="Header2 4 2 5" xfId="17998"/>
    <cellStyle name="Header2 4 3" xfId="1084"/>
    <cellStyle name="Header2 4 3 2" xfId="14392"/>
    <cellStyle name="Header2 4 3 2 2" xfId="31533"/>
    <cellStyle name="Header2 4 3 3" xfId="18227"/>
    <cellStyle name="Header2 4 4" xfId="603"/>
    <cellStyle name="Header2 4 4 2" xfId="13982"/>
    <cellStyle name="Header2 4 4 2 2" xfId="31123"/>
    <cellStyle name="Header2 4 4 3" xfId="17746"/>
    <cellStyle name="Header2 4 5" xfId="1579"/>
    <cellStyle name="Header2 4 5 2" xfId="14885"/>
    <cellStyle name="Header2 4 5 2 2" xfId="32026"/>
    <cellStyle name="Header2 4 5 3" xfId="18722"/>
    <cellStyle name="Header2 4 6" xfId="12845"/>
    <cellStyle name="Header2 4 6 2" xfId="16203"/>
    <cellStyle name="Header2 4 6 2 2" xfId="33344"/>
    <cellStyle name="Header2 4 6 3" xfId="29986"/>
    <cellStyle name="Header2 4 7" xfId="12731"/>
    <cellStyle name="Header2 4 7 2" xfId="16094"/>
    <cellStyle name="Header2 4 7 2 2" xfId="33235"/>
    <cellStyle name="Header2 4 7 3" xfId="29872"/>
    <cellStyle name="Header2 4 8" xfId="12885"/>
    <cellStyle name="Header2 4 8 2" xfId="16243"/>
    <cellStyle name="Header2 4 8 2 2" xfId="33384"/>
    <cellStyle name="Header2 4 8 3" xfId="30026"/>
    <cellStyle name="Header2 4 9" xfId="12701"/>
    <cellStyle name="Header2 4 9 2" xfId="16064"/>
    <cellStyle name="Header2 4 9 2 2" xfId="33205"/>
    <cellStyle name="Header2 4 9 3" xfId="29842"/>
    <cellStyle name="Header2 5" xfId="349"/>
    <cellStyle name="Header2 5 10" xfId="13256"/>
    <cellStyle name="Header2 5 10 2" xfId="16607"/>
    <cellStyle name="Header2 5 10 2 2" xfId="33748"/>
    <cellStyle name="Header2 5 10 3" xfId="30397"/>
    <cellStyle name="Header2 5 11" xfId="13242"/>
    <cellStyle name="Header2 5 11 2" xfId="16593"/>
    <cellStyle name="Header2 5 11 2 2" xfId="33734"/>
    <cellStyle name="Header2 5 11 3" xfId="30383"/>
    <cellStyle name="Header2 5 12" xfId="12777"/>
    <cellStyle name="Header2 5 12 2" xfId="16140"/>
    <cellStyle name="Header2 5 12 2 2" xfId="33281"/>
    <cellStyle name="Header2 5 12 3" xfId="29918"/>
    <cellStyle name="Header2 5 13" xfId="13036"/>
    <cellStyle name="Header2 5 13 2" xfId="16387"/>
    <cellStyle name="Header2 5 13 2 2" xfId="33528"/>
    <cellStyle name="Header2 5 13 3" xfId="30177"/>
    <cellStyle name="Header2 5 14" xfId="13118"/>
    <cellStyle name="Header2 5 14 2" xfId="16469"/>
    <cellStyle name="Header2 5 14 2 2" xfId="33610"/>
    <cellStyle name="Header2 5 14 3" xfId="30259"/>
    <cellStyle name="Header2 5 15" xfId="13765"/>
    <cellStyle name="Header2 5 15 2" xfId="17114"/>
    <cellStyle name="Header2 5 15 2 2" xfId="34255"/>
    <cellStyle name="Header2 5 15 3" xfId="30906"/>
    <cellStyle name="Header2 5 16" xfId="13873"/>
    <cellStyle name="Header2 5 16 2" xfId="31014"/>
    <cellStyle name="Header2 5 17" xfId="17492"/>
    <cellStyle name="Header2 5 2" xfId="857"/>
    <cellStyle name="Header2 5 2 2" xfId="1283"/>
    <cellStyle name="Header2 5 2 2 2" xfId="2181"/>
    <cellStyle name="Header2 5 2 2 2 2" xfId="15487"/>
    <cellStyle name="Header2 5 2 2 2 2 2" xfId="32628"/>
    <cellStyle name="Header2 5 2 2 2 3" xfId="19324"/>
    <cellStyle name="Header2 5 2 2 3" xfId="14591"/>
    <cellStyle name="Header2 5 2 2 3 2" xfId="31732"/>
    <cellStyle name="Header2 5 2 2 4" xfId="18426"/>
    <cellStyle name="Header2 5 2 3" xfId="1786"/>
    <cellStyle name="Header2 5 2 3 2" xfId="15092"/>
    <cellStyle name="Header2 5 2 3 2 2" xfId="32233"/>
    <cellStyle name="Header2 5 2 3 3" xfId="18929"/>
    <cellStyle name="Header2 5 2 4" xfId="14187"/>
    <cellStyle name="Header2 5 2 4 2" xfId="31328"/>
    <cellStyle name="Header2 5 2 5" xfId="18000"/>
    <cellStyle name="Header2 5 3" xfId="1086"/>
    <cellStyle name="Header2 5 3 2" xfId="14394"/>
    <cellStyle name="Header2 5 3 2 2" xfId="31535"/>
    <cellStyle name="Header2 5 3 3" xfId="18229"/>
    <cellStyle name="Header2 5 4" xfId="605"/>
    <cellStyle name="Header2 5 4 2" xfId="13984"/>
    <cellStyle name="Header2 5 4 2 2" xfId="31125"/>
    <cellStyle name="Header2 5 4 3" xfId="17748"/>
    <cellStyle name="Header2 5 5" xfId="1581"/>
    <cellStyle name="Header2 5 5 2" xfId="14887"/>
    <cellStyle name="Header2 5 5 2 2" xfId="32028"/>
    <cellStyle name="Header2 5 5 3" xfId="18724"/>
    <cellStyle name="Header2 5 6" xfId="12847"/>
    <cellStyle name="Header2 5 6 2" xfId="16205"/>
    <cellStyle name="Header2 5 6 2 2" xfId="33346"/>
    <cellStyle name="Header2 5 6 3" xfId="29988"/>
    <cellStyle name="Header2 5 7" xfId="12730"/>
    <cellStyle name="Header2 5 7 2" xfId="16093"/>
    <cellStyle name="Header2 5 7 2 2" xfId="33234"/>
    <cellStyle name="Header2 5 7 3" xfId="29871"/>
    <cellStyle name="Header2 5 8" xfId="12617"/>
    <cellStyle name="Header2 5 8 2" xfId="15980"/>
    <cellStyle name="Header2 5 8 2 2" xfId="33121"/>
    <cellStyle name="Header2 5 8 3" xfId="29758"/>
    <cellStyle name="Header2 5 9" xfId="12928"/>
    <cellStyle name="Header2 5 9 2" xfId="16286"/>
    <cellStyle name="Header2 5 9 2 2" xfId="33427"/>
    <cellStyle name="Header2 5 9 3" xfId="30069"/>
    <cellStyle name="Header2 6" xfId="386"/>
    <cellStyle name="Header2 6 10" xfId="13282"/>
    <cellStyle name="Header2 6 10 2" xfId="16633"/>
    <cellStyle name="Header2 6 10 2 2" xfId="33774"/>
    <cellStyle name="Header2 6 10 3" xfId="30423"/>
    <cellStyle name="Header2 6 11" xfId="13363"/>
    <cellStyle name="Header2 6 11 2" xfId="16714"/>
    <cellStyle name="Header2 6 11 2 2" xfId="33855"/>
    <cellStyle name="Header2 6 11 3" xfId="30504"/>
    <cellStyle name="Header2 6 12" xfId="13304"/>
    <cellStyle name="Header2 6 12 2" xfId="16655"/>
    <cellStyle name="Header2 6 12 2 2" xfId="33796"/>
    <cellStyle name="Header2 6 12 3" xfId="30445"/>
    <cellStyle name="Header2 6 13" xfId="13807"/>
    <cellStyle name="Header2 6 13 2" xfId="17153"/>
    <cellStyle name="Header2 6 13 2 2" xfId="34294"/>
    <cellStyle name="Header2 6 13 3" xfId="30948"/>
    <cellStyle name="Header2 6 14" xfId="13891"/>
    <cellStyle name="Header2 6 14 2" xfId="31032"/>
    <cellStyle name="Header2 6 15" xfId="17529"/>
    <cellStyle name="Header2 6 2" xfId="882"/>
    <cellStyle name="Header2 6 2 2" xfId="1301"/>
    <cellStyle name="Header2 6 2 2 2" xfId="2199"/>
    <cellStyle name="Header2 6 2 2 2 2" xfId="15505"/>
    <cellStyle name="Header2 6 2 2 2 2 2" xfId="32646"/>
    <cellStyle name="Header2 6 2 2 2 3" xfId="19342"/>
    <cellStyle name="Header2 6 2 2 3" xfId="14609"/>
    <cellStyle name="Header2 6 2 2 3 2" xfId="31750"/>
    <cellStyle name="Header2 6 2 2 4" xfId="18444"/>
    <cellStyle name="Header2 6 2 3" xfId="1804"/>
    <cellStyle name="Header2 6 2 3 2" xfId="15110"/>
    <cellStyle name="Header2 6 2 3 2 2" xfId="32251"/>
    <cellStyle name="Header2 6 2 3 3" xfId="18947"/>
    <cellStyle name="Header2 6 2 4" xfId="14205"/>
    <cellStyle name="Header2 6 2 4 2" xfId="31346"/>
    <cellStyle name="Header2 6 2 5" xfId="18025"/>
    <cellStyle name="Header2 6 3" xfId="745"/>
    <cellStyle name="Header2 6 3 2" xfId="1198"/>
    <cellStyle name="Header2 6 3 2 2" xfId="2096"/>
    <cellStyle name="Header2 6 3 2 2 2" xfId="15402"/>
    <cellStyle name="Header2 6 3 2 2 2 2" xfId="32543"/>
    <cellStyle name="Header2 6 3 2 2 3" xfId="19239"/>
    <cellStyle name="Header2 6 3 2 3" xfId="14506"/>
    <cellStyle name="Header2 6 3 2 3 2" xfId="31647"/>
    <cellStyle name="Header2 6 3 2 4" xfId="18341"/>
    <cellStyle name="Header2 6 3 3" xfId="1701"/>
    <cellStyle name="Header2 6 3 3 2" xfId="15007"/>
    <cellStyle name="Header2 6 3 3 2 2" xfId="32148"/>
    <cellStyle name="Header2 6 3 3 3" xfId="18844"/>
    <cellStyle name="Header2 6 3 4" xfId="14102"/>
    <cellStyle name="Header2 6 3 4 2" xfId="31243"/>
    <cellStyle name="Header2 6 3 5" xfId="17888"/>
    <cellStyle name="Header2 6 4" xfId="1001"/>
    <cellStyle name="Header2 6 4 2" xfId="1400"/>
    <cellStyle name="Header2 6 4 2 2" xfId="2298"/>
    <cellStyle name="Header2 6 4 2 2 2" xfId="15604"/>
    <cellStyle name="Header2 6 4 2 2 2 2" xfId="32745"/>
    <cellStyle name="Header2 6 4 2 2 3" xfId="19441"/>
    <cellStyle name="Header2 6 4 2 3" xfId="14708"/>
    <cellStyle name="Header2 6 4 2 3 2" xfId="31849"/>
    <cellStyle name="Header2 6 4 2 4" xfId="18543"/>
    <cellStyle name="Header2 6 4 3" xfId="1908"/>
    <cellStyle name="Header2 6 4 3 2" xfId="15214"/>
    <cellStyle name="Header2 6 4 3 2 2" xfId="32355"/>
    <cellStyle name="Header2 6 4 3 3" xfId="19051"/>
    <cellStyle name="Header2 6 4 4" xfId="14309"/>
    <cellStyle name="Header2 6 4 4 2" xfId="31450"/>
    <cellStyle name="Header2 6 4 5" xfId="18144"/>
    <cellStyle name="Header2 6 5" xfId="1101"/>
    <cellStyle name="Header2 6 5 2" xfId="14409"/>
    <cellStyle name="Header2 6 5 2 2" xfId="31550"/>
    <cellStyle name="Header2 6 5 3" xfId="18244"/>
    <cellStyle name="Header2 6 6" xfId="630"/>
    <cellStyle name="Header2 6 6 2" xfId="14002"/>
    <cellStyle name="Header2 6 6 2 2" xfId="31143"/>
    <cellStyle name="Header2 6 6 3" xfId="17773"/>
    <cellStyle name="Header2 6 7" xfId="1599"/>
    <cellStyle name="Header2 6 7 2" xfId="14905"/>
    <cellStyle name="Header2 6 7 2 2" xfId="32046"/>
    <cellStyle name="Header2 6 7 3" xfId="18742"/>
    <cellStyle name="Header2 6 8" xfId="12879"/>
    <cellStyle name="Header2 6 8 2" xfId="16237"/>
    <cellStyle name="Header2 6 8 2 2" xfId="33378"/>
    <cellStyle name="Header2 6 8 3" xfId="30020"/>
    <cellStyle name="Header2 6 9" xfId="13200"/>
    <cellStyle name="Header2 6 9 2" xfId="16551"/>
    <cellStyle name="Header2 6 9 2 2" xfId="33692"/>
    <cellStyle name="Header2 6 9 3" xfId="30341"/>
    <cellStyle name="Header2 7" xfId="468"/>
    <cellStyle name="Header2 7 10" xfId="13323"/>
    <cellStyle name="Header2 7 10 2" xfId="16674"/>
    <cellStyle name="Header2 7 10 2 2" xfId="33815"/>
    <cellStyle name="Header2 7 10 3" xfId="30464"/>
    <cellStyle name="Header2 7 11" xfId="13410"/>
    <cellStyle name="Header2 7 11 2" xfId="16761"/>
    <cellStyle name="Header2 7 11 2 2" xfId="33902"/>
    <cellStyle name="Header2 7 11 3" xfId="30551"/>
    <cellStyle name="Header2 7 12" xfId="13548"/>
    <cellStyle name="Header2 7 12 2" xfId="16899"/>
    <cellStyle name="Header2 7 12 2 2" xfId="34040"/>
    <cellStyle name="Header2 7 12 3" xfId="30689"/>
    <cellStyle name="Header2 7 13" xfId="13613"/>
    <cellStyle name="Header2 7 13 2" xfId="16964"/>
    <cellStyle name="Header2 7 13 2 2" xfId="34105"/>
    <cellStyle name="Header2 7 13 3" xfId="30754"/>
    <cellStyle name="Header2 7 14" xfId="13676"/>
    <cellStyle name="Header2 7 14 2" xfId="17027"/>
    <cellStyle name="Header2 7 14 2 2" xfId="34168"/>
    <cellStyle name="Header2 7 14 3" xfId="30817"/>
    <cellStyle name="Header2 7 15" xfId="13821"/>
    <cellStyle name="Header2 7 15 2" xfId="17160"/>
    <cellStyle name="Header2 7 15 2 2" xfId="34301"/>
    <cellStyle name="Header2 7 15 3" xfId="30962"/>
    <cellStyle name="Header2 7 16" xfId="13939"/>
    <cellStyle name="Header2 7 16 2" xfId="31080"/>
    <cellStyle name="Header2 7 17" xfId="17611"/>
    <cellStyle name="Header2 7 2" xfId="937"/>
    <cellStyle name="Header2 7 2 2" xfId="1349"/>
    <cellStyle name="Header2 7 2 2 2" xfId="2247"/>
    <cellStyle name="Header2 7 2 2 2 2" xfId="15553"/>
    <cellStyle name="Header2 7 2 2 2 2 2" xfId="32694"/>
    <cellStyle name="Header2 7 2 2 2 3" xfId="19390"/>
    <cellStyle name="Header2 7 2 2 3" xfId="14657"/>
    <cellStyle name="Header2 7 2 2 3 2" xfId="31798"/>
    <cellStyle name="Header2 7 2 2 4" xfId="18492"/>
    <cellStyle name="Header2 7 2 3" xfId="1852"/>
    <cellStyle name="Header2 7 2 3 2" xfId="15158"/>
    <cellStyle name="Header2 7 2 3 2 2" xfId="32299"/>
    <cellStyle name="Header2 7 2 3 3" xfId="18995"/>
    <cellStyle name="Header2 7 2 4" xfId="14253"/>
    <cellStyle name="Header2 7 2 4 2" xfId="31394"/>
    <cellStyle name="Header2 7 2 5" xfId="18080"/>
    <cellStyle name="Header2 7 3" xfId="1145"/>
    <cellStyle name="Header2 7 3 2" xfId="14453"/>
    <cellStyle name="Header2 7 3 2 2" xfId="31594"/>
    <cellStyle name="Header2 7 3 3" xfId="18288"/>
    <cellStyle name="Header2 7 4" xfId="684"/>
    <cellStyle name="Header2 7 4 2" xfId="14049"/>
    <cellStyle name="Header2 7 4 2 2" xfId="31190"/>
    <cellStyle name="Header2 7 4 3" xfId="17827"/>
    <cellStyle name="Header2 7 5" xfId="1647"/>
    <cellStyle name="Header2 7 5 2" xfId="14953"/>
    <cellStyle name="Header2 7 5 2 2" xfId="32094"/>
    <cellStyle name="Header2 7 5 3" xfId="18790"/>
    <cellStyle name="Header2 7 6" xfId="12952"/>
    <cellStyle name="Header2 7 6 2" xfId="16310"/>
    <cellStyle name="Header2 7 6 2 2" xfId="33451"/>
    <cellStyle name="Header2 7 6 3" xfId="30093"/>
    <cellStyle name="Header2 7 7" xfId="13064"/>
    <cellStyle name="Header2 7 7 2" xfId="16415"/>
    <cellStyle name="Header2 7 7 2 2" xfId="33556"/>
    <cellStyle name="Header2 7 7 3" xfId="30205"/>
    <cellStyle name="Header2 7 8" xfId="13144"/>
    <cellStyle name="Header2 7 8 2" xfId="16495"/>
    <cellStyle name="Header2 7 8 2 2" xfId="33636"/>
    <cellStyle name="Header2 7 8 3" xfId="30285"/>
    <cellStyle name="Header2 7 9" xfId="13236"/>
    <cellStyle name="Header2 7 9 2" xfId="16587"/>
    <cellStyle name="Header2 7 9 2 2" xfId="33728"/>
    <cellStyle name="Header2 7 9 3" xfId="30377"/>
    <cellStyle name="Header2 8" xfId="345"/>
    <cellStyle name="Header2 8 10" xfId="12602"/>
    <cellStyle name="Header2 8 10 2" xfId="15965"/>
    <cellStyle name="Header2 8 10 2 2" xfId="33106"/>
    <cellStyle name="Header2 8 10 3" xfId="29743"/>
    <cellStyle name="Header2 8 11" xfId="12923"/>
    <cellStyle name="Header2 8 11 2" xfId="16281"/>
    <cellStyle name="Header2 8 11 2 2" xfId="33422"/>
    <cellStyle name="Header2 8 11 3" xfId="30064"/>
    <cellStyle name="Header2 8 12" xfId="12636"/>
    <cellStyle name="Header2 8 12 2" xfId="15999"/>
    <cellStyle name="Header2 8 12 2 2" xfId="33140"/>
    <cellStyle name="Header2 8 12 3" xfId="29777"/>
    <cellStyle name="Header2 8 13" xfId="13125"/>
    <cellStyle name="Header2 8 13 2" xfId="16476"/>
    <cellStyle name="Header2 8 13 2 2" xfId="33617"/>
    <cellStyle name="Header2 8 13 3" xfId="30266"/>
    <cellStyle name="Header2 8 14" xfId="12614"/>
    <cellStyle name="Header2 8 14 2" xfId="15977"/>
    <cellStyle name="Header2 8 14 2 2" xfId="33118"/>
    <cellStyle name="Header2 8 14 3" xfId="29755"/>
    <cellStyle name="Header2 8 15" xfId="13758"/>
    <cellStyle name="Header2 8 15 2" xfId="17109"/>
    <cellStyle name="Header2 8 15 2 2" xfId="34250"/>
    <cellStyle name="Header2 8 15 3" xfId="30899"/>
    <cellStyle name="Header2 8 16" xfId="13869"/>
    <cellStyle name="Header2 8 16 2" xfId="31010"/>
    <cellStyle name="Header2 8 17" xfId="17488"/>
    <cellStyle name="Header2 8 2" xfId="853"/>
    <cellStyle name="Header2 8 2 2" xfId="1279"/>
    <cellStyle name="Header2 8 2 2 2" xfId="2177"/>
    <cellStyle name="Header2 8 2 2 2 2" xfId="15483"/>
    <cellStyle name="Header2 8 2 2 2 2 2" xfId="32624"/>
    <cellStyle name="Header2 8 2 2 2 3" xfId="19320"/>
    <cellStyle name="Header2 8 2 2 3" xfId="14587"/>
    <cellStyle name="Header2 8 2 2 3 2" xfId="31728"/>
    <cellStyle name="Header2 8 2 2 4" xfId="18422"/>
    <cellStyle name="Header2 8 2 3" xfId="1782"/>
    <cellStyle name="Header2 8 2 3 2" xfId="15088"/>
    <cellStyle name="Header2 8 2 3 2 2" xfId="32229"/>
    <cellStyle name="Header2 8 2 3 3" xfId="18925"/>
    <cellStyle name="Header2 8 2 4" xfId="14183"/>
    <cellStyle name="Header2 8 2 4 2" xfId="31324"/>
    <cellStyle name="Header2 8 2 5" xfId="17996"/>
    <cellStyle name="Header2 8 3" xfId="1082"/>
    <cellStyle name="Header2 8 3 2" xfId="14390"/>
    <cellStyle name="Header2 8 3 2 2" xfId="31531"/>
    <cellStyle name="Header2 8 3 3" xfId="18225"/>
    <cellStyle name="Header2 8 4" xfId="601"/>
    <cellStyle name="Header2 8 4 2" xfId="13980"/>
    <cellStyle name="Header2 8 4 2 2" xfId="31121"/>
    <cellStyle name="Header2 8 4 3" xfId="17744"/>
    <cellStyle name="Header2 8 5" xfId="1577"/>
    <cellStyle name="Header2 8 5 2" xfId="14883"/>
    <cellStyle name="Header2 8 5 2 2" xfId="32024"/>
    <cellStyle name="Header2 8 5 3" xfId="18720"/>
    <cellStyle name="Header2 8 6" xfId="12843"/>
    <cellStyle name="Header2 8 6 2" xfId="16201"/>
    <cellStyle name="Header2 8 6 2 2" xfId="33342"/>
    <cellStyle name="Header2 8 6 3" xfId="29984"/>
    <cellStyle name="Header2 8 7" xfId="12732"/>
    <cellStyle name="Header2 8 7 2" xfId="16095"/>
    <cellStyle name="Header2 8 7 2 2" xfId="33236"/>
    <cellStyle name="Header2 8 7 3" xfId="29873"/>
    <cellStyle name="Header2 8 8" xfId="12792"/>
    <cellStyle name="Header2 8 8 2" xfId="16154"/>
    <cellStyle name="Header2 8 8 2 2" xfId="33295"/>
    <cellStyle name="Header2 8 8 3" xfId="29933"/>
    <cellStyle name="Header2 8 9" xfId="12678"/>
    <cellStyle name="Header2 8 9 2" xfId="16041"/>
    <cellStyle name="Header2 8 9 2 2" xfId="33182"/>
    <cellStyle name="Header2 8 9 3" xfId="29819"/>
    <cellStyle name="Header2 9" xfId="463"/>
    <cellStyle name="Header2 9 10" xfId="12899"/>
    <cellStyle name="Header2 9 10 2" xfId="16257"/>
    <cellStyle name="Header2 9 10 2 2" xfId="33398"/>
    <cellStyle name="Header2 9 10 3" xfId="30040"/>
    <cellStyle name="Header2 9 11" xfId="13405"/>
    <cellStyle name="Header2 9 11 2" xfId="16756"/>
    <cellStyle name="Header2 9 11 2 2" xfId="33897"/>
    <cellStyle name="Header2 9 11 3" xfId="30546"/>
    <cellStyle name="Header2 9 12" xfId="13543"/>
    <cellStyle name="Header2 9 12 2" xfId="16894"/>
    <cellStyle name="Header2 9 12 2 2" xfId="34035"/>
    <cellStyle name="Header2 9 12 3" xfId="30684"/>
    <cellStyle name="Header2 9 13" xfId="13608"/>
    <cellStyle name="Header2 9 13 2" xfId="16959"/>
    <cellStyle name="Header2 9 13 2 2" xfId="34100"/>
    <cellStyle name="Header2 9 13 3" xfId="30749"/>
    <cellStyle name="Header2 9 14" xfId="13671"/>
    <cellStyle name="Header2 9 14 2" xfId="17022"/>
    <cellStyle name="Header2 9 14 2 2" xfId="34163"/>
    <cellStyle name="Header2 9 14 3" xfId="30812"/>
    <cellStyle name="Header2 9 15" xfId="13692"/>
    <cellStyle name="Header2 9 15 2" xfId="17043"/>
    <cellStyle name="Header2 9 15 2 2" xfId="34184"/>
    <cellStyle name="Header2 9 15 3" xfId="30833"/>
    <cellStyle name="Header2 9 16" xfId="13934"/>
    <cellStyle name="Header2 9 16 2" xfId="31075"/>
    <cellStyle name="Header2 9 17" xfId="17606"/>
    <cellStyle name="Header2 9 2" xfId="932"/>
    <cellStyle name="Header2 9 2 2" xfId="1344"/>
    <cellStyle name="Header2 9 2 2 2" xfId="2242"/>
    <cellStyle name="Header2 9 2 2 2 2" xfId="15548"/>
    <cellStyle name="Header2 9 2 2 2 2 2" xfId="32689"/>
    <cellStyle name="Header2 9 2 2 2 3" xfId="19385"/>
    <cellStyle name="Header2 9 2 2 3" xfId="14652"/>
    <cellStyle name="Header2 9 2 2 3 2" xfId="31793"/>
    <cellStyle name="Header2 9 2 2 4" xfId="18487"/>
    <cellStyle name="Header2 9 2 3" xfId="1847"/>
    <cellStyle name="Header2 9 2 3 2" xfId="15153"/>
    <cellStyle name="Header2 9 2 3 2 2" xfId="32294"/>
    <cellStyle name="Header2 9 2 3 3" xfId="18990"/>
    <cellStyle name="Header2 9 2 4" xfId="14248"/>
    <cellStyle name="Header2 9 2 4 2" xfId="31389"/>
    <cellStyle name="Header2 9 2 5" xfId="18075"/>
    <cellStyle name="Header2 9 3" xfId="1140"/>
    <cellStyle name="Header2 9 3 2" xfId="14448"/>
    <cellStyle name="Header2 9 3 2 2" xfId="31589"/>
    <cellStyle name="Header2 9 3 3" xfId="18283"/>
    <cellStyle name="Header2 9 4" xfId="679"/>
    <cellStyle name="Header2 9 4 2" xfId="14044"/>
    <cellStyle name="Header2 9 4 2 2" xfId="31185"/>
    <cellStyle name="Header2 9 4 3" xfId="17822"/>
    <cellStyle name="Header2 9 5" xfId="1642"/>
    <cellStyle name="Header2 9 5 2" xfId="14948"/>
    <cellStyle name="Header2 9 5 2 2" xfId="32089"/>
    <cellStyle name="Header2 9 5 3" xfId="18785"/>
    <cellStyle name="Header2 9 6" xfId="12947"/>
    <cellStyle name="Header2 9 6 2" xfId="16305"/>
    <cellStyle name="Header2 9 6 2 2" xfId="33446"/>
    <cellStyle name="Header2 9 6 3" xfId="30088"/>
    <cellStyle name="Header2 9 7" xfId="13059"/>
    <cellStyle name="Header2 9 7 2" xfId="16410"/>
    <cellStyle name="Header2 9 7 2 2" xfId="33551"/>
    <cellStyle name="Header2 9 7 3" xfId="30200"/>
    <cellStyle name="Header2 9 8" xfId="13139"/>
    <cellStyle name="Header2 9 8 2" xfId="16490"/>
    <cellStyle name="Header2 9 8 2 2" xfId="33631"/>
    <cellStyle name="Header2 9 8 3" xfId="30280"/>
    <cellStyle name="Header2 9 9" xfId="13231"/>
    <cellStyle name="Header2 9 9 2" xfId="16582"/>
    <cellStyle name="Header2 9 9 2 2" xfId="33723"/>
    <cellStyle name="Header2 9 9 3" xfId="30372"/>
    <cellStyle name="Heading" xfId="35383"/>
    <cellStyle name="Heading 1" xfId="35384"/>
    <cellStyle name="Heading 1 2" xfId="36355"/>
    <cellStyle name="Heading 1 3" xfId="36356"/>
    <cellStyle name="Heading 1 4" xfId="36357"/>
    <cellStyle name="Heading 2" xfId="35385"/>
    <cellStyle name="Heading 2 2" xfId="36358"/>
    <cellStyle name="Heading 2 3" xfId="36359"/>
    <cellStyle name="Heading 2 4" xfId="36360"/>
    <cellStyle name="Heading 3" xfId="36361"/>
    <cellStyle name="Heading 4" xfId="36362"/>
    <cellStyle name="Heading1" xfId="152"/>
    <cellStyle name="Heading1 2" xfId="295"/>
    <cellStyle name="Heading1 2 2" xfId="17438"/>
    <cellStyle name="Heading1 3" xfId="17297"/>
    <cellStyle name="Heading1 4" xfId="35386"/>
    <cellStyle name="Heading2" xfId="153"/>
    <cellStyle name="Heading2 2" xfId="296"/>
    <cellStyle name="Heading2 2 2" xfId="17439"/>
    <cellStyle name="Heading2 2 2 2" xfId="35389"/>
    <cellStyle name="Heading2 2 3" xfId="35390"/>
    <cellStyle name="Heading2 2 4" xfId="35391"/>
    <cellStyle name="HEADING2 2 5" xfId="35388"/>
    <cellStyle name="Heading2 3" xfId="17298"/>
    <cellStyle name="Heading2 3 2" xfId="35392"/>
    <cellStyle name="Heading2 4" xfId="35393"/>
    <cellStyle name="Heading2 5" xfId="35394"/>
    <cellStyle name="HEADING2 6" xfId="35395"/>
    <cellStyle name="HEADING2 7" xfId="35396"/>
    <cellStyle name="Heading2 8" xfId="35387"/>
    <cellStyle name="Heading3" xfId="36363"/>
    <cellStyle name="Heading4" xfId="36364"/>
    <cellStyle name="Hipervínculo" xfId="36365"/>
    <cellStyle name="Hipervínculo visitado" xfId="36366"/>
    <cellStyle name="Hyperlink" xfId="35397"/>
    <cellStyle name="iles|_x0005_h" xfId="36367"/>
    <cellStyle name="Input" xfId="36368"/>
    <cellStyle name="Input [yellow]" xfId="114"/>
    <cellStyle name="Input [yellow] 10" xfId="442"/>
    <cellStyle name="Input [yellow] 10 10" xfId="12610"/>
    <cellStyle name="Input [yellow] 10 10 2" xfId="15973"/>
    <cellStyle name="Input [yellow] 10 10 2 2" xfId="33114"/>
    <cellStyle name="Input [yellow] 10 10 3" xfId="29751"/>
    <cellStyle name="Input [yellow] 10 11" xfId="13466"/>
    <cellStyle name="Input [yellow] 10 11 2" xfId="16817"/>
    <cellStyle name="Input [yellow] 10 11 2 2" xfId="33958"/>
    <cellStyle name="Input [yellow] 10 11 3" xfId="30607"/>
    <cellStyle name="Input [yellow] 10 12" xfId="13596"/>
    <cellStyle name="Input [yellow] 10 12 2" xfId="16947"/>
    <cellStyle name="Input [yellow] 10 12 2 2" xfId="34088"/>
    <cellStyle name="Input [yellow] 10 12 3" xfId="30737"/>
    <cellStyle name="Input [yellow] 10 13" xfId="13659"/>
    <cellStyle name="Input [yellow] 10 13 2" xfId="17010"/>
    <cellStyle name="Input [yellow] 10 13 2 2" xfId="34151"/>
    <cellStyle name="Input [yellow] 10 13 3" xfId="30800"/>
    <cellStyle name="Input [yellow] 10 14" xfId="13698"/>
    <cellStyle name="Input [yellow] 10 14 2" xfId="17049"/>
    <cellStyle name="Input [yellow] 10 14 2 2" xfId="34190"/>
    <cellStyle name="Input [yellow] 10 14 3" xfId="30839"/>
    <cellStyle name="Input [yellow] 10 15" xfId="13922"/>
    <cellStyle name="Input [yellow] 10 15 2" xfId="31063"/>
    <cellStyle name="Input [yellow] 10 16" xfId="17585"/>
    <cellStyle name="Input [yellow] 10 2" xfId="919"/>
    <cellStyle name="Input [yellow] 10 2 2" xfId="1332"/>
    <cellStyle name="Input [yellow] 10 2 2 2" xfId="2230"/>
    <cellStyle name="Input [yellow] 10 2 2 2 2" xfId="15536"/>
    <cellStyle name="Input [yellow] 10 2 2 2 2 2" xfId="32677"/>
    <cellStyle name="Input [yellow] 10 2 2 2 3" xfId="19373"/>
    <cellStyle name="Input [yellow] 10 2 2 3" xfId="14640"/>
    <cellStyle name="Input [yellow] 10 2 2 3 2" xfId="31781"/>
    <cellStyle name="Input [yellow] 10 2 2 4" xfId="18475"/>
    <cellStyle name="Input [yellow] 10 2 3" xfId="1835"/>
    <cellStyle name="Input [yellow] 10 2 3 2" xfId="15141"/>
    <cellStyle name="Input [yellow] 10 2 3 2 2" xfId="32282"/>
    <cellStyle name="Input [yellow] 10 2 3 3" xfId="18978"/>
    <cellStyle name="Input [yellow] 10 2 4" xfId="14236"/>
    <cellStyle name="Input [yellow] 10 2 4 2" xfId="31377"/>
    <cellStyle name="Input [yellow] 10 2 5" xfId="18062"/>
    <cellStyle name="Input [yellow] 10 3" xfId="773"/>
    <cellStyle name="Input [yellow] 10 3 2" xfId="1226"/>
    <cellStyle name="Input [yellow] 10 3 2 2" xfId="2124"/>
    <cellStyle name="Input [yellow] 10 3 2 2 2" xfId="15430"/>
    <cellStyle name="Input [yellow] 10 3 2 2 2 2" xfId="32571"/>
    <cellStyle name="Input [yellow] 10 3 2 2 3" xfId="19267"/>
    <cellStyle name="Input [yellow] 10 3 2 3" xfId="14534"/>
    <cellStyle name="Input [yellow] 10 3 2 3 2" xfId="31675"/>
    <cellStyle name="Input [yellow] 10 3 2 4" xfId="18369"/>
    <cellStyle name="Input [yellow] 10 3 3" xfId="1729"/>
    <cellStyle name="Input [yellow] 10 3 3 2" xfId="15035"/>
    <cellStyle name="Input [yellow] 10 3 3 2 2" xfId="32176"/>
    <cellStyle name="Input [yellow] 10 3 3 3" xfId="18872"/>
    <cellStyle name="Input [yellow] 10 3 4" xfId="14130"/>
    <cellStyle name="Input [yellow] 10 3 4 2" xfId="31271"/>
    <cellStyle name="Input [yellow] 10 3 5" xfId="17916"/>
    <cellStyle name="Input [yellow] 10 4" xfId="1032"/>
    <cellStyle name="Input [yellow] 10 4 2" xfId="1428"/>
    <cellStyle name="Input [yellow] 10 4 2 2" xfId="2326"/>
    <cellStyle name="Input [yellow] 10 4 2 2 2" xfId="15632"/>
    <cellStyle name="Input [yellow] 10 4 2 2 2 2" xfId="32773"/>
    <cellStyle name="Input [yellow] 10 4 2 2 3" xfId="19469"/>
    <cellStyle name="Input [yellow] 10 4 2 3" xfId="14736"/>
    <cellStyle name="Input [yellow] 10 4 2 3 2" xfId="31877"/>
    <cellStyle name="Input [yellow] 10 4 2 4" xfId="18571"/>
    <cellStyle name="Input [yellow] 10 4 3" xfId="1939"/>
    <cellStyle name="Input [yellow] 10 4 3 2" xfId="15245"/>
    <cellStyle name="Input [yellow] 10 4 3 2 2" xfId="32386"/>
    <cellStyle name="Input [yellow] 10 4 3 3" xfId="19082"/>
    <cellStyle name="Input [yellow] 10 4 4" xfId="14340"/>
    <cellStyle name="Input [yellow] 10 4 4 2" xfId="31481"/>
    <cellStyle name="Input [yellow] 10 4 5" xfId="18175"/>
    <cellStyle name="Input [yellow] 10 5" xfId="1129"/>
    <cellStyle name="Input [yellow] 10 5 2" xfId="2031"/>
    <cellStyle name="Input [yellow] 10 5 2 2" xfId="15337"/>
    <cellStyle name="Input [yellow] 10 5 2 2 2" xfId="32478"/>
    <cellStyle name="Input [yellow] 10 5 2 3" xfId="19174"/>
    <cellStyle name="Input [yellow] 10 5 3" xfId="14437"/>
    <cellStyle name="Input [yellow] 10 5 3 2" xfId="31578"/>
    <cellStyle name="Input [yellow] 10 5 4" xfId="18272"/>
    <cellStyle name="Input [yellow] 10 6" xfId="1524"/>
    <cellStyle name="Input [yellow] 10 6 2" xfId="2421"/>
    <cellStyle name="Input [yellow] 10 6 2 2" xfId="15727"/>
    <cellStyle name="Input [yellow] 10 6 2 2 2" xfId="32868"/>
    <cellStyle name="Input [yellow] 10 6 2 3" xfId="19564"/>
    <cellStyle name="Input [yellow] 10 6 3" xfId="14831"/>
    <cellStyle name="Input [yellow] 10 6 3 2" xfId="31972"/>
    <cellStyle name="Input [yellow] 10 6 4" xfId="18667"/>
    <cellStyle name="Input [yellow] 10 7" xfId="667"/>
    <cellStyle name="Input [yellow] 10 7 2" xfId="14033"/>
    <cellStyle name="Input [yellow] 10 7 2 2" xfId="31174"/>
    <cellStyle name="Input [yellow] 10 7 3" xfId="17810"/>
    <cellStyle name="Input [yellow] 10 8" xfId="1630"/>
    <cellStyle name="Input [yellow] 10 8 2" xfId="14936"/>
    <cellStyle name="Input [yellow] 10 8 2 2" xfId="32077"/>
    <cellStyle name="Input [yellow] 10 8 3" xfId="18773"/>
    <cellStyle name="Input [yellow] 10 9" xfId="12929"/>
    <cellStyle name="Input [yellow] 10 9 2" xfId="16287"/>
    <cellStyle name="Input [yellow] 10 9 2 2" xfId="33428"/>
    <cellStyle name="Input [yellow] 10 9 3" xfId="30070"/>
    <cellStyle name="Input [yellow] 11" xfId="480"/>
    <cellStyle name="Input [yellow] 11 10" xfId="13333"/>
    <cellStyle name="Input [yellow] 11 10 2" xfId="16684"/>
    <cellStyle name="Input [yellow] 11 10 2 2" xfId="33825"/>
    <cellStyle name="Input [yellow] 11 10 3" xfId="30474"/>
    <cellStyle name="Input [yellow] 11 11" xfId="13493"/>
    <cellStyle name="Input [yellow] 11 11 2" xfId="16844"/>
    <cellStyle name="Input [yellow] 11 11 2 2" xfId="33985"/>
    <cellStyle name="Input [yellow] 11 11 3" xfId="30634"/>
    <cellStyle name="Input [yellow] 11 12" xfId="13621"/>
    <cellStyle name="Input [yellow] 11 12 2" xfId="16972"/>
    <cellStyle name="Input [yellow] 11 12 2 2" xfId="34113"/>
    <cellStyle name="Input [yellow] 11 12 3" xfId="30762"/>
    <cellStyle name="Input [yellow] 11 13" xfId="13683"/>
    <cellStyle name="Input [yellow] 11 13 2" xfId="17034"/>
    <cellStyle name="Input [yellow] 11 13 2 2" xfId="34175"/>
    <cellStyle name="Input [yellow] 11 13 3" xfId="30824"/>
    <cellStyle name="Input [yellow] 11 14" xfId="13828"/>
    <cellStyle name="Input [yellow] 11 14 2" xfId="17167"/>
    <cellStyle name="Input [yellow] 11 14 2 2" xfId="34308"/>
    <cellStyle name="Input [yellow] 11 14 3" xfId="30969"/>
    <cellStyle name="Input [yellow] 11 15" xfId="13946"/>
    <cellStyle name="Input [yellow] 11 15 2" xfId="31087"/>
    <cellStyle name="Input [yellow] 11 16" xfId="17623"/>
    <cellStyle name="Input [yellow] 11 2" xfId="945"/>
    <cellStyle name="Input [yellow] 11 2 2" xfId="1356"/>
    <cellStyle name="Input [yellow] 11 2 2 2" xfId="2254"/>
    <cellStyle name="Input [yellow] 11 2 2 2 2" xfId="15560"/>
    <cellStyle name="Input [yellow] 11 2 2 2 2 2" xfId="32701"/>
    <cellStyle name="Input [yellow] 11 2 2 2 3" xfId="19397"/>
    <cellStyle name="Input [yellow] 11 2 2 3" xfId="14664"/>
    <cellStyle name="Input [yellow] 11 2 2 3 2" xfId="31805"/>
    <cellStyle name="Input [yellow] 11 2 2 4" xfId="18499"/>
    <cellStyle name="Input [yellow] 11 2 3" xfId="1859"/>
    <cellStyle name="Input [yellow] 11 2 3 2" xfId="15165"/>
    <cellStyle name="Input [yellow] 11 2 3 2 2" xfId="32306"/>
    <cellStyle name="Input [yellow] 11 2 3 3" xfId="19002"/>
    <cellStyle name="Input [yellow] 11 2 4" xfId="14260"/>
    <cellStyle name="Input [yellow] 11 2 4 2" xfId="31401"/>
    <cellStyle name="Input [yellow] 11 2 5" xfId="18088"/>
    <cellStyle name="Input [yellow] 11 3" xfId="792"/>
    <cellStyle name="Input [yellow] 11 3 2" xfId="1245"/>
    <cellStyle name="Input [yellow] 11 3 2 2" xfId="2143"/>
    <cellStyle name="Input [yellow] 11 3 2 2 2" xfId="15449"/>
    <cellStyle name="Input [yellow] 11 3 2 2 2 2" xfId="32590"/>
    <cellStyle name="Input [yellow] 11 3 2 2 3" xfId="19286"/>
    <cellStyle name="Input [yellow] 11 3 2 3" xfId="14553"/>
    <cellStyle name="Input [yellow] 11 3 2 3 2" xfId="31694"/>
    <cellStyle name="Input [yellow] 11 3 2 4" xfId="18388"/>
    <cellStyle name="Input [yellow] 11 3 3" xfId="1748"/>
    <cellStyle name="Input [yellow] 11 3 3 2" xfId="15054"/>
    <cellStyle name="Input [yellow] 11 3 3 2 2" xfId="32195"/>
    <cellStyle name="Input [yellow] 11 3 3 3" xfId="18891"/>
    <cellStyle name="Input [yellow] 11 3 4" xfId="14149"/>
    <cellStyle name="Input [yellow] 11 3 4 2" xfId="31290"/>
    <cellStyle name="Input [yellow] 11 3 5" xfId="17935"/>
    <cellStyle name="Input [yellow] 11 4" xfId="1053"/>
    <cellStyle name="Input [yellow] 11 4 2" xfId="1447"/>
    <cellStyle name="Input [yellow] 11 4 2 2" xfId="2345"/>
    <cellStyle name="Input [yellow] 11 4 2 2 2" xfId="15651"/>
    <cellStyle name="Input [yellow] 11 4 2 2 2 2" xfId="32792"/>
    <cellStyle name="Input [yellow] 11 4 2 2 3" xfId="19488"/>
    <cellStyle name="Input [yellow] 11 4 2 3" xfId="14755"/>
    <cellStyle name="Input [yellow] 11 4 2 3 2" xfId="31896"/>
    <cellStyle name="Input [yellow] 11 4 2 4" xfId="18590"/>
    <cellStyle name="Input [yellow] 11 4 3" xfId="1960"/>
    <cellStyle name="Input [yellow] 11 4 3 2" xfId="15266"/>
    <cellStyle name="Input [yellow] 11 4 3 2 2" xfId="32407"/>
    <cellStyle name="Input [yellow] 11 4 3 3" xfId="19103"/>
    <cellStyle name="Input [yellow] 11 4 4" xfId="14361"/>
    <cellStyle name="Input [yellow] 11 4 4 2" xfId="31502"/>
    <cellStyle name="Input [yellow] 11 4 5" xfId="18196"/>
    <cellStyle name="Input [yellow] 11 5" xfId="1151"/>
    <cellStyle name="Input [yellow] 11 5 2" xfId="2050"/>
    <cellStyle name="Input [yellow] 11 5 2 2" xfId="15356"/>
    <cellStyle name="Input [yellow] 11 5 2 2 2" xfId="32497"/>
    <cellStyle name="Input [yellow] 11 5 2 3" xfId="19193"/>
    <cellStyle name="Input [yellow] 11 5 3" xfId="14459"/>
    <cellStyle name="Input [yellow] 11 5 3 2" xfId="31600"/>
    <cellStyle name="Input [yellow] 11 5 4" xfId="18294"/>
    <cellStyle name="Input [yellow] 11 6" xfId="1543"/>
    <cellStyle name="Input [yellow] 11 6 2" xfId="2440"/>
    <cellStyle name="Input [yellow] 11 6 2 2" xfId="15746"/>
    <cellStyle name="Input [yellow] 11 6 2 2 2" xfId="32887"/>
    <cellStyle name="Input [yellow] 11 6 2 3" xfId="19583"/>
    <cellStyle name="Input [yellow] 11 6 3" xfId="14850"/>
    <cellStyle name="Input [yellow] 11 6 3 2" xfId="31991"/>
    <cellStyle name="Input [yellow] 11 6 4" xfId="18686"/>
    <cellStyle name="Input [yellow] 11 7" xfId="691"/>
    <cellStyle name="Input [yellow] 11 7 2" xfId="14055"/>
    <cellStyle name="Input [yellow] 11 7 2 2" xfId="31196"/>
    <cellStyle name="Input [yellow] 11 7 3" xfId="17834"/>
    <cellStyle name="Input [yellow] 11 8" xfId="1654"/>
    <cellStyle name="Input [yellow] 11 8 2" xfId="14960"/>
    <cellStyle name="Input [yellow] 11 8 2 2" xfId="32101"/>
    <cellStyle name="Input [yellow] 11 8 3" xfId="18797"/>
    <cellStyle name="Input [yellow] 11 9" xfId="12963"/>
    <cellStyle name="Input [yellow] 11 9 2" xfId="16321"/>
    <cellStyle name="Input [yellow] 11 9 2 2" xfId="33462"/>
    <cellStyle name="Input [yellow] 11 9 3" xfId="30104"/>
    <cellStyle name="Input [yellow] 12" xfId="2512"/>
    <cellStyle name="Input [yellow] 12 2" xfId="19653"/>
    <cellStyle name="Input [yellow] 13" xfId="2513"/>
    <cellStyle name="Input [yellow] 13 2" xfId="19654"/>
    <cellStyle name="Input [yellow] 14" xfId="2514"/>
    <cellStyle name="Input [yellow] 14 2" xfId="19655"/>
    <cellStyle name="Input [yellow] 15" xfId="2515"/>
    <cellStyle name="Input [yellow] 15 2" xfId="19656"/>
    <cellStyle name="Input [yellow] 16" xfId="2516"/>
    <cellStyle name="Input [yellow] 16 2" xfId="19657"/>
    <cellStyle name="Input [yellow] 17" xfId="2517"/>
    <cellStyle name="Input [yellow] 17 2" xfId="19658"/>
    <cellStyle name="Input [yellow] 18" xfId="2518"/>
    <cellStyle name="Input [yellow] 18 2" xfId="19659"/>
    <cellStyle name="Input [yellow] 19" xfId="2519"/>
    <cellStyle name="Input [yellow] 19 2" xfId="19660"/>
    <cellStyle name="Input [yellow] 2" xfId="265"/>
    <cellStyle name="Input [yellow] 2 10" xfId="12760"/>
    <cellStyle name="Input [yellow] 2 10 2" xfId="16123"/>
    <cellStyle name="Input [yellow] 2 10 2 2" xfId="33264"/>
    <cellStyle name="Input [yellow] 2 10 3" xfId="29901"/>
    <cellStyle name="Input [yellow] 2 11" xfId="13485"/>
    <cellStyle name="Input [yellow] 2 11 2" xfId="16836"/>
    <cellStyle name="Input [yellow] 2 11 2 2" xfId="33977"/>
    <cellStyle name="Input [yellow] 2 11 3" xfId="30626"/>
    <cellStyle name="Input [yellow] 2 12" xfId="13263"/>
    <cellStyle name="Input [yellow] 2 12 2" xfId="16614"/>
    <cellStyle name="Input [yellow] 2 12 2 2" xfId="33755"/>
    <cellStyle name="Input [yellow] 2 12 3" xfId="30404"/>
    <cellStyle name="Input [yellow] 2 13" xfId="13355"/>
    <cellStyle name="Input [yellow] 2 13 2" xfId="16706"/>
    <cellStyle name="Input [yellow] 2 13 2 2" xfId="33847"/>
    <cellStyle name="Input [yellow] 2 13 3" xfId="30496"/>
    <cellStyle name="Input [yellow] 2 14" xfId="13760"/>
    <cellStyle name="Input [yellow] 2 14 2" xfId="17111"/>
    <cellStyle name="Input [yellow] 2 14 2 2" xfId="34252"/>
    <cellStyle name="Input [yellow] 2 14 3" xfId="30901"/>
    <cellStyle name="Input [yellow] 2 15" xfId="13725"/>
    <cellStyle name="Input [yellow] 2 15 2" xfId="17076"/>
    <cellStyle name="Input [yellow] 2 15 2 2" xfId="34217"/>
    <cellStyle name="Input [yellow] 2 15 3" xfId="30866"/>
    <cellStyle name="Input [yellow] 2 16" xfId="13851"/>
    <cellStyle name="Input [yellow] 2 16 2" xfId="30992"/>
    <cellStyle name="Input [yellow] 2 17" xfId="17408"/>
    <cellStyle name="Input [yellow] 2 18" xfId="35399"/>
    <cellStyle name="Input [yellow] 2 2" xfId="820"/>
    <cellStyle name="Input [yellow] 2 2 2" xfId="1261"/>
    <cellStyle name="Input [yellow] 2 2 2 2" xfId="2159"/>
    <cellStyle name="Input [yellow] 2 2 2 2 2" xfId="15465"/>
    <cellStyle name="Input [yellow] 2 2 2 2 2 2" xfId="32606"/>
    <cellStyle name="Input [yellow] 2 2 2 2 3" xfId="19302"/>
    <cellStyle name="Input [yellow] 2 2 2 3" xfId="14569"/>
    <cellStyle name="Input [yellow] 2 2 2 3 2" xfId="31710"/>
    <cellStyle name="Input [yellow] 2 2 2 4" xfId="18404"/>
    <cellStyle name="Input [yellow] 2 2 2 5" xfId="35401"/>
    <cellStyle name="Input [yellow] 2 2 3" xfId="1459"/>
    <cellStyle name="Input [yellow] 2 2 3 2" xfId="2357"/>
    <cellStyle name="Input [yellow] 2 2 3 2 2" xfId="15663"/>
    <cellStyle name="Input [yellow] 2 2 3 2 2 2" xfId="32804"/>
    <cellStyle name="Input [yellow] 2 2 3 2 3" xfId="19500"/>
    <cellStyle name="Input [yellow] 2 2 3 3" xfId="14767"/>
    <cellStyle name="Input [yellow] 2 2 3 3 2" xfId="31908"/>
    <cellStyle name="Input [yellow] 2 2 3 4" xfId="18602"/>
    <cellStyle name="Input [yellow] 2 2 3 5" xfId="35402"/>
    <cellStyle name="Input [yellow] 2 2 4" xfId="1764"/>
    <cellStyle name="Input [yellow] 2 2 4 2" xfId="15070"/>
    <cellStyle name="Input [yellow] 2 2 4 2 2" xfId="32211"/>
    <cellStyle name="Input [yellow] 2 2 4 3" xfId="18907"/>
    <cellStyle name="Input [yellow] 2 2 5" xfId="14165"/>
    <cellStyle name="Input [yellow] 2 2 5 2" xfId="31306"/>
    <cellStyle name="Input [yellow] 2 2 6" xfId="17963"/>
    <cellStyle name="Input [yellow] 2 2 7" xfId="35400"/>
    <cellStyle name="Input [yellow] 2 3" xfId="714"/>
    <cellStyle name="Input [yellow] 2 3 2" xfId="1167"/>
    <cellStyle name="Input [yellow] 2 3 2 2" xfId="2065"/>
    <cellStyle name="Input [yellow] 2 3 2 2 2" xfId="15371"/>
    <cellStyle name="Input [yellow] 2 3 2 2 2 2" xfId="32512"/>
    <cellStyle name="Input [yellow] 2 3 2 2 3" xfId="19208"/>
    <cellStyle name="Input [yellow] 2 3 2 3" xfId="14475"/>
    <cellStyle name="Input [yellow] 2 3 2 3 2" xfId="31616"/>
    <cellStyle name="Input [yellow] 2 3 2 4" xfId="18310"/>
    <cellStyle name="Input [yellow] 2 3 3" xfId="1457"/>
    <cellStyle name="Input [yellow] 2 3 3 2" xfId="2355"/>
    <cellStyle name="Input [yellow] 2 3 3 2 2" xfId="15661"/>
    <cellStyle name="Input [yellow] 2 3 3 2 2 2" xfId="32802"/>
    <cellStyle name="Input [yellow] 2 3 3 2 3" xfId="19498"/>
    <cellStyle name="Input [yellow] 2 3 3 3" xfId="14765"/>
    <cellStyle name="Input [yellow] 2 3 3 3 2" xfId="31906"/>
    <cellStyle name="Input [yellow] 2 3 3 4" xfId="18600"/>
    <cellStyle name="Input [yellow] 2 3 4" xfId="1670"/>
    <cellStyle name="Input [yellow] 2 3 4 2" xfId="14976"/>
    <cellStyle name="Input [yellow] 2 3 4 2 2" xfId="32117"/>
    <cellStyle name="Input [yellow] 2 3 4 3" xfId="18813"/>
    <cellStyle name="Input [yellow] 2 3 5" xfId="14071"/>
    <cellStyle name="Input [yellow] 2 3 5 2" xfId="31212"/>
    <cellStyle name="Input [yellow] 2 3 6" xfId="17857"/>
    <cellStyle name="Input [yellow] 2 3 7" xfId="35403"/>
    <cellStyle name="Input [yellow] 2 4" xfId="568"/>
    <cellStyle name="Input [yellow] 2 4 2" xfId="13962"/>
    <cellStyle name="Input [yellow] 2 4 2 2" xfId="31103"/>
    <cellStyle name="Input [yellow] 2 4 3" xfId="17711"/>
    <cellStyle name="Input [yellow] 2 5" xfId="1559"/>
    <cellStyle name="Input [yellow] 2 5 2" xfId="14865"/>
    <cellStyle name="Input [yellow] 2 5 2 2" xfId="32006"/>
    <cellStyle name="Input [yellow] 2 5 3" xfId="18702"/>
    <cellStyle name="Input [yellow] 2 6" xfId="12775"/>
    <cellStyle name="Input [yellow] 2 6 2" xfId="16138"/>
    <cellStyle name="Input [yellow] 2 6 2 2" xfId="33279"/>
    <cellStyle name="Input [yellow] 2 6 3" xfId="29916"/>
    <cellStyle name="Input [yellow] 2 7" xfId="12866"/>
    <cellStyle name="Input [yellow] 2 7 2" xfId="16224"/>
    <cellStyle name="Input [yellow] 2 7 2 2" xfId="33365"/>
    <cellStyle name="Input [yellow] 2 7 3" xfId="30007"/>
    <cellStyle name="Input [yellow] 2 8" xfId="12709"/>
    <cellStyle name="Input [yellow] 2 8 2" xfId="16072"/>
    <cellStyle name="Input [yellow] 2 8 2 2" xfId="33213"/>
    <cellStyle name="Input [yellow] 2 8 3" xfId="29850"/>
    <cellStyle name="Input [yellow] 2 9" xfId="12704"/>
    <cellStyle name="Input [yellow] 2 9 2" xfId="16067"/>
    <cellStyle name="Input [yellow] 2 9 2 2" xfId="33208"/>
    <cellStyle name="Input [yellow] 2 9 3" xfId="29845"/>
    <cellStyle name="Input [yellow] 20" xfId="2520"/>
    <cellStyle name="Input [yellow] 20 2" xfId="19661"/>
    <cellStyle name="Input [yellow] 21" xfId="2521"/>
    <cellStyle name="Input [yellow] 21 2" xfId="19662"/>
    <cellStyle name="Input [yellow] 22" xfId="2522"/>
    <cellStyle name="Input [yellow] 22 2" xfId="19663"/>
    <cellStyle name="Input [yellow] 23" xfId="2523"/>
    <cellStyle name="Input [yellow] 23 2" xfId="19664"/>
    <cellStyle name="Input [yellow] 24" xfId="2524"/>
    <cellStyle name="Input [yellow] 24 2" xfId="15762"/>
    <cellStyle name="Input [yellow] 24 2 2" xfId="32903"/>
    <cellStyle name="Input [yellow] 24 3" xfId="19665"/>
    <cellStyle name="Input [yellow] 25" xfId="17267"/>
    <cellStyle name="Input [yellow] 26" xfId="35398"/>
    <cellStyle name="Input [yellow] 3" xfId="338"/>
    <cellStyle name="Input [yellow] 3 10" xfId="12712"/>
    <cellStyle name="Input [yellow] 3 10 2" xfId="16075"/>
    <cellStyle name="Input [yellow] 3 10 2 2" xfId="33216"/>
    <cellStyle name="Input [yellow] 3 10 3" xfId="29853"/>
    <cellStyle name="Input [yellow] 3 11" xfId="12941"/>
    <cellStyle name="Input [yellow] 3 11 2" xfId="16299"/>
    <cellStyle name="Input [yellow] 3 11 2 2" xfId="33440"/>
    <cellStyle name="Input [yellow] 3 11 3" xfId="30082"/>
    <cellStyle name="Input [yellow] 3 12" xfId="12630"/>
    <cellStyle name="Input [yellow] 3 12 2" xfId="15993"/>
    <cellStyle name="Input [yellow] 3 12 2 2" xfId="33134"/>
    <cellStyle name="Input [yellow] 3 12 3" xfId="29771"/>
    <cellStyle name="Input [yellow] 3 13" xfId="13275"/>
    <cellStyle name="Input [yellow] 3 13 2" xfId="16626"/>
    <cellStyle name="Input [yellow] 3 13 2 2" xfId="33767"/>
    <cellStyle name="Input [yellow] 3 13 3" xfId="30416"/>
    <cellStyle name="Input [yellow] 3 14" xfId="12881"/>
    <cellStyle name="Input [yellow] 3 14 2" xfId="16239"/>
    <cellStyle name="Input [yellow] 3 14 2 2" xfId="33380"/>
    <cellStyle name="Input [yellow] 3 14 3" xfId="30022"/>
    <cellStyle name="Input [yellow] 3 15" xfId="13503"/>
    <cellStyle name="Input [yellow] 3 15 2" xfId="16854"/>
    <cellStyle name="Input [yellow] 3 15 2 2" xfId="33995"/>
    <cellStyle name="Input [yellow] 3 15 3" xfId="30644"/>
    <cellStyle name="Input [yellow] 3 16" xfId="13806"/>
    <cellStyle name="Input [yellow] 3 16 2" xfId="17152"/>
    <cellStyle name="Input [yellow] 3 16 2 2" xfId="34293"/>
    <cellStyle name="Input [yellow] 3 16 3" xfId="30947"/>
    <cellStyle name="Input [yellow] 3 17" xfId="13864"/>
    <cellStyle name="Input [yellow] 3 17 2" xfId="31005"/>
    <cellStyle name="Input [yellow] 3 18" xfId="17481"/>
    <cellStyle name="Input [yellow] 3 19" xfId="35404"/>
    <cellStyle name="Input [yellow] 3 2" xfId="847"/>
    <cellStyle name="Input [yellow] 3 2 2" xfId="1274"/>
    <cellStyle name="Input [yellow] 3 2 2 2" xfId="2172"/>
    <cellStyle name="Input [yellow] 3 2 2 2 2" xfId="15478"/>
    <cellStyle name="Input [yellow] 3 2 2 2 2 2" xfId="32619"/>
    <cellStyle name="Input [yellow] 3 2 2 2 3" xfId="19315"/>
    <cellStyle name="Input [yellow] 3 2 2 3" xfId="14582"/>
    <cellStyle name="Input [yellow] 3 2 2 3 2" xfId="31723"/>
    <cellStyle name="Input [yellow] 3 2 2 4" xfId="18417"/>
    <cellStyle name="Input [yellow] 3 2 3" xfId="1777"/>
    <cellStyle name="Input [yellow] 3 2 3 2" xfId="15083"/>
    <cellStyle name="Input [yellow] 3 2 3 2 2" xfId="32224"/>
    <cellStyle name="Input [yellow] 3 2 3 3" xfId="18920"/>
    <cellStyle name="Input [yellow] 3 2 4" xfId="14178"/>
    <cellStyle name="Input [yellow] 3 2 4 2" xfId="31319"/>
    <cellStyle name="Input [yellow] 3 2 5" xfId="17990"/>
    <cellStyle name="Input [yellow] 3 3" xfId="726"/>
    <cellStyle name="Input [yellow] 3 3 2" xfId="1179"/>
    <cellStyle name="Input [yellow] 3 3 2 2" xfId="2077"/>
    <cellStyle name="Input [yellow] 3 3 2 2 2" xfId="15383"/>
    <cellStyle name="Input [yellow] 3 3 2 2 2 2" xfId="32524"/>
    <cellStyle name="Input [yellow] 3 3 2 2 3" xfId="19220"/>
    <cellStyle name="Input [yellow] 3 3 2 3" xfId="14487"/>
    <cellStyle name="Input [yellow] 3 3 2 3 2" xfId="31628"/>
    <cellStyle name="Input [yellow] 3 3 2 4" xfId="18322"/>
    <cellStyle name="Input [yellow] 3 3 3" xfId="1682"/>
    <cellStyle name="Input [yellow] 3 3 3 2" xfId="14988"/>
    <cellStyle name="Input [yellow] 3 3 3 2 2" xfId="32129"/>
    <cellStyle name="Input [yellow] 3 3 3 3" xfId="18825"/>
    <cellStyle name="Input [yellow] 3 3 4" xfId="14083"/>
    <cellStyle name="Input [yellow] 3 3 4 2" xfId="31224"/>
    <cellStyle name="Input [yellow] 3 3 5" xfId="17869"/>
    <cellStyle name="Input [yellow] 3 4" xfId="978"/>
    <cellStyle name="Input [yellow] 3 4 2" xfId="1381"/>
    <cellStyle name="Input [yellow] 3 4 2 2" xfId="2279"/>
    <cellStyle name="Input [yellow] 3 4 2 2 2" xfId="15585"/>
    <cellStyle name="Input [yellow] 3 4 2 2 2 2" xfId="32726"/>
    <cellStyle name="Input [yellow] 3 4 2 2 3" xfId="19422"/>
    <cellStyle name="Input [yellow] 3 4 2 3" xfId="14689"/>
    <cellStyle name="Input [yellow] 3 4 2 3 2" xfId="31830"/>
    <cellStyle name="Input [yellow] 3 4 2 4" xfId="18524"/>
    <cellStyle name="Input [yellow] 3 4 3" xfId="1885"/>
    <cellStyle name="Input [yellow] 3 4 3 2" xfId="15191"/>
    <cellStyle name="Input [yellow] 3 4 3 2 2" xfId="32332"/>
    <cellStyle name="Input [yellow] 3 4 3 3" xfId="19028"/>
    <cellStyle name="Input [yellow] 3 4 4" xfId="14286"/>
    <cellStyle name="Input [yellow] 3 4 4 2" xfId="31427"/>
    <cellStyle name="Input [yellow] 3 4 5" xfId="18121"/>
    <cellStyle name="Input [yellow] 3 5" xfId="1078"/>
    <cellStyle name="Input [yellow] 3 5 2" xfId="1985"/>
    <cellStyle name="Input [yellow] 3 5 2 2" xfId="15291"/>
    <cellStyle name="Input [yellow] 3 5 2 2 2" xfId="32432"/>
    <cellStyle name="Input [yellow] 3 5 2 3" xfId="19128"/>
    <cellStyle name="Input [yellow] 3 5 3" xfId="14386"/>
    <cellStyle name="Input [yellow] 3 5 3 2" xfId="31527"/>
    <cellStyle name="Input [yellow] 3 5 4" xfId="18221"/>
    <cellStyle name="Input [yellow] 3 6" xfId="1478"/>
    <cellStyle name="Input [yellow] 3 6 2" xfId="2375"/>
    <cellStyle name="Input [yellow] 3 6 2 2" xfId="15681"/>
    <cellStyle name="Input [yellow] 3 6 2 2 2" xfId="32822"/>
    <cellStyle name="Input [yellow] 3 6 2 3" xfId="19518"/>
    <cellStyle name="Input [yellow] 3 6 3" xfId="14785"/>
    <cellStyle name="Input [yellow] 3 6 3 2" xfId="31926"/>
    <cellStyle name="Input [yellow] 3 6 4" xfId="18621"/>
    <cellStyle name="Input [yellow] 3 7" xfId="595"/>
    <cellStyle name="Input [yellow] 3 7 2" xfId="13975"/>
    <cellStyle name="Input [yellow] 3 7 2 2" xfId="31116"/>
    <cellStyle name="Input [yellow] 3 7 3" xfId="17738"/>
    <cellStyle name="Input [yellow] 3 8" xfId="1572"/>
    <cellStyle name="Input [yellow] 3 8 2" xfId="14878"/>
    <cellStyle name="Input [yellow] 3 8 2 2" xfId="32019"/>
    <cellStyle name="Input [yellow] 3 8 3" xfId="18715"/>
    <cellStyle name="Input [yellow] 3 9" xfId="12837"/>
    <cellStyle name="Input [yellow] 3 9 2" xfId="16195"/>
    <cellStyle name="Input [yellow] 3 9 2 2" xfId="33336"/>
    <cellStyle name="Input [yellow] 3 9 3" xfId="29978"/>
    <cellStyle name="Input [yellow] 4" xfId="364"/>
    <cellStyle name="Input [yellow] 4 10" xfId="13178"/>
    <cellStyle name="Input [yellow] 4 10 2" xfId="16529"/>
    <cellStyle name="Input [yellow] 4 10 2 2" xfId="33670"/>
    <cellStyle name="Input [yellow] 4 10 3" xfId="30319"/>
    <cellStyle name="Input [yellow] 4 11" xfId="13027"/>
    <cellStyle name="Input [yellow] 4 11 2" xfId="16378"/>
    <cellStyle name="Input [yellow] 4 11 2 2" xfId="33519"/>
    <cellStyle name="Input [yellow] 4 11 3" xfId="30168"/>
    <cellStyle name="Input [yellow] 4 12" xfId="13280"/>
    <cellStyle name="Input [yellow] 4 12 2" xfId="16631"/>
    <cellStyle name="Input [yellow] 4 12 2 2" xfId="33772"/>
    <cellStyle name="Input [yellow] 4 12 3" xfId="30421"/>
    <cellStyle name="Input [yellow] 4 13" xfId="13090"/>
    <cellStyle name="Input [yellow] 4 13 2" xfId="16441"/>
    <cellStyle name="Input [yellow] 4 13 2 2" xfId="33582"/>
    <cellStyle name="Input [yellow] 4 13 3" xfId="30231"/>
    <cellStyle name="Input [yellow] 4 14" xfId="12800"/>
    <cellStyle name="Input [yellow] 4 14 2" xfId="16161"/>
    <cellStyle name="Input [yellow] 4 14 2 2" xfId="33302"/>
    <cellStyle name="Input [yellow] 4 14 3" xfId="29941"/>
    <cellStyle name="Input [yellow] 4 15" xfId="13804"/>
    <cellStyle name="Input [yellow] 4 15 2" xfId="17150"/>
    <cellStyle name="Input [yellow] 4 15 2 2" xfId="34291"/>
    <cellStyle name="Input [yellow] 4 15 3" xfId="30945"/>
    <cellStyle name="Input [yellow] 4 16" xfId="13881"/>
    <cellStyle name="Input [yellow] 4 16 2" xfId="31022"/>
    <cellStyle name="Input [yellow] 4 17" xfId="17507"/>
    <cellStyle name="Input [yellow] 4 18" xfId="35405"/>
    <cellStyle name="Input [yellow] 4 2" xfId="868"/>
    <cellStyle name="Input [yellow] 4 2 2" xfId="1291"/>
    <cellStyle name="Input [yellow] 4 2 2 2" xfId="2189"/>
    <cellStyle name="Input [yellow] 4 2 2 2 2" xfId="15495"/>
    <cellStyle name="Input [yellow] 4 2 2 2 2 2" xfId="32636"/>
    <cellStyle name="Input [yellow] 4 2 2 2 3" xfId="19332"/>
    <cellStyle name="Input [yellow] 4 2 2 3" xfId="14599"/>
    <cellStyle name="Input [yellow] 4 2 2 3 2" xfId="31740"/>
    <cellStyle name="Input [yellow] 4 2 2 4" xfId="18434"/>
    <cellStyle name="Input [yellow] 4 2 3" xfId="1794"/>
    <cellStyle name="Input [yellow] 4 2 3 2" xfId="15100"/>
    <cellStyle name="Input [yellow] 4 2 3 2 2" xfId="32241"/>
    <cellStyle name="Input [yellow] 4 2 3 3" xfId="18937"/>
    <cellStyle name="Input [yellow] 4 2 4" xfId="14195"/>
    <cellStyle name="Input [yellow] 4 2 4 2" xfId="31336"/>
    <cellStyle name="Input [yellow] 4 2 5" xfId="18011"/>
    <cellStyle name="Input [yellow] 4 3" xfId="991"/>
    <cellStyle name="Input [yellow] 4 3 2" xfId="1898"/>
    <cellStyle name="Input [yellow] 4 3 2 2" xfId="15204"/>
    <cellStyle name="Input [yellow] 4 3 2 2 2" xfId="32345"/>
    <cellStyle name="Input [yellow] 4 3 2 3" xfId="19041"/>
    <cellStyle name="Input [yellow] 4 3 3" xfId="14299"/>
    <cellStyle name="Input [yellow] 4 3 3 2" xfId="31440"/>
    <cellStyle name="Input [yellow] 4 3 4" xfId="18134"/>
    <cellStyle name="Input [yellow] 4 4" xfId="616"/>
    <cellStyle name="Input [yellow] 4 4 2" xfId="13992"/>
    <cellStyle name="Input [yellow] 4 4 2 2" xfId="31133"/>
    <cellStyle name="Input [yellow] 4 4 3" xfId="17759"/>
    <cellStyle name="Input [yellow] 4 5" xfId="1589"/>
    <cellStyle name="Input [yellow] 4 5 2" xfId="14895"/>
    <cellStyle name="Input [yellow] 4 5 2 2" xfId="32036"/>
    <cellStyle name="Input [yellow] 4 5 3" xfId="18732"/>
    <cellStyle name="Input [yellow] 4 6" xfId="12860"/>
    <cellStyle name="Input [yellow] 4 6 2" xfId="16218"/>
    <cellStyle name="Input [yellow] 4 6 2 2" xfId="33359"/>
    <cellStyle name="Input [yellow] 4 6 3" xfId="30001"/>
    <cellStyle name="Input [yellow] 4 7" xfId="12583"/>
    <cellStyle name="Input [yellow] 4 7 2" xfId="15946"/>
    <cellStyle name="Input [yellow] 4 7 2 2" xfId="33087"/>
    <cellStyle name="Input [yellow] 4 7 3" xfId="29724"/>
    <cellStyle name="Input [yellow] 4 8" xfId="12710"/>
    <cellStyle name="Input [yellow] 4 8 2" xfId="16073"/>
    <cellStyle name="Input [yellow] 4 8 2 2" xfId="33214"/>
    <cellStyle name="Input [yellow] 4 8 3" xfId="29851"/>
    <cellStyle name="Input [yellow] 4 9" xfId="12619"/>
    <cellStyle name="Input [yellow] 4 9 2" xfId="15982"/>
    <cellStyle name="Input [yellow] 4 9 2 2" xfId="33123"/>
    <cellStyle name="Input [yellow] 4 9 3" xfId="29760"/>
    <cellStyle name="Input [yellow] 5" xfId="406"/>
    <cellStyle name="Input [yellow] 5 10" xfId="13217"/>
    <cellStyle name="Input [yellow] 5 10 2" xfId="16568"/>
    <cellStyle name="Input [yellow] 5 10 2 2" xfId="33709"/>
    <cellStyle name="Input [yellow] 5 10 3" xfId="30358"/>
    <cellStyle name="Input [yellow] 5 11" xfId="13361"/>
    <cellStyle name="Input [yellow] 5 11 2" xfId="16712"/>
    <cellStyle name="Input [yellow] 5 11 2 2" xfId="33853"/>
    <cellStyle name="Input [yellow] 5 11 3" xfId="30502"/>
    <cellStyle name="Input [yellow] 5 12" xfId="12776"/>
    <cellStyle name="Input [yellow] 5 12 2" xfId="16139"/>
    <cellStyle name="Input [yellow] 5 12 2 2" xfId="33280"/>
    <cellStyle name="Input [yellow] 5 12 3" xfId="29917"/>
    <cellStyle name="Input [yellow] 5 13" xfId="13571"/>
    <cellStyle name="Input [yellow] 5 13 2" xfId="16922"/>
    <cellStyle name="Input [yellow] 5 13 2 2" xfId="34063"/>
    <cellStyle name="Input [yellow] 5 13 3" xfId="30712"/>
    <cellStyle name="Input [yellow] 5 14" xfId="13634"/>
    <cellStyle name="Input [yellow] 5 14 2" xfId="16985"/>
    <cellStyle name="Input [yellow] 5 14 2 2" xfId="34126"/>
    <cellStyle name="Input [yellow] 5 14 3" xfId="30775"/>
    <cellStyle name="Input [yellow] 5 15" xfId="13716"/>
    <cellStyle name="Input [yellow] 5 15 2" xfId="17067"/>
    <cellStyle name="Input [yellow] 5 15 2 2" xfId="34208"/>
    <cellStyle name="Input [yellow] 5 15 3" xfId="30857"/>
    <cellStyle name="Input [yellow] 5 16" xfId="13897"/>
    <cellStyle name="Input [yellow] 5 16 2" xfId="31038"/>
    <cellStyle name="Input [yellow] 5 17" xfId="17549"/>
    <cellStyle name="Input [yellow] 5 2" xfId="892"/>
    <cellStyle name="Input [yellow] 5 2 2" xfId="1307"/>
    <cellStyle name="Input [yellow] 5 2 2 2" xfId="2205"/>
    <cellStyle name="Input [yellow] 5 2 2 2 2" xfId="15511"/>
    <cellStyle name="Input [yellow] 5 2 2 2 2 2" xfId="32652"/>
    <cellStyle name="Input [yellow] 5 2 2 2 3" xfId="19348"/>
    <cellStyle name="Input [yellow] 5 2 2 3" xfId="14615"/>
    <cellStyle name="Input [yellow] 5 2 2 3 2" xfId="31756"/>
    <cellStyle name="Input [yellow] 5 2 2 4" xfId="18450"/>
    <cellStyle name="Input [yellow] 5 2 3" xfId="1810"/>
    <cellStyle name="Input [yellow] 5 2 3 2" xfId="15116"/>
    <cellStyle name="Input [yellow] 5 2 3 2 2" xfId="32257"/>
    <cellStyle name="Input [yellow] 5 2 3 3" xfId="18953"/>
    <cellStyle name="Input [yellow] 5 2 4" xfId="14211"/>
    <cellStyle name="Input [yellow] 5 2 4 2" xfId="31352"/>
    <cellStyle name="Input [yellow] 5 2 5" xfId="18035"/>
    <cellStyle name="Input [yellow] 5 3" xfId="1007"/>
    <cellStyle name="Input [yellow] 5 3 2" xfId="1914"/>
    <cellStyle name="Input [yellow] 5 3 2 2" xfId="15220"/>
    <cellStyle name="Input [yellow] 5 3 2 2 2" xfId="32361"/>
    <cellStyle name="Input [yellow] 5 3 2 3" xfId="19057"/>
    <cellStyle name="Input [yellow] 5 3 3" xfId="14315"/>
    <cellStyle name="Input [yellow] 5 3 3 2" xfId="31456"/>
    <cellStyle name="Input [yellow] 5 3 4" xfId="18150"/>
    <cellStyle name="Input [yellow] 5 4" xfId="640"/>
    <cellStyle name="Input [yellow] 5 4 2" xfId="14008"/>
    <cellStyle name="Input [yellow] 5 4 2 2" xfId="31149"/>
    <cellStyle name="Input [yellow] 5 4 3" xfId="17783"/>
    <cellStyle name="Input [yellow] 5 5" xfId="1605"/>
    <cellStyle name="Input [yellow] 5 5 2" xfId="14911"/>
    <cellStyle name="Input [yellow] 5 5 2 2" xfId="32052"/>
    <cellStyle name="Input [yellow] 5 5 3" xfId="18748"/>
    <cellStyle name="Input [yellow] 5 6" xfId="12897"/>
    <cellStyle name="Input [yellow] 5 6 2" xfId="16255"/>
    <cellStyle name="Input [yellow] 5 6 2 2" xfId="33396"/>
    <cellStyle name="Input [yellow] 5 6 3" xfId="30038"/>
    <cellStyle name="Input [yellow] 5 7" xfId="13008"/>
    <cellStyle name="Input [yellow] 5 7 2" xfId="16359"/>
    <cellStyle name="Input [yellow] 5 7 2 2" xfId="33500"/>
    <cellStyle name="Input [yellow] 5 7 3" xfId="30149"/>
    <cellStyle name="Input [yellow] 5 8" xfId="13095"/>
    <cellStyle name="Input [yellow] 5 8 2" xfId="16446"/>
    <cellStyle name="Input [yellow] 5 8 2 2" xfId="33587"/>
    <cellStyle name="Input [yellow] 5 8 3" xfId="30236"/>
    <cellStyle name="Input [yellow] 5 9" xfId="13179"/>
    <cellStyle name="Input [yellow] 5 9 2" xfId="16530"/>
    <cellStyle name="Input [yellow] 5 9 2 2" xfId="33671"/>
    <cellStyle name="Input [yellow] 5 9 3" xfId="30320"/>
    <cellStyle name="Input [yellow] 6" xfId="348"/>
    <cellStyle name="Input [yellow] 6 10" xfId="12659"/>
    <cellStyle name="Input [yellow] 6 10 2" xfId="16022"/>
    <cellStyle name="Input [yellow] 6 10 2 2" xfId="33163"/>
    <cellStyle name="Input [yellow] 6 10 3" xfId="29800"/>
    <cellStyle name="Input [yellow] 6 11" xfId="12664"/>
    <cellStyle name="Input [yellow] 6 11 2" xfId="16027"/>
    <cellStyle name="Input [yellow] 6 11 2 2" xfId="33168"/>
    <cellStyle name="Input [yellow] 6 11 3" xfId="29805"/>
    <cellStyle name="Input [yellow] 6 12" xfId="13243"/>
    <cellStyle name="Input [yellow] 6 12 2" xfId="16594"/>
    <cellStyle name="Input [yellow] 6 12 2 2" xfId="33735"/>
    <cellStyle name="Input [yellow] 6 12 3" xfId="30384"/>
    <cellStyle name="Input [yellow] 6 13" xfId="12618"/>
    <cellStyle name="Input [yellow] 6 13 2" xfId="15981"/>
    <cellStyle name="Input [yellow] 6 13 2 2" xfId="33122"/>
    <cellStyle name="Input [yellow] 6 13 3" xfId="29759"/>
    <cellStyle name="Input [yellow] 6 14" xfId="13732"/>
    <cellStyle name="Input [yellow] 6 14 2" xfId="17083"/>
    <cellStyle name="Input [yellow] 6 14 2 2" xfId="34224"/>
    <cellStyle name="Input [yellow] 6 14 3" xfId="30873"/>
    <cellStyle name="Input [yellow] 6 15" xfId="13872"/>
    <cellStyle name="Input [yellow] 6 15 2" xfId="31013"/>
    <cellStyle name="Input [yellow] 6 16" xfId="17491"/>
    <cellStyle name="Input [yellow] 6 2" xfId="856"/>
    <cellStyle name="Input [yellow] 6 2 2" xfId="1282"/>
    <cellStyle name="Input [yellow] 6 2 2 2" xfId="2180"/>
    <cellStyle name="Input [yellow] 6 2 2 2 2" xfId="15486"/>
    <cellStyle name="Input [yellow] 6 2 2 2 2 2" xfId="32627"/>
    <cellStyle name="Input [yellow] 6 2 2 2 3" xfId="19323"/>
    <cellStyle name="Input [yellow] 6 2 2 3" xfId="14590"/>
    <cellStyle name="Input [yellow] 6 2 2 3 2" xfId="31731"/>
    <cellStyle name="Input [yellow] 6 2 2 4" xfId="18425"/>
    <cellStyle name="Input [yellow] 6 2 3" xfId="1785"/>
    <cellStyle name="Input [yellow] 6 2 3 2" xfId="15091"/>
    <cellStyle name="Input [yellow] 6 2 3 2 2" xfId="32232"/>
    <cellStyle name="Input [yellow] 6 2 3 3" xfId="18928"/>
    <cellStyle name="Input [yellow] 6 2 4" xfId="14186"/>
    <cellStyle name="Input [yellow] 6 2 4 2" xfId="31327"/>
    <cellStyle name="Input [yellow] 6 2 5" xfId="17999"/>
    <cellStyle name="Input [yellow] 6 3" xfId="730"/>
    <cellStyle name="Input [yellow] 6 3 2" xfId="1183"/>
    <cellStyle name="Input [yellow] 6 3 2 2" xfId="2081"/>
    <cellStyle name="Input [yellow] 6 3 2 2 2" xfId="15387"/>
    <cellStyle name="Input [yellow] 6 3 2 2 2 2" xfId="32528"/>
    <cellStyle name="Input [yellow] 6 3 2 2 3" xfId="19224"/>
    <cellStyle name="Input [yellow] 6 3 2 3" xfId="14491"/>
    <cellStyle name="Input [yellow] 6 3 2 3 2" xfId="31632"/>
    <cellStyle name="Input [yellow] 6 3 2 4" xfId="18326"/>
    <cellStyle name="Input [yellow] 6 3 3" xfId="1686"/>
    <cellStyle name="Input [yellow] 6 3 3 2" xfId="14992"/>
    <cellStyle name="Input [yellow] 6 3 3 2 2" xfId="32133"/>
    <cellStyle name="Input [yellow] 6 3 3 3" xfId="18829"/>
    <cellStyle name="Input [yellow] 6 3 4" xfId="14087"/>
    <cellStyle name="Input [yellow] 6 3 4 2" xfId="31228"/>
    <cellStyle name="Input [yellow] 6 3 5" xfId="17873"/>
    <cellStyle name="Input [yellow] 6 4" xfId="983"/>
    <cellStyle name="Input [yellow] 6 4 2" xfId="1385"/>
    <cellStyle name="Input [yellow] 6 4 2 2" xfId="2283"/>
    <cellStyle name="Input [yellow] 6 4 2 2 2" xfId="15589"/>
    <cellStyle name="Input [yellow] 6 4 2 2 2 2" xfId="32730"/>
    <cellStyle name="Input [yellow] 6 4 2 2 3" xfId="19426"/>
    <cellStyle name="Input [yellow] 6 4 2 3" xfId="14693"/>
    <cellStyle name="Input [yellow] 6 4 2 3 2" xfId="31834"/>
    <cellStyle name="Input [yellow] 6 4 2 4" xfId="18528"/>
    <cellStyle name="Input [yellow] 6 4 3" xfId="1890"/>
    <cellStyle name="Input [yellow] 6 4 3 2" xfId="15196"/>
    <cellStyle name="Input [yellow] 6 4 3 2 2" xfId="32337"/>
    <cellStyle name="Input [yellow] 6 4 3 3" xfId="19033"/>
    <cellStyle name="Input [yellow] 6 4 4" xfId="14291"/>
    <cellStyle name="Input [yellow] 6 4 4 2" xfId="31432"/>
    <cellStyle name="Input [yellow] 6 4 5" xfId="18126"/>
    <cellStyle name="Input [yellow] 6 5" xfId="1085"/>
    <cellStyle name="Input [yellow] 6 5 2" xfId="1989"/>
    <cellStyle name="Input [yellow] 6 5 2 2" xfId="15295"/>
    <cellStyle name="Input [yellow] 6 5 2 2 2" xfId="32436"/>
    <cellStyle name="Input [yellow] 6 5 2 3" xfId="19132"/>
    <cellStyle name="Input [yellow] 6 5 3" xfId="14393"/>
    <cellStyle name="Input [yellow] 6 5 3 2" xfId="31534"/>
    <cellStyle name="Input [yellow] 6 5 4" xfId="18228"/>
    <cellStyle name="Input [yellow] 6 6" xfId="1482"/>
    <cellStyle name="Input [yellow] 6 6 2" xfId="2379"/>
    <cellStyle name="Input [yellow] 6 6 2 2" xfId="15685"/>
    <cellStyle name="Input [yellow] 6 6 2 2 2" xfId="32826"/>
    <cellStyle name="Input [yellow] 6 6 2 3" xfId="19522"/>
    <cellStyle name="Input [yellow] 6 6 3" xfId="14789"/>
    <cellStyle name="Input [yellow] 6 6 3 2" xfId="31930"/>
    <cellStyle name="Input [yellow] 6 6 4" xfId="18625"/>
    <cellStyle name="Input [yellow] 6 7" xfId="604"/>
    <cellStyle name="Input [yellow] 6 7 2" xfId="13983"/>
    <cellStyle name="Input [yellow] 6 7 2 2" xfId="31124"/>
    <cellStyle name="Input [yellow] 6 7 3" xfId="17747"/>
    <cellStyle name="Input [yellow] 6 8" xfId="1580"/>
    <cellStyle name="Input [yellow] 6 8 2" xfId="14886"/>
    <cellStyle name="Input [yellow] 6 8 2 2" xfId="32027"/>
    <cellStyle name="Input [yellow] 6 8 3" xfId="18723"/>
    <cellStyle name="Input [yellow] 6 9" xfId="12846"/>
    <cellStyle name="Input [yellow] 6 9 2" xfId="16204"/>
    <cellStyle name="Input [yellow] 6 9 2 2" xfId="33345"/>
    <cellStyle name="Input [yellow] 6 9 3" xfId="29987"/>
    <cellStyle name="Input [yellow] 7" xfId="320"/>
    <cellStyle name="Input [yellow] 7 10" xfId="12661"/>
    <cellStyle name="Input [yellow] 7 10 2" xfId="16024"/>
    <cellStyle name="Input [yellow] 7 10 2 2" xfId="33165"/>
    <cellStyle name="Input [yellow] 7 10 3" xfId="29802"/>
    <cellStyle name="Input [yellow] 7 11" xfId="13270"/>
    <cellStyle name="Input [yellow] 7 11 2" xfId="16621"/>
    <cellStyle name="Input [yellow] 7 11 2 2" xfId="33762"/>
    <cellStyle name="Input [yellow] 7 11 3" xfId="30411"/>
    <cellStyle name="Input [yellow] 7 12" xfId="12772"/>
    <cellStyle name="Input [yellow] 7 12 2" xfId="16135"/>
    <cellStyle name="Input [yellow] 7 12 2 2" xfId="33276"/>
    <cellStyle name="Input [yellow] 7 12 3" xfId="29913"/>
    <cellStyle name="Input [yellow] 7 13" xfId="13462"/>
    <cellStyle name="Input [yellow] 7 13 2" xfId="16813"/>
    <cellStyle name="Input [yellow] 7 13 2 2" xfId="33954"/>
    <cellStyle name="Input [yellow] 7 13 3" xfId="30603"/>
    <cellStyle name="Input [yellow] 7 14" xfId="13213"/>
    <cellStyle name="Input [yellow] 7 14 2" xfId="16564"/>
    <cellStyle name="Input [yellow] 7 14 2 2" xfId="33705"/>
    <cellStyle name="Input [yellow] 7 14 3" xfId="30354"/>
    <cellStyle name="Input [yellow] 7 15" xfId="13360"/>
    <cellStyle name="Input [yellow] 7 15 2" xfId="16711"/>
    <cellStyle name="Input [yellow] 7 15 2 2" xfId="33852"/>
    <cellStyle name="Input [yellow] 7 15 3" xfId="30501"/>
    <cellStyle name="Input [yellow] 7 16" xfId="13805"/>
    <cellStyle name="Input [yellow] 7 16 2" xfId="17151"/>
    <cellStyle name="Input [yellow] 7 16 2 2" xfId="34292"/>
    <cellStyle name="Input [yellow] 7 16 3" xfId="30946"/>
    <cellStyle name="Input [yellow] 7 17" xfId="13854"/>
    <cellStyle name="Input [yellow] 7 17 2" xfId="30995"/>
    <cellStyle name="Input [yellow] 7 18" xfId="17463"/>
    <cellStyle name="Input [yellow] 7 2" xfId="832"/>
    <cellStyle name="Input [yellow] 7 2 2" xfId="1264"/>
    <cellStyle name="Input [yellow] 7 2 2 2" xfId="2162"/>
    <cellStyle name="Input [yellow] 7 2 2 2 2" xfId="15468"/>
    <cellStyle name="Input [yellow] 7 2 2 2 2 2" xfId="32609"/>
    <cellStyle name="Input [yellow] 7 2 2 2 3" xfId="19305"/>
    <cellStyle name="Input [yellow] 7 2 2 3" xfId="14572"/>
    <cellStyle name="Input [yellow] 7 2 2 3 2" xfId="31713"/>
    <cellStyle name="Input [yellow] 7 2 2 4" xfId="18407"/>
    <cellStyle name="Input [yellow] 7 2 3" xfId="1767"/>
    <cellStyle name="Input [yellow] 7 2 3 2" xfId="15073"/>
    <cellStyle name="Input [yellow] 7 2 3 2 2" xfId="32214"/>
    <cellStyle name="Input [yellow] 7 2 3 3" xfId="18910"/>
    <cellStyle name="Input [yellow] 7 2 4" xfId="14168"/>
    <cellStyle name="Input [yellow] 7 2 4 2" xfId="31309"/>
    <cellStyle name="Input [yellow] 7 2 5" xfId="17975"/>
    <cellStyle name="Input [yellow] 7 3" xfId="968"/>
    <cellStyle name="Input [yellow] 7 3 2" xfId="1875"/>
    <cellStyle name="Input [yellow] 7 3 2 2" xfId="15181"/>
    <cellStyle name="Input [yellow] 7 3 2 2 2" xfId="32322"/>
    <cellStyle name="Input [yellow] 7 3 2 3" xfId="19018"/>
    <cellStyle name="Input [yellow] 7 3 3" xfId="14276"/>
    <cellStyle name="Input [yellow] 7 3 3 2" xfId="31417"/>
    <cellStyle name="Input [yellow] 7 3 4" xfId="18111"/>
    <cellStyle name="Input [yellow] 7 4" xfId="580"/>
    <cellStyle name="Input [yellow] 7 4 2" xfId="13965"/>
    <cellStyle name="Input [yellow] 7 4 2 2" xfId="31106"/>
    <cellStyle name="Input [yellow] 7 4 3" xfId="17723"/>
    <cellStyle name="Input [yellow] 7 5" xfId="1562"/>
    <cellStyle name="Input [yellow] 7 5 2" xfId="14868"/>
    <cellStyle name="Input [yellow] 7 5 2 2" xfId="32009"/>
    <cellStyle name="Input [yellow] 7 5 3" xfId="18705"/>
    <cellStyle name="Input [yellow] 7 6" xfId="12820"/>
    <cellStyle name="Input [yellow] 7 6 2" xfId="16178"/>
    <cellStyle name="Input [yellow] 7 6 2 2" xfId="33319"/>
    <cellStyle name="Input [yellow] 7 6 3" xfId="29961"/>
    <cellStyle name="Input [yellow] 7 7" xfId="12643"/>
    <cellStyle name="Input [yellow] 7 7 2" xfId="16006"/>
    <cellStyle name="Input [yellow] 7 7 2 2" xfId="33147"/>
    <cellStyle name="Input [yellow] 7 7 3" xfId="29784"/>
    <cellStyle name="Input [yellow] 7 8" xfId="12690"/>
    <cellStyle name="Input [yellow] 7 8 2" xfId="16053"/>
    <cellStyle name="Input [yellow] 7 8 2 2" xfId="33194"/>
    <cellStyle name="Input [yellow] 7 8 3" xfId="29831"/>
    <cellStyle name="Input [yellow] 7 9" xfId="12989"/>
    <cellStyle name="Input [yellow] 7 9 2" xfId="16340"/>
    <cellStyle name="Input [yellow] 7 9 2 2" xfId="33481"/>
    <cellStyle name="Input [yellow] 7 9 3" xfId="30130"/>
    <cellStyle name="Input [yellow] 8" xfId="432"/>
    <cellStyle name="Input [yellow] 8 10" xfId="13279"/>
    <cellStyle name="Input [yellow] 8 10 2" xfId="16630"/>
    <cellStyle name="Input [yellow] 8 10 2 2" xfId="33771"/>
    <cellStyle name="Input [yellow] 8 10 3" xfId="30420"/>
    <cellStyle name="Input [yellow] 8 11" xfId="13174"/>
    <cellStyle name="Input [yellow] 8 11 2" xfId="16525"/>
    <cellStyle name="Input [yellow] 8 11 2 2" xfId="33666"/>
    <cellStyle name="Input [yellow] 8 11 3" xfId="30315"/>
    <cellStyle name="Input [yellow] 8 12" xfId="13383"/>
    <cellStyle name="Input [yellow] 8 12 2" xfId="16734"/>
    <cellStyle name="Input [yellow] 8 12 2 2" xfId="33875"/>
    <cellStyle name="Input [yellow] 8 12 3" xfId="30524"/>
    <cellStyle name="Input [yellow] 8 13" xfId="13523"/>
    <cellStyle name="Input [yellow] 8 13 2" xfId="16874"/>
    <cellStyle name="Input [yellow] 8 13 2 2" xfId="34015"/>
    <cellStyle name="Input [yellow] 8 13 3" xfId="30664"/>
    <cellStyle name="Input [yellow] 8 14" xfId="13591"/>
    <cellStyle name="Input [yellow] 8 14 2" xfId="16942"/>
    <cellStyle name="Input [yellow] 8 14 2 2" xfId="34083"/>
    <cellStyle name="Input [yellow] 8 14 3" xfId="30732"/>
    <cellStyle name="Input [yellow] 8 15" xfId="13654"/>
    <cellStyle name="Input [yellow] 8 15 2" xfId="17005"/>
    <cellStyle name="Input [yellow] 8 15 2 2" xfId="34146"/>
    <cellStyle name="Input [yellow] 8 15 3" xfId="30795"/>
    <cellStyle name="Input [yellow] 8 16" xfId="13703"/>
    <cellStyle name="Input [yellow] 8 16 2" xfId="17054"/>
    <cellStyle name="Input [yellow] 8 16 2 2" xfId="34195"/>
    <cellStyle name="Input [yellow] 8 16 3" xfId="30844"/>
    <cellStyle name="Input [yellow] 8 17" xfId="13917"/>
    <cellStyle name="Input [yellow] 8 17 2" xfId="31058"/>
    <cellStyle name="Input [yellow] 8 18" xfId="17575"/>
    <cellStyle name="Input [yellow] 8 2" xfId="913"/>
    <cellStyle name="Input [yellow] 8 2 2" xfId="1327"/>
    <cellStyle name="Input [yellow] 8 2 2 2" xfId="2225"/>
    <cellStyle name="Input [yellow] 8 2 2 2 2" xfId="15531"/>
    <cellStyle name="Input [yellow] 8 2 2 2 2 2" xfId="32672"/>
    <cellStyle name="Input [yellow] 8 2 2 2 3" xfId="19368"/>
    <cellStyle name="Input [yellow] 8 2 2 3" xfId="14635"/>
    <cellStyle name="Input [yellow] 8 2 2 3 2" xfId="31776"/>
    <cellStyle name="Input [yellow] 8 2 2 4" xfId="18470"/>
    <cellStyle name="Input [yellow] 8 2 3" xfId="1830"/>
    <cellStyle name="Input [yellow] 8 2 3 2" xfId="15136"/>
    <cellStyle name="Input [yellow] 8 2 3 2 2" xfId="32277"/>
    <cellStyle name="Input [yellow] 8 2 3 3" xfId="18973"/>
    <cellStyle name="Input [yellow] 8 2 4" xfId="14231"/>
    <cellStyle name="Input [yellow] 8 2 4 2" xfId="31372"/>
    <cellStyle name="Input [yellow] 8 2 5" xfId="18056"/>
    <cellStyle name="Input [yellow] 8 3" xfId="1027"/>
    <cellStyle name="Input [yellow] 8 3 2" xfId="1934"/>
    <cellStyle name="Input [yellow] 8 3 2 2" xfId="15240"/>
    <cellStyle name="Input [yellow] 8 3 2 2 2" xfId="32381"/>
    <cellStyle name="Input [yellow] 8 3 2 3" xfId="19077"/>
    <cellStyle name="Input [yellow] 8 3 3" xfId="14335"/>
    <cellStyle name="Input [yellow] 8 3 3 2" xfId="31476"/>
    <cellStyle name="Input [yellow] 8 3 4" xfId="18170"/>
    <cellStyle name="Input [yellow] 8 4" xfId="661"/>
    <cellStyle name="Input [yellow] 8 4 2" xfId="14028"/>
    <cellStyle name="Input [yellow] 8 4 2 2" xfId="31169"/>
    <cellStyle name="Input [yellow] 8 4 3" xfId="17804"/>
    <cellStyle name="Input [yellow] 8 5" xfId="1625"/>
    <cellStyle name="Input [yellow] 8 5 2" xfId="14931"/>
    <cellStyle name="Input [yellow] 8 5 2 2" xfId="32072"/>
    <cellStyle name="Input [yellow] 8 5 3" xfId="18768"/>
    <cellStyle name="Input [yellow] 8 6" xfId="12921"/>
    <cellStyle name="Input [yellow] 8 6 2" xfId="16279"/>
    <cellStyle name="Input [yellow] 8 6 2 2" xfId="33420"/>
    <cellStyle name="Input [yellow] 8 6 3" xfId="30062"/>
    <cellStyle name="Input [yellow] 8 7" xfId="13032"/>
    <cellStyle name="Input [yellow] 8 7 2" xfId="16383"/>
    <cellStyle name="Input [yellow] 8 7 2 2" xfId="33524"/>
    <cellStyle name="Input [yellow] 8 7 3" xfId="30173"/>
    <cellStyle name="Input [yellow] 8 8" xfId="13117"/>
    <cellStyle name="Input [yellow] 8 8 2" xfId="16468"/>
    <cellStyle name="Input [yellow] 8 8 2 2" xfId="33609"/>
    <cellStyle name="Input [yellow] 8 8 3" xfId="30258"/>
    <cellStyle name="Input [yellow] 8 9" xfId="13205"/>
    <cellStyle name="Input [yellow] 8 9 2" xfId="16556"/>
    <cellStyle name="Input [yellow] 8 9 2 2" xfId="33697"/>
    <cellStyle name="Input [yellow] 8 9 3" xfId="30346"/>
    <cellStyle name="Input [yellow] 9" xfId="474"/>
    <cellStyle name="Input [yellow] 9 10" xfId="13329"/>
    <cellStyle name="Input [yellow] 9 10 2" xfId="16680"/>
    <cellStyle name="Input [yellow] 9 10 2 2" xfId="33821"/>
    <cellStyle name="Input [yellow] 9 10 3" xfId="30470"/>
    <cellStyle name="Input [yellow] 9 11" xfId="13416"/>
    <cellStyle name="Input [yellow] 9 11 2" xfId="16767"/>
    <cellStyle name="Input [yellow] 9 11 2 2" xfId="33908"/>
    <cellStyle name="Input [yellow] 9 11 3" xfId="30557"/>
    <cellStyle name="Input [yellow] 9 12" xfId="13553"/>
    <cellStyle name="Input [yellow] 9 12 2" xfId="16904"/>
    <cellStyle name="Input [yellow] 9 12 2 2" xfId="34045"/>
    <cellStyle name="Input [yellow] 9 12 3" xfId="30694"/>
    <cellStyle name="Input [yellow] 9 13" xfId="13618"/>
    <cellStyle name="Input [yellow] 9 13 2" xfId="16969"/>
    <cellStyle name="Input [yellow] 9 13 2 2" xfId="34110"/>
    <cellStyle name="Input [yellow] 9 13 3" xfId="30759"/>
    <cellStyle name="Input [yellow] 9 14" xfId="13680"/>
    <cellStyle name="Input [yellow] 9 14 2" xfId="17031"/>
    <cellStyle name="Input [yellow] 9 14 2 2" xfId="34172"/>
    <cellStyle name="Input [yellow] 9 14 3" xfId="30821"/>
    <cellStyle name="Input [yellow] 9 15" xfId="13825"/>
    <cellStyle name="Input [yellow] 9 15 2" xfId="17164"/>
    <cellStyle name="Input [yellow] 9 15 2 2" xfId="34305"/>
    <cellStyle name="Input [yellow] 9 15 3" xfId="30966"/>
    <cellStyle name="Input [yellow] 9 16" xfId="13943"/>
    <cellStyle name="Input [yellow] 9 16 2" xfId="31084"/>
    <cellStyle name="Input [yellow] 9 17" xfId="17617"/>
    <cellStyle name="Input [yellow] 9 2" xfId="942"/>
    <cellStyle name="Input [yellow] 9 2 2" xfId="1353"/>
    <cellStyle name="Input [yellow] 9 2 2 2" xfId="2251"/>
    <cellStyle name="Input [yellow] 9 2 2 2 2" xfId="15557"/>
    <cellStyle name="Input [yellow] 9 2 2 2 2 2" xfId="32698"/>
    <cellStyle name="Input [yellow] 9 2 2 2 3" xfId="19394"/>
    <cellStyle name="Input [yellow] 9 2 2 3" xfId="14661"/>
    <cellStyle name="Input [yellow] 9 2 2 3 2" xfId="31802"/>
    <cellStyle name="Input [yellow] 9 2 2 4" xfId="18496"/>
    <cellStyle name="Input [yellow] 9 2 3" xfId="1856"/>
    <cellStyle name="Input [yellow] 9 2 3 2" xfId="15162"/>
    <cellStyle name="Input [yellow] 9 2 3 2 2" xfId="32303"/>
    <cellStyle name="Input [yellow] 9 2 3 3" xfId="18999"/>
    <cellStyle name="Input [yellow] 9 2 4" xfId="14257"/>
    <cellStyle name="Input [yellow] 9 2 4 2" xfId="31398"/>
    <cellStyle name="Input [yellow] 9 2 5" xfId="18085"/>
    <cellStyle name="Input [yellow] 9 3" xfId="1050"/>
    <cellStyle name="Input [yellow] 9 3 2" xfId="1957"/>
    <cellStyle name="Input [yellow] 9 3 2 2" xfId="15263"/>
    <cellStyle name="Input [yellow] 9 3 2 2 2" xfId="32404"/>
    <cellStyle name="Input [yellow] 9 3 2 3" xfId="19100"/>
    <cellStyle name="Input [yellow] 9 3 3" xfId="14358"/>
    <cellStyle name="Input [yellow] 9 3 3 2" xfId="31499"/>
    <cellStyle name="Input [yellow] 9 3 4" xfId="18193"/>
    <cellStyle name="Input [yellow] 9 4" xfId="1651"/>
    <cellStyle name="Input [yellow] 9 4 2" xfId="14957"/>
    <cellStyle name="Input [yellow] 9 4 2 2" xfId="32098"/>
    <cellStyle name="Input [yellow] 9 4 3" xfId="18794"/>
    <cellStyle name="Input [yellow] 9 5" xfId="12957"/>
    <cellStyle name="Input [yellow] 9 5 2" xfId="16315"/>
    <cellStyle name="Input [yellow] 9 5 2 2" xfId="33456"/>
    <cellStyle name="Input [yellow] 9 5 3" xfId="30098"/>
    <cellStyle name="Input [yellow] 9 6" xfId="13069"/>
    <cellStyle name="Input [yellow] 9 6 2" xfId="16420"/>
    <cellStyle name="Input [yellow] 9 6 2 2" xfId="33561"/>
    <cellStyle name="Input [yellow] 9 6 3" xfId="30210"/>
    <cellStyle name="Input [yellow] 9 7" xfId="13149"/>
    <cellStyle name="Input [yellow] 9 7 2" xfId="16500"/>
    <cellStyle name="Input [yellow] 9 7 2 2" xfId="33641"/>
    <cellStyle name="Input [yellow] 9 7 3" xfId="30290"/>
    <cellStyle name="Input [yellow] 9 8" xfId="13241"/>
    <cellStyle name="Input [yellow] 9 8 2" xfId="16592"/>
    <cellStyle name="Input [yellow] 9 8 2 2" xfId="33733"/>
    <cellStyle name="Input [yellow] 9 8 3" xfId="30382"/>
    <cellStyle name="Input [yellow] 9 9" xfId="13300"/>
    <cellStyle name="Input [yellow] 9 9 2" xfId="16651"/>
    <cellStyle name="Input [yellow] 9 9 2 2" xfId="33792"/>
    <cellStyle name="Input [yellow] 9 9 3" xfId="30441"/>
    <cellStyle name="KAGE" xfId="36369"/>
    <cellStyle name="KTY" xfId="36370"/>
    <cellStyle name="KWE標準" xfId="36371"/>
    <cellStyle name="les" xfId="36372"/>
    <cellStyle name="Link Currency (0)" xfId="36373"/>
    <cellStyle name="Link Currency (2)" xfId="36374"/>
    <cellStyle name="Link Units (0)" xfId="36375"/>
    <cellStyle name="Link Units (1)" xfId="36376"/>
    <cellStyle name="Link Units (2)" xfId="36377"/>
    <cellStyle name="Linked Cell" xfId="36378"/>
    <cellStyle name="ŀ䅀᠀ŀŀ䅀᠀ŀŀ䅀᠀ŀŀ䅀᠀ŀŀ䅀᠀ŀŀ䅀᠀ŀ" xfId="36379"/>
    <cellStyle name="ŀ䅀਀ŀŀ䅀᠀ŀŀ䅀਀ŀŀ䅀᠀ŀŀ䅀᠀ŀŀ䅀᠀ŀŀ䅀᠀ŀŀ䅀᠀ŀŀ䅀᠀ŀŀ䅀᠀ŀŀ䅀᠀ŀ" xfId="36380"/>
    <cellStyle name="Millares [0]_PERSONAL" xfId="115"/>
    <cellStyle name="Millares_PERSONAL" xfId="116"/>
    <cellStyle name="Milliers [0]_AR1194" xfId="36381"/>
    <cellStyle name="Milliers_AR1194" xfId="36382"/>
    <cellStyle name="Model" xfId="117"/>
    <cellStyle name="Model 10" xfId="443"/>
    <cellStyle name="Model 10 2" xfId="17586"/>
    <cellStyle name="Model 11" xfId="17268"/>
    <cellStyle name="Model 12" xfId="35406"/>
    <cellStyle name="Model 2" xfId="266"/>
    <cellStyle name="Model 2 2" xfId="821"/>
    <cellStyle name="Model 2 2 2" xfId="17964"/>
    <cellStyle name="Model 2 3" xfId="569"/>
    <cellStyle name="Model 2 3 2" xfId="17712"/>
    <cellStyle name="Model 2 4" xfId="17409"/>
    <cellStyle name="Model 2 5" xfId="35407"/>
    <cellStyle name="Model 3" xfId="375"/>
    <cellStyle name="Model 3 2" xfId="875"/>
    <cellStyle name="Model 3 2 2" xfId="18018"/>
    <cellStyle name="Model 3 3" xfId="623"/>
    <cellStyle name="Model 3 3 2" xfId="17766"/>
    <cellStyle name="Model 3 4" xfId="17518"/>
    <cellStyle name="Model 3 5" xfId="35408"/>
    <cellStyle name="Model 4" xfId="335"/>
    <cellStyle name="Model 4 2" xfId="844"/>
    <cellStyle name="Model 4 2 2" xfId="17987"/>
    <cellStyle name="Model 4 3" xfId="592"/>
    <cellStyle name="Model 4 3 2" xfId="17735"/>
    <cellStyle name="Model 4 4" xfId="17478"/>
    <cellStyle name="Model 5" xfId="329"/>
    <cellStyle name="Model 5 2" xfId="838"/>
    <cellStyle name="Model 5 2 2" xfId="17981"/>
    <cellStyle name="Model 5 3" xfId="586"/>
    <cellStyle name="Model 5 3 2" xfId="17729"/>
    <cellStyle name="Model 5 4" xfId="17472"/>
    <cellStyle name="Model 6" xfId="398"/>
    <cellStyle name="Model 6 2" xfId="887"/>
    <cellStyle name="Model 6 2 2" xfId="18030"/>
    <cellStyle name="Model 6 3" xfId="635"/>
    <cellStyle name="Model 6 3 2" xfId="17778"/>
    <cellStyle name="Model 6 4" xfId="17541"/>
    <cellStyle name="Model 7" xfId="391"/>
    <cellStyle name="Model 7 2" xfId="883"/>
    <cellStyle name="Model 7 2 2" xfId="18026"/>
    <cellStyle name="Model 7 3" xfId="631"/>
    <cellStyle name="Model 7 3 2" xfId="17774"/>
    <cellStyle name="Model 7 4" xfId="17534"/>
    <cellStyle name="Model 8" xfId="469"/>
    <cellStyle name="Model 8 2" xfId="938"/>
    <cellStyle name="Model 8 2 2" xfId="18081"/>
    <cellStyle name="Model 8 3" xfId="685"/>
    <cellStyle name="Model 8 3 2" xfId="17828"/>
    <cellStyle name="Model 8 4" xfId="17612"/>
    <cellStyle name="Model 9" xfId="439"/>
    <cellStyle name="Model 9 2" xfId="917"/>
    <cellStyle name="Model 9 2 2" xfId="18060"/>
    <cellStyle name="Model 9 3" xfId="665"/>
    <cellStyle name="Model 9 3 2" xfId="17808"/>
    <cellStyle name="Model 9 4" xfId="17582"/>
    <cellStyle name="Mon?aire [0]_AR1194" xfId="36383"/>
    <cellStyle name="Mon?aire_AR1194" xfId="36384"/>
    <cellStyle name="Moneda [0]_CONTENCION CONDELL 25.051" xfId="118"/>
    <cellStyle name="Moneda_CONTENCION CONDELL 25.051" xfId="119"/>
    <cellStyle name="Neutral" xfId="36385"/>
    <cellStyle name="no dec" xfId="120"/>
    <cellStyle name="no dec 2" xfId="267"/>
    <cellStyle name="no dec 2 2" xfId="17410"/>
    <cellStyle name="no dec 3" xfId="17269"/>
    <cellStyle name="nohs" xfId="36386"/>
    <cellStyle name="Normal - Style1" xfId="121"/>
    <cellStyle name="Normal - Style1 10" xfId="35410"/>
    <cellStyle name="Normal - Style1 11" xfId="35409"/>
    <cellStyle name="Normal - Style1 2" xfId="268"/>
    <cellStyle name="Normal - Style1 2 2" xfId="17411"/>
    <cellStyle name="Normal - Style1 2 2 2" xfId="35413"/>
    <cellStyle name="Normal - Style1 2 2 2 2" xfId="35414"/>
    <cellStyle name="Normal - Style1 2 2 2 3" xfId="35415"/>
    <cellStyle name="Normal - Style1 2 2 3" xfId="35416"/>
    <cellStyle name="Normal - Style1 2 2 4" xfId="35412"/>
    <cellStyle name="Normal - Style1 2 3" xfId="35417"/>
    <cellStyle name="Normal - Style1 2 4" xfId="35418"/>
    <cellStyle name="Normal - Style1 2 5" xfId="35419"/>
    <cellStyle name="Normal - Style1 2 6" xfId="35420"/>
    <cellStyle name="Normal - Style1 2 7" xfId="35411"/>
    <cellStyle name="Normal - Style1 3" xfId="2525"/>
    <cellStyle name="Normal - Style1 3 2" xfId="19666"/>
    <cellStyle name="Normal - Style1 3 3" xfId="35421"/>
    <cellStyle name="Normal - Style1 4" xfId="17270"/>
    <cellStyle name="Normal - Style1 4 2" xfId="35422"/>
    <cellStyle name="Normal - Style1 5" xfId="35423"/>
    <cellStyle name="Normal - Style1 6" xfId="35424"/>
    <cellStyle name="Normal - Style1 7" xfId="35425"/>
    <cellStyle name="Normal - Style1 8" xfId="35426"/>
    <cellStyle name="Normal - Style1 9" xfId="35427"/>
    <cellStyle name="Normal - Style2" xfId="122"/>
    <cellStyle name="Normal - Style2 2" xfId="269"/>
    <cellStyle name="Normal - Style2 2 2" xfId="17412"/>
    <cellStyle name="Normal - Style2 3" xfId="17271"/>
    <cellStyle name="Normal - Style3" xfId="123"/>
    <cellStyle name="Normal - Style3 2" xfId="270"/>
    <cellStyle name="Normal - Style3 2 2" xfId="17413"/>
    <cellStyle name="Normal - Style3 3" xfId="17272"/>
    <cellStyle name="Normal - Style4" xfId="124"/>
    <cellStyle name="Normal - Style4 2" xfId="271"/>
    <cellStyle name="Normal - Style4 2 2" xfId="17414"/>
    <cellStyle name="Normal - Style4 3" xfId="17273"/>
    <cellStyle name="Normal - Style5" xfId="125"/>
    <cellStyle name="Normal - Style5 2" xfId="272"/>
    <cellStyle name="Normal - Style5 2 2" xfId="17415"/>
    <cellStyle name="Normal - Style5 3" xfId="17274"/>
    <cellStyle name="Normal - Style6" xfId="126"/>
    <cellStyle name="Normal - Style6 2" xfId="273"/>
    <cellStyle name="Normal - Style6 2 2" xfId="17416"/>
    <cellStyle name="Normal - Style6 3" xfId="17275"/>
    <cellStyle name="Normal - Style7" xfId="127"/>
    <cellStyle name="Normal - Style7 2" xfId="274"/>
    <cellStyle name="Normal - Style7 2 2" xfId="17417"/>
    <cellStyle name="Normal - Style7 3" xfId="17276"/>
    <cellStyle name="Normal - Style8" xfId="128"/>
    <cellStyle name="Normal - Style8 2" xfId="275"/>
    <cellStyle name="Normal - Style8 2 2" xfId="17418"/>
    <cellStyle name="Normal - Style8 3" xfId="17277"/>
    <cellStyle name="Normal_ SALES" xfId="36387"/>
    <cellStyle name="Normal1" xfId="36388"/>
    <cellStyle name="Normal2" xfId="36389"/>
    <cellStyle name="Normal3" xfId="36390"/>
    <cellStyle name="Normal4" xfId="36391"/>
    <cellStyle name="Normale_Entry" xfId="36392"/>
    <cellStyle name="Note" xfId="36393"/>
    <cellStyle name="number" xfId="36394"/>
    <cellStyle name="ًormal_Israel&amp;Safr" xfId="36395"/>
    <cellStyle name="Output" xfId="36396"/>
    <cellStyle name="Output Amounts" xfId="36397"/>
    <cellStyle name="Output Column Headings" xfId="36398"/>
    <cellStyle name="Output Line Items" xfId="36399"/>
    <cellStyle name="Output Report Heading" xfId="36400"/>
    <cellStyle name="Output Report Title" xfId="36401"/>
    <cellStyle name="Percent" xfId="141"/>
    <cellStyle name="Percent [0]" xfId="36402"/>
    <cellStyle name="Percent [00]" xfId="36403"/>
    <cellStyle name="Percent [2]" xfId="129"/>
    <cellStyle name="Percent [2] 2" xfId="276"/>
    <cellStyle name="Percent [2] 2 2" xfId="17419"/>
    <cellStyle name="Percent [2] 3" xfId="17278"/>
    <cellStyle name="Percent [2] 4" xfId="35429"/>
    <cellStyle name="Percent 1" xfId="36404"/>
    <cellStyle name="Percent 10" xfId="392"/>
    <cellStyle name="Percent 10 2" xfId="17535"/>
    <cellStyle name="Percent 11" xfId="401"/>
    <cellStyle name="Percent 11 2" xfId="17544"/>
    <cellStyle name="Percent 12" xfId="435"/>
    <cellStyle name="Percent 12 2" xfId="17578"/>
    <cellStyle name="Percent 13" xfId="350"/>
    <cellStyle name="Percent 13 2" xfId="17493"/>
    <cellStyle name="Percent 14" xfId="397"/>
    <cellStyle name="Percent 14 2" xfId="17540"/>
    <cellStyle name="Percent 15" xfId="452"/>
    <cellStyle name="Percent 15 2" xfId="17595"/>
    <cellStyle name="Percent 16" xfId="328"/>
    <cellStyle name="Percent 16 2" xfId="17471"/>
    <cellStyle name="Percent 17" xfId="455"/>
    <cellStyle name="Percent 17 2" xfId="17598"/>
    <cellStyle name="Percent 18" xfId="17286"/>
    <cellStyle name="Percent 19" xfId="35428"/>
    <cellStyle name="Percent 2" xfId="285"/>
    <cellStyle name="Percent 2 2" xfId="17428"/>
    <cellStyle name="Percent 3" xfId="390"/>
    <cellStyle name="Percent 3 2" xfId="17533"/>
    <cellStyle name="Percent 4" xfId="325"/>
    <cellStyle name="Percent 4 2" xfId="17468"/>
    <cellStyle name="Percent 5" xfId="372"/>
    <cellStyle name="Percent 5 2" xfId="17515"/>
    <cellStyle name="Percent 6" xfId="343"/>
    <cellStyle name="Percent 6 2" xfId="17486"/>
    <cellStyle name="Percent 7" xfId="377"/>
    <cellStyle name="Percent 7 2" xfId="17520"/>
    <cellStyle name="Percent 8" xfId="429"/>
    <cellStyle name="Percent 8 2" xfId="17572"/>
    <cellStyle name="Percent 9" xfId="253"/>
    <cellStyle name="Percent 9 2" xfId="17396"/>
    <cellStyle name="Percent_#6 Temps &amp; Contractors" xfId="36405"/>
    <cellStyle name="PERCENTAGE" xfId="36406"/>
    <cellStyle name="PLAN97" xfId="36407"/>
    <cellStyle name="PrePop Currency (0)" xfId="36408"/>
    <cellStyle name="PrePop Currency (2)" xfId="36409"/>
    <cellStyle name="PrePop Units (0)" xfId="36410"/>
    <cellStyle name="PrePop Units (1)" xfId="36411"/>
    <cellStyle name="PrePop Units (2)" xfId="36412"/>
    <cellStyle name="PSChar" xfId="36413"/>
    <cellStyle name="PSDate" xfId="36414"/>
    <cellStyle name="PSDec" xfId="36415"/>
    <cellStyle name="PSHeading" xfId="36416"/>
    <cellStyle name="PSInt" xfId="36417"/>
    <cellStyle name="PSSpacer" xfId="36418"/>
    <cellStyle name="PwC" xfId="178"/>
    <cellStyle name="PwC 2" xfId="315"/>
    <cellStyle name="PwC 2 2" xfId="17458"/>
    <cellStyle name="PwC 3" xfId="17321"/>
    <cellStyle name="R?" xfId="36419"/>
    <cellStyle name="RevList" xfId="154"/>
    <cellStyle name="RevList 2" xfId="297"/>
    <cellStyle name="RevList 2 2" xfId="17440"/>
    <cellStyle name="RevList 3" xfId="17299"/>
    <cellStyle name="RevList 4" xfId="35430"/>
    <cellStyle name="SAPBEXaggData" xfId="36420"/>
    <cellStyle name="SAPBEXaggDataEmph" xfId="36421"/>
    <cellStyle name="SAPBEXaggItem" xfId="36422"/>
    <cellStyle name="SAPBEXaggItemX" xfId="36423"/>
    <cellStyle name="SAPBEXchaText" xfId="36424"/>
    <cellStyle name="SAPBEXexcBad7" xfId="36425"/>
    <cellStyle name="SAPBEXexcBad8" xfId="36426"/>
    <cellStyle name="SAPBEXexcBad9" xfId="36427"/>
    <cellStyle name="SAPBEXexcCritical4" xfId="36428"/>
    <cellStyle name="SAPBEXexcCritical5" xfId="36429"/>
    <cellStyle name="SAPBEXexcCritical6" xfId="36430"/>
    <cellStyle name="SAPBEXexcGood1" xfId="36431"/>
    <cellStyle name="SAPBEXexcGood2" xfId="36432"/>
    <cellStyle name="SAPBEXexcGood3" xfId="36433"/>
    <cellStyle name="SAPBEXfilterDrill" xfId="36434"/>
    <cellStyle name="SAPBEXfilterItem" xfId="36435"/>
    <cellStyle name="SAPBEXfilterText" xfId="36436"/>
    <cellStyle name="SAPBEXformats" xfId="36437"/>
    <cellStyle name="SAPBEXheaderItem" xfId="36438"/>
    <cellStyle name="SAPBEXheaderText" xfId="36439"/>
    <cellStyle name="SAPBEXHLevel0" xfId="36440"/>
    <cellStyle name="SAPBEXHLevel0X" xfId="36441"/>
    <cellStyle name="SAPBEXHLevel1" xfId="36442"/>
    <cellStyle name="SAPBEXHLevel1X" xfId="36443"/>
    <cellStyle name="SAPBEXHLevel2" xfId="36444"/>
    <cellStyle name="SAPBEXHLevel2X" xfId="36445"/>
    <cellStyle name="SAPBEXHLevel3" xfId="36446"/>
    <cellStyle name="SAPBEXHLevel3X" xfId="36447"/>
    <cellStyle name="SAPBEXresData" xfId="36448"/>
    <cellStyle name="SAPBEXresDataEmph" xfId="36449"/>
    <cellStyle name="SAPBEXresItem" xfId="36450"/>
    <cellStyle name="SAPBEXresItemX" xfId="36451"/>
    <cellStyle name="SAPBEXstdData" xfId="36452"/>
    <cellStyle name="SAPBEXstdDataEmph" xfId="36453"/>
    <cellStyle name="SAPBEXstdItem" xfId="36454"/>
    <cellStyle name="SAPBEXstdItemX" xfId="36455"/>
    <cellStyle name="SAPBEXtitle" xfId="36456"/>
    <cellStyle name="SAPBEXundefined" xfId="36457"/>
    <cellStyle name="scenerio_value" xfId="36458"/>
    <cellStyle name="sche|_x0005_" xfId="36459"/>
    <cellStyle name="Standard_Aktenbewertung 1994" xfId="36460"/>
    <cellStyle name="Strikethru" xfId="36461"/>
    <cellStyle name="Style 200" xfId="36462"/>
    <cellStyle name="Style 201" xfId="36463"/>
    <cellStyle name="Style 202" xfId="36464"/>
    <cellStyle name="Style 203" xfId="36465"/>
    <cellStyle name="Style 204" xfId="36466"/>
    <cellStyle name="Style 205" xfId="36467"/>
    <cellStyle name="Style 206" xfId="36468"/>
    <cellStyle name="Style 207" xfId="36469"/>
    <cellStyle name="Style 208" xfId="36470"/>
    <cellStyle name="Style 209" xfId="36471"/>
    <cellStyle name="Style 210" xfId="36472"/>
    <cellStyle name="Style 211" xfId="36473"/>
    <cellStyle name="Style 212" xfId="36474"/>
    <cellStyle name="Style 213" xfId="36475"/>
    <cellStyle name="Style 214" xfId="36476"/>
    <cellStyle name="Style 215" xfId="36477"/>
    <cellStyle name="Style 216" xfId="36478"/>
    <cellStyle name="Style 217" xfId="36479"/>
    <cellStyle name="Style 218" xfId="36480"/>
    <cellStyle name="Style 219" xfId="36481"/>
    <cellStyle name="Style 220" xfId="36482"/>
    <cellStyle name="Style 221" xfId="36483"/>
    <cellStyle name="Style 222" xfId="36484"/>
    <cellStyle name="Style 223" xfId="36485"/>
    <cellStyle name="Style 224" xfId="36486"/>
    <cellStyle name="Style 225" xfId="36487"/>
    <cellStyle name="Style 226" xfId="36488"/>
    <cellStyle name="Style 227" xfId="36489"/>
    <cellStyle name="Style 228" xfId="36490"/>
    <cellStyle name="Style 229" xfId="36491"/>
    <cellStyle name="Style 230" xfId="36492"/>
    <cellStyle name="Style 231" xfId="36493"/>
    <cellStyle name="Style 232" xfId="36494"/>
    <cellStyle name="Style 233" xfId="36495"/>
    <cellStyle name="Style 234" xfId="36496"/>
    <cellStyle name="Style 235" xfId="36497"/>
    <cellStyle name="Style 236" xfId="36498"/>
    <cellStyle name="Style 237" xfId="36499"/>
    <cellStyle name="Style 238" xfId="36500"/>
    <cellStyle name="Style 239" xfId="36501"/>
    <cellStyle name="Style 240" xfId="36502"/>
    <cellStyle name="Style 241" xfId="36503"/>
    <cellStyle name="Style 242" xfId="36504"/>
    <cellStyle name="Style 243" xfId="36505"/>
    <cellStyle name="Style 244" xfId="36506"/>
    <cellStyle name="Style 245" xfId="36507"/>
    <cellStyle name="Style 246" xfId="36508"/>
    <cellStyle name="Style 247" xfId="36509"/>
    <cellStyle name="Style 248" xfId="36510"/>
    <cellStyle name="Style 249" xfId="36511"/>
    <cellStyle name="Style 250" xfId="36512"/>
    <cellStyle name="Style 251" xfId="36513"/>
    <cellStyle name="Style 252" xfId="36514"/>
    <cellStyle name="Style 253" xfId="36515"/>
    <cellStyle name="Style 254" xfId="36516"/>
    <cellStyle name="Style 255" xfId="36517"/>
    <cellStyle name="Style 256" xfId="36518"/>
    <cellStyle name="Style 257" xfId="36519"/>
    <cellStyle name="Style 258" xfId="36520"/>
    <cellStyle name="Style 259" xfId="36521"/>
    <cellStyle name="Style 260" xfId="36522"/>
    <cellStyle name="Style 261" xfId="36523"/>
    <cellStyle name="Style 262" xfId="36524"/>
    <cellStyle name="Style 263" xfId="36525"/>
    <cellStyle name="Style 264" xfId="36526"/>
    <cellStyle name="Style 265" xfId="36527"/>
    <cellStyle name="Style 266" xfId="36528"/>
    <cellStyle name="Style 267" xfId="36529"/>
    <cellStyle name="Style 268" xfId="36530"/>
    <cellStyle name="Style 269" xfId="36531"/>
    <cellStyle name="Style 270" xfId="36532"/>
    <cellStyle name="Style 271" xfId="36533"/>
    <cellStyle name="Style 272" xfId="36534"/>
    <cellStyle name="Style 273" xfId="36535"/>
    <cellStyle name="Style 274" xfId="36536"/>
    <cellStyle name="Style 275" xfId="36537"/>
    <cellStyle name="Style 276" xfId="36538"/>
    <cellStyle name="Style 277" xfId="36539"/>
    <cellStyle name="Style 278" xfId="36540"/>
    <cellStyle name="Style 279" xfId="36541"/>
    <cellStyle name="Style 280" xfId="36542"/>
    <cellStyle name="Style 281" xfId="36543"/>
    <cellStyle name="Style 282" xfId="36544"/>
    <cellStyle name="Style 307" xfId="36545"/>
    <cellStyle name="Style 308" xfId="36546"/>
    <cellStyle name="Style 309" xfId="36547"/>
    <cellStyle name="Style 310" xfId="36548"/>
    <cellStyle name="Style 311" xfId="36549"/>
    <cellStyle name="Style 312" xfId="36550"/>
    <cellStyle name="Style 313" xfId="36551"/>
    <cellStyle name="Style 314" xfId="36552"/>
    <cellStyle name="Style 315" xfId="36553"/>
    <cellStyle name="Style 316" xfId="36554"/>
    <cellStyle name="Style 317" xfId="36555"/>
    <cellStyle name="Style 318" xfId="36556"/>
    <cellStyle name="Style 319" xfId="36557"/>
    <cellStyle name="Style 320" xfId="36558"/>
    <cellStyle name="Style 321" xfId="36559"/>
    <cellStyle name="Style 322" xfId="36560"/>
    <cellStyle name="Style 351" xfId="36561"/>
    <cellStyle name="Style 352" xfId="36562"/>
    <cellStyle name="Style 353" xfId="36563"/>
    <cellStyle name="Style 354" xfId="36564"/>
    <cellStyle name="Style 355" xfId="36565"/>
    <cellStyle name="Style 356" xfId="36566"/>
    <cellStyle name="Style 357" xfId="36567"/>
    <cellStyle name="Style 358" xfId="36568"/>
    <cellStyle name="Style 359" xfId="36569"/>
    <cellStyle name="Style 360" xfId="36570"/>
    <cellStyle name="Style 361" xfId="36571"/>
    <cellStyle name="Style 362" xfId="36572"/>
    <cellStyle name="Style 363" xfId="36573"/>
    <cellStyle name="Style 364" xfId="36574"/>
    <cellStyle name="Style 365" xfId="36575"/>
    <cellStyle name="Style 366" xfId="36576"/>
    <cellStyle name="Style 367" xfId="36577"/>
    <cellStyle name="Style 368" xfId="36578"/>
    <cellStyle name="Style 369" xfId="36579"/>
    <cellStyle name="Style 370" xfId="36580"/>
    <cellStyle name="Style 371" xfId="36581"/>
    <cellStyle name="Style 372" xfId="36582"/>
    <cellStyle name="Style 373" xfId="36583"/>
    <cellStyle name="Style 374" xfId="36584"/>
    <cellStyle name="Style 375" xfId="36585"/>
    <cellStyle name="Style 376" xfId="36586"/>
    <cellStyle name="Style 377" xfId="36587"/>
    <cellStyle name="Style 378" xfId="36588"/>
    <cellStyle name="Style 379" xfId="36589"/>
    <cellStyle name="Style 380" xfId="36590"/>
    <cellStyle name="Style 381" xfId="36591"/>
    <cellStyle name="Style 382" xfId="36592"/>
    <cellStyle name="Style 383" xfId="36593"/>
    <cellStyle name="Style 384" xfId="36594"/>
    <cellStyle name="Style 385" xfId="36595"/>
    <cellStyle name="Style 386" xfId="36596"/>
    <cellStyle name="Style 387" xfId="36597"/>
    <cellStyle name="Style 388" xfId="36598"/>
    <cellStyle name="Style 389" xfId="36599"/>
    <cellStyle name="Style 390" xfId="36600"/>
    <cellStyle name="Style 391" xfId="36601"/>
    <cellStyle name="Style 392" xfId="36602"/>
    <cellStyle name="Style 393" xfId="36603"/>
    <cellStyle name="Style 394" xfId="36604"/>
    <cellStyle name="Style 395" xfId="36605"/>
    <cellStyle name="Style 396" xfId="36606"/>
    <cellStyle name="Style 397" xfId="36607"/>
    <cellStyle name="Style 398" xfId="36608"/>
    <cellStyle name="Style 399" xfId="36609"/>
    <cellStyle name="Style 400" xfId="36610"/>
    <cellStyle name="Style 401" xfId="36611"/>
    <cellStyle name="Style 402" xfId="36612"/>
    <cellStyle name="Style 403" xfId="36613"/>
    <cellStyle name="Style 404" xfId="36614"/>
    <cellStyle name="Style 405" xfId="36615"/>
    <cellStyle name="Style 406" xfId="36616"/>
    <cellStyle name="Style 407" xfId="36617"/>
    <cellStyle name="Style 408" xfId="36618"/>
    <cellStyle name="Style 409" xfId="36619"/>
    <cellStyle name="Style 410" xfId="36620"/>
    <cellStyle name="Style 411" xfId="36621"/>
    <cellStyle name="Style 438" xfId="36622"/>
    <cellStyle name="Style 439" xfId="36623"/>
    <cellStyle name="Style 440" xfId="36624"/>
    <cellStyle name="Style 441" xfId="36625"/>
    <cellStyle name="Style 442" xfId="36626"/>
    <cellStyle name="Style 443" xfId="36627"/>
    <cellStyle name="Style 444" xfId="36628"/>
    <cellStyle name="Style 445" xfId="36629"/>
    <cellStyle name="Style 446" xfId="36630"/>
    <cellStyle name="Style 447" xfId="36631"/>
    <cellStyle name="Style 448" xfId="36632"/>
    <cellStyle name="Style 449" xfId="36633"/>
    <cellStyle name="Style 450" xfId="36634"/>
    <cellStyle name="Style 451" xfId="36635"/>
    <cellStyle name="Style 452" xfId="36636"/>
    <cellStyle name="Style 453" xfId="36637"/>
    <cellStyle name="Style 454" xfId="36638"/>
    <cellStyle name="Style 459" xfId="36639"/>
    <cellStyle name="Style 460" xfId="36640"/>
    <cellStyle name="Style 461" xfId="36641"/>
    <cellStyle name="Style 462" xfId="36642"/>
    <cellStyle name="Style 463" xfId="36643"/>
    <cellStyle name="Style 464" xfId="36644"/>
    <cellStyle name="Style 465" xfId="36645"/>
    <cellStyle name="Style 466" xfId="36646"/>
    <cellStyle name="Style 467" xfId="36647"/>
    <cellStyle name="Style 468" xfId="36648"/>
    <cellStyle name="Style 469" xfId="36649"/>
    <cellStyle name="Style 47" xfId="36650"/>
    <cellStyle name="Style 470" xfId="36651"/>
    <cellStyle name="Style 471" xfId="36652"/>
    <cellStyle name="Style 48" xfId="36653"/>
    <cellStyle name="Style 482" xfId="36654"/>
    <cellStyle name="Style 483" xfId="36655"/>
    <cellStyle name="Style 484" xfId="36656"/>
    <cellStyle name="Style 485" xfId="36657"/>
    <cellStyle name="Style 486" xfId="36658"/>
    <cellStyle name="Style 487" xfId="36659"/>
    <cellStyle name="Style 488" xfId="36660"/>
    <cellStyle name="Style 489" xfId="36661"/>
    <cellStyle name="Style 49" xfId="36662"/>
    <cellStyle name="Style 490" xfId="36663"/>
    <cellStyle name="Style 491" xfId="36664"/>
    <cellStyle name="Style 492" xfId="36665"/>
    <cellStyle name="Style 493" xfId="36666"/>
    <cellStyle name="Style 494" xfId="36667"/>
    <cellStyle name="Style 495" xfId="36668"/>
    <cellStyle name="Style 496" xfId="36669"/>
    <cellStyle name="Style 497" xfId="36670"/>
    <cellStyle name="Style 498" xfId="36671"/>
    <cellStyle name="Style 499" xfId="36672"/>
    <cellStyle name="Style 50" xfId="36673"/>
    <cellStyle name="Style 500" xfId="36674"/>
    <cellStyle name="Style 501" xfId="36675"/>
    <cellStyle name="Style 502" xfId="36676"/>
    <cellStyle name="Style 503" xfId="36677"/>
    <cellStyle name="Style 504" xfId="36678"/>
    <cellStyle name="Style 517" xfId="36679"/>
    <cellStyle name="Style 518" xfId="36680"/>
    <cellStyle name="Style 519" xfId="36681"/>
    <cellStyle name="Style 520" xfId="36682"/>
    <cellStyle name="Style 521" xfId="36683"/>
    <cellStyle name="Style 522" xfId="36684"/>
    <cellStyle name="Style 523" xfId="36685"/>
    <cellStyle name="Style 524" xfId="36686"/>
    <cellStyle name="Style 525" xfId="36687"/>
    <cellStyle name="Style 526" xfId="36688"/>
    <cellStyle name="Style 527" xfId="36689"/>
    <cellStyle name="Style 528" xfId="36690"/>
    <cellStyle name="Style 529" xfId="36691"/>
    <cellStyle name="Style 530" xfId="36692"/>
    <cellStyle name="Style 531" xfId="36693"/>
    <cellStyle name="Style 532" xfId="36694"/>
    <cellStyle name="Style 533" xfId="36695"/>
    <cellStyle name="Style 534" xfId="36696"/>
    <cellStyle name="Style 535" xfId="36697"/>
    <cellStyle name="Style 536" xfId="36698"/>
    <cellStyle name="Style 537" xfId="36699"/>
    <cellStyle name="Style 538" xfId="36700"/>
    <cellStyle name="Style 539" xfId="36701"/>
    <cellStyle name="Style 540" xfId="36702"/>
    <cellStyle name="Style 541" xfId="36703"/>
    <cellStyle name="Style 542" xfId="36704"/>
    <cellStyle name="Style 586" xfId="36705"/>
    <cellStyle name="Style 587" xfId="36706"/>
    <cellStyle name="Style 588" xfId="36707"/>
    <cellStyle name="Style 589" xfId="36708"/>
    <cellStyle name="Style 590" xfId="36709"/>
    <cellStyle name="Style 591" xfId="36710"/>
    <cellStyle name="Style 592" xfId="36711"/>
    <cellStyle name="Style 593" xfId="36712"/>
    <cellStyle name="Style 594" xfId="36713"/>
    <cellStyle name="Style 595" xfId="36714"/>
    <cellStyle name="Style 596" xfId="36715"/>
    <cellStyle name="Style 597" xfId="36716"/>
    <cellStyle name="Style 598" xfId="36717"/>
    <cellStyle name="Style 599" xfId="36718"/>
    <cellStyle name="Style 600" xfId="36719"/>
    <cellStyle name="Style 601" xfId="36720"/>
    <cellStyle name="Style 602" xfId="36721"/>
    <cellStyle name="Style 603" xfId="36722"/>
    <cellStyle name="Style 613" xfId="36723"/>
    <cellStyle name="Style 614" xfId="36724"/>
    <cellStyle name="Style 615" xfId="36725"/>
    <cellStyle name="Style 616" xfId="36726"/>
    <cellStyle name="Style 617" xfId="36727"/>
    <cellStyle name="Style 618" xfId="36728"/>
    <cellStyle name="Style 619" xfId="36729"/>
    <cellStyle name="Style 620" xfId="36730"/>
    <cellStyle name="Style 621" xfId="36731"/>
    <cellStyle name="Style 622" xfId="36732"/>
    <cellStyle name="Style 623" xfId="36733"/>
    <cellStyle name="Style 624" xfId="36734"/>
    <cellStyle name="Style 625" xfId="36735"/>
    <cellStyle name="Style 626" xfId="36736"/>
    <cellStyle name="Style 627" xfId="36737"/>
    <cellStyle name="Style 628" xfId="36738"/>
    <cellStyle name="Style 629" xfId="36739"/>
    <cellStyle name="Style 630" xfId="36740"/>
    <cellStyle name="Style 631" xfId="36741"/>
    <cellStyle name="Style 632" xfId="36742"/>
    <cellStyle name="Style 633" xfId="36743"/>
    <cellStyle name="Style 634" xfId="36744"/>
    <cellStyle name="Style 635" xfId="36745"/>
    <cellStyle name="Style 636" xfId="36746"/>
    <cellStyle name="Style 652" xfId="36747"/>
    <cellStyle name="Style 653" xfId="36748"/>
    <cellStyle name="Style 654" xfId="36749"/>
    <cellStyle name="Style 655" xfId="36750"/>
    <cellStyle name="Style 656" xfId="36751"/>
    <cellStyle name="Style 657" xfId="36752"/>
    <cellStyle name="Style 658" xfId="36753"/>
    <cellStyle name="Style 659" xfId="36754"/>
    <cellStyle name="Style 660" xfId="36755"/>
    <cellStyle name="Style 661" xfId="36756"/>
    <cellStyle name="Style 662" xfId="36757"/>
    <cellStyle name="Style 663" xfId="36758"/>
    <cellStyle name="Style 664" xfId="36759"/>
    <cellStyle name="Style 665" xfId="36760"/>
    <cellStyle name="Style 666" xfId="36761"/>
    <cellStyle name="Style 667" xfId="36762"/>
    <cellStyle name="Style 668" xfId="36763"/>
    <cellStyle name="Style 690" xfId="36764"/>
    <cellStyle name="Style 691" xfId="36765"/>
    <cellStyle name="Style 692" xfId="36766"/>
    <cellStyle name="Style 693" xfId="36767"/>
    <cellStyle name="Style 694" xfId="36768"/>
    <cellStyle name="Style 695" xfId="36769"/>
    <cellStyle name="Style 696" xfId="36770"/>
    <cellStyle name="Style 697" xfId="36771"/>
    <cellStyle name="Style 698" xfId="36772"/>
    <cellStyle name="Style 699" xfId="36773"/>
    <cellStyle name="Style 700" xfId="36774"/>
    <cellStyle name="Style 701" xfId="36775"/>
    <cellStyle name="Style 702" xfId="36776"/>
    <cellStyle name="Style 703" xfId="36777"/>
    <cellStyle name="Style 704" xfId="36778"/>
    <cellStyle name="Style 705" xfId="36779"/>
    <cellStyle name="Style 731" xfId="36780"/>
    <cellStyle name="Style 732" xfId="36781"/>
    <cellStyle name="Style 733" xfId="36782"/>
    <cellStyle name="Style 734" xfId="36783"/>
    <cellStyle name="Style 735" xfId="36784"/>
    <cellStyle name="Style 736" xfId="36785"/>
    <cellStyle name="Style 737" xfId="36786"/>
    <cellStyle name="Style 738" xfId="36787"/>
    <cellStyle name="STYLE1" xfId="36788"/>
    <cellStyle name="subhead" xfId="130"/>
    <cellStyle name="subhead 2" xfId="277"/>
    <cellStyle name="subhead 2 2" xfId="17420"/>
    <cellStyle name="subhead 2 2 2" xfId="35433"/>
    <cellStyle name="subhead 2 3" xfId="35434"/>
    <cellStyle name="subhead 2 4" xfId="35435"/>
    <cellStyle name="subhead 2 5" xfId="35432"/>
    <cellStyle name="subhead 3" xfId="17279"/>
    <cellStyle name="subhead 3 2" xfId="35436"/>
    <cellStyle name="subhead 4" xfId="35437"/>
    <cellStyle name="subhead 5" xfId="35438"/>
    <cellStyle name="subhead 6" xfId="35439"/>
    <cellStyle name="subhead 7" xfId="35440"/>
    <cellStyle name="subhead 8" xfId="35431"/>
    <cellStyle name="Subtotal" xfId="155"/>
    <cellStyle name="Subtotal 2" xfId="298"/>
    <cellStyle name="Subtotal 2 2" xfId="17441"/>
    <cellStyle name="Subtotal 3" xfId="17300"/>
    <cellStyle name="Subtotal 4" xfId="35441"/>
    <cellStyle name="Text Indent A" xfId="36789"/>
    <cellStyle name="Text Indent B" xfId="36790"/>
    <cellStyle name="Text Indent C" xfId="36791"/>
    <cellStyle name="Thousands" xfId="35442"/>
    <cellStyle name="Thousands 2" xfId="35443"/>
    <cellStyle name="Thousands 2 2" xfId="35444"/>
    <cellStyle name="Thousands 2 3" xfId="35445"/>
    <cellStyle name="Thousands 3" xfId="35446"/>
    <cellStyle name="Times New Roman" xfId="36792"/>
    <cellStyle name="Title" xfId="36793"/>
    <cellStyle name="title [1]" xfId="35447"/>
    <cellStyle name="title [2]" xfId="35448"/>
    <cellStyle name="Title 2" xfId="36794"/>
    <cellStyle name="Title 3" xfId="36795"/>
    <cellStyle name="Title 4" xfId="36796"/>
    <cellStyle name="title 5" xfId="36797"/>
    <cellStyle name="Total" xfId="156"/>
    <cellStyle name="Total 10" xfId="2526"/>
    <cellStyle name="Total 10 2" xfId="19667"/>
    <cellStyle name="Total 11" xfId="2527"/>
    <cellStyle name="Total 11 2" xfId="19668"/>
    <cellStyle name="Total 12" xfId="2528"/>
    <cellStyle name="Total 12 2" xfId="19669"/>
    <cellStyle name="Total 13" xfId="2529"/>
    <cellStyle name="Total 13 2" xfId="19670"/>
    <cellStyle name="Total 14" xfId="2530"/>
    <cellStyle name="Total 14 2" xfId="19671"/>
    <cellStyle name="Total 15" xfId="2531"/>
    <cellStyle name="Total 15 2" xfId="19672"/>
    <cellStyle name="Total 16" xfId="2532"/>
    <cellStyle name="Total 16 2" xfId="19673"/>
    <cellStyle name="Total 17" xfId="2533"/>
    <cellStyle name="Total 17 2" xfId="19674"/>
    <cellStyle name="Total 18" xfId="2534"/>
    <cellStyle name="Total 18 2" xfId="19675"/>
    <cellStyle name="Total 19" xfId="2535"/>
    <cellStyle name="Total 19 2" xfId="19676"/>
    <cellStyle name="Total 2" xfId="299"/>
    <cellStyle name="Total 2 10" xfId="17442"/>
    <cellStyle name="Total 2 11" xfId="35450"/>
    <cellStyle name="Total 2 2" xfId="12803"/>
    <cellStyle name="Total 2 2 2" xfId="16164"/>
    <cellStyle name="Total 2 2 2 2" xfId="33305"/>
    <cellStyle name="Total 2 2 3" xfId="29944"/>
    <cellStyle name="Total 2 2 4" xfId="35451"/>
    <cellStyle name="Total 2 3" xfId="12896"/>
    <cellStyle name="Total 2 3 2" xfId="16254"/>
    <cellStyle name="Total 2 3 2 2" xfId="33395"/>
    <cellStyle name="Total 2 3 3" xfId="30037"/>
    <cellStyle name="Total 2 3 4" xfId="35452"/>
    <cellStyle name="Total 2 4" xfId="12789"/>
    <cellStyle name="Total 2 4 2" xfId="16151"/>
    <cellStyle name="Total 2 4 2 2" xfId="33292"/>
    <cellStyle name="Total 2 4 3" xfId="29930"/>
    <cellStyle name="Total 2 4 4" xfId="35453"/>
    <cellStyle name="Total 2 5" xfId="13026"/>
    <cellStyle name="Total 2 5 2" xfId="16377"/>
    <cellStyle name="Total 2 5 2 2" xfId="33518"/>
    <cellStyle name="Total 2 5 3" xfId="30167"/>
    <cellStyle name="Total 2 6" xfId="12812"/>
    <cellStyle name="Total 2 6 2" xfId="16173"/>
    <cellStyle name="Total 2 6 2 2" xfId="33314"/>
    <cellStyle name="Total 2 6 3" xfId="29953"/>
    <cellStyle name="Total 2 7" xfId="13453"/>
    <cellStyle name="Total 2 7 2" xfId="16804"/>
    <cellStyle name="Total 2 7 2 2" xfId="33945"/>
    <cellStyle name="Total 2 7 3" xfId="30594"/>
    <cellStyle name="Total 2 8" xfId="13767"/>
    <cellStyle name="Total 2 8 2" xfId="17116"/>
    <cellStyle name="Total 2 8 2 2" xfId="34257"/>
    <cellStyle name="Total 2 8 3" xfId="30908"/>
    <cellStyle name="Total 2 9" xfId="13782"/>
    <cellStyle name="Total 2 9 2" xfId="17128"/>
    <cellStyle name="Total 2 9 2 2" xfId="34269"/>
    <cellStyle name="Total 2 9 3" xfId="30923"/>
    <cellStyle name="Total 20" xfId="2536"/>
    <cellStyle name="Total 20 2" xfId="19677"/>
    <cellStyle name="Total 21" xfId="2537"/>
    <cellStyle name="Total 21 2" xfId="19678"/>
    <cellStyle name="Total 22" xfId="2538"/>
    <cellStyle name="Total 22 2" xfId="19679"/>
    <cellStyle name="Total 23" xfId="2539"/>
    <cellStyle name="Total 23 2" xfId="15763"/>
    <cellStyle name="Total 23 2 2" xfId="32904"/>
    <cellStyle name="Total 23 3" xfId="19680"/>
    <cellStyle name="Total 24" xfId="17301"/>
    <cellStyle name="Total 25" xfId="35449"/>
    <cellStyle name="Total 3" xfId="2540"/>
    <cellStyle name="Total 3 2" xfId="19681"/>
    <cellStyle name="Total 3 3" xfId="35454"/>
    <cellStyle name="Total 4" xfId="2541"/>
    <cellStyle name="Total 4 2" xfId="19682"/>
    <cellStyle name="Total 4 3" xfId="35455"/>
    <cellStyle name="Total 5" xfId="2542"/>
    <cellStyle name="Total 5 2" xfId="19683"/>
    <cellStyle name="Total 5 3" xfId="35456"/>
    <cellStyle name="Total 6" xfId="2543"/>
    <cellStyle name="Total 6 2" xfId="19684"/>
    <cellStyle name="Total 6 3" xfId="35457"/>
    <cellStyle name="Total 7" xfId="2544"/>
    <cellStyle name="Total 7 2" xfId="19685"/>
    <cellStyle name="Total 7 3" xfId="35458"/>
    <cellStyle name="Total 8" xfId="2545"/>
    <cellStyle name="Total 8 2" xfId="19686"/>
    <cellStyle name="Total 9" xfId="2546"/>
    <cellStyle name="Total 9 2" xfId="19687"/>
    <cellStyle name="Unprotect" xfId="35459"/>
    <cellStyle name="W?rung [0]_Aktenbewertung 1994" xfId="36798"/>
    <cellStyle name="W?rung_Aktenbewertung 1994" xfId="36799"/>
    <cellStyle name="Warning Text" xfId="36800"/>
    <cellStyle name="XLS'|_x0005_t" xfId="36801"/>
    <cellStyle name="year" xfId="36802"/>
    <cellStyle name="μU¿¡ ¿A´A CIAIÆU¸μAⓒ" xfId="35460"/>
    <cellStyle name="ⴂఀ̉ċଊⴅ Ȉ" xfId="36803"/>
    <cellStyle name="강조색1 2" xfId="207"/>
    <cellStyle name="강조색1 2 2" xfId="17350"/>
    <cellStyle name="강조색1 2 3" xfId="35461"/>
    <cellStyle name="강조색1 3" xfId="525"/>
    <cellStyle name="강조색1 3 2" xfId="17668"/>
    <cellStyle name="강조색1 3 3" xfId="35462"/>
    <cellStyle name="강조색1 4" xfId="2547"/>
    <cellStyle name="강조색1 4 2" xfId="19688"/>
    <cellStyle name="강조색1 4 3" xfId="35463"/>
    <cellStyle name="강조색1 5" xfId="28"/>
    <cellStyle name="강조색1 5 2" xfId="17204"/>
    <cellStyle name="강조색2 2" xfId="208"/>
    <cellStyle name="강조색2 2 2" xfId="17351"/>
    <cellStyle name="강조색2 2 3" xfId="35464"/>
    <cellStyle name="강조색2 3" xfId="526"/>
    <cellStyle name="강조색2 3 2" xfId="17669"/>
    <cellStyle name="강조색2 3 3" xfId="35465"/>
    <cellStyle name="강조색2 4" xfId="2548"/>
    <cellStyle name="강조색2 4 2" xfId="19689"/>
    <cellStyle name="강조색2 4 3" xfId="35466"/>
    <cellStyle name="강조색2 5" xfId="29"/>
    <cellStyle name="강조색2 5 2" xfId="17205"/>
    <cellStyle name="강조색3 2" xfId="209"/>
    <cellStyle name="강조색3 2 2" xfId="17352"/>
    <cellStyle name="강조색3 2 3" xfId="35467"/>
    <cellStyle name="강조색3 3" xfId="527"/>
    <cellStyle name="강조색3 3 2" xfId="17670"/>
    <cellStyle name="강조색3 3 3" xfId="35468"/>
    <cellStyle name="강조색3 4" xfId="2549"/>
    <cellStyle name="강조색3 4 2" xfId="19690"/>
    <cellStyle name="강조색3 4 3" xfId="35469"/>
    <cellStyle name="강조색3 5" xfId="30"/>
    <cellStyle name="강조색3 5 2" xfId="17206"/>
    <cellStyle name="강조색4 2" xfId="210"/>
    <cellStyle name="강조색4 2 2" xfId="17353"/>
    <cellStyle name="강조색4 2 3" xfId="35470"/>
    <cellStyle name="강조색4 3" xfId="490"/>
    <cellStyle name="강조색4 3 2" xfId="17633"/>
    <cellStyle name="강조색4 3 3" xfId="35471"/>
    <cellStyle name="강조색4 4" xfId="528"/>
    <cellStyle name="강조색4 4 2" xfId="17671"/>
    <cellStyle name="강조색4 4 3" xfId="35472"/>
    <cellStyle name="강조색4 5" xfId="31"/>
    <cellStyle name="강조색4 5 2" xfId="17207"/>
    <cellStyle name="강조색5 2" xfId="211"/>
    <cellStyle name="강조색5 2 2" xfId="17354"/>
    <cellStyle name="강조색5 2 3" xfId="35473"/>
    <cellStyle name="강조색5 3" xfId="529"/>
    <cellStyle name="강조색5 3 2" xfId="17672"/>
    <cellStyle name="강조색5 3 3" xfId="35474"/>
    <cellStyle name="강조색5 4" xfId="2550"/>
    <cellStyle name="강조색5 4 2" xfId="19691"/>
    <cellStyle name="강조색5 4 3" xfId="35475"/>
    <cellStyle name="강조색5 5" xfId="32"/>
    <cellStyle name="강조색5 5 2" xfId="17208"/>
    <cellStyle name="강조색6 2" xfId="212"/>
    <cellStyle name="강조색6 2 2" xfId="17355"/>
    <cellStyle name="강조색6 2 3" xfId="35476"/>
    <cellStyle name="강조색6 3" xfId="530"/>
    <cellStyle name="강조색6 3 2" xfId="17673"/>
    <cellStyle name="강조색6 3 3" xfId="35477"/>
    <cellStyle name="강조색6 4" xfId="2551"/>
    <cellStyle name="강조색6 4 2" xfId="19692"/>
    <cellStyle name="강조색6 4 3" xfId="35478"/>
    <cellStyle name="강조색6 5" xfId="33"/>
    <cellStyle name="강조색6 5 2" xfId="17209"/>
    <cellStyle name="경고문 2" xfId="213"/>
    <cellStyle name="경고문 2 2" xfId="17356"/>
    <cellStyle name="경고문 2 3" xfId="35479"/>
    <cellStyle name="경고문 3" xfId="531"/>
    <cellStyle name="경고문 3 2" xfId="17674"/>
    <cellStyle name="경고문 3 3" xfId="35480"/>
    <cellStyle name="경고문 4" xfId="2552"/>
    <cellStyle name="경고문 4 2" xfId="19693"/>
    <cellStyle name="경고문 4 3" xfId="35481"/>
    <cellStyle name="경고문 5" xfId="34"/>
    <cellStyle name="경고문 5 2" xfId="17210"/>
    <cellStyle name="계산 10" xfId="354"/>
    <cellStyle name="계산 10 10" xfId="12587"/>
    <cellStyle name="계산 10 10 2" xfId="15950"/>
    <cellStyle name="계산 10 10 2 2" xfId="33091"/>
    <cellStyle name="계산 10 10 3" xfId="29728"/>
    <cellStyle name="계산 10 11" xfId="12708"/>
    <cellStyle name="계산 10 11 2" xfId="16071"/>
    <cellStyle name="계산 10 11 2 2" xfId="33212"/>
    <cellStyle name="계산 10 11 3" xfId="29849"/>
    <cellStyle name="계산 10 12" xfId="13084"/>
    <cellStyle name="계산 10 12 2" xfId="16435"/>
    <cellStyle name="계산 10 12 2 2" xfId="33576"/>
    <cellStyle name="계산 10 12 3" xfId="30225"/>
    <cellStyle name="계산 10 13" xfId="12601"/>
    <cellStyle name="계산 10 13 2" xfId="15964"/>
    <cellStyle name="계산 10 13 2 2" xfId="33105"/>
    <cellStyle name="계산 10 13 3" xfId="29742"/>
    <cellStyle name="계산 10 14" xfId="13285"/>
    <cellStyle name="계산 10 14 2" xfId="16636"/>
    <cellStyle name="계산 10 14 2 2" xfId="33777"/>
    <cellStyle name="계산 10 14 3" xfId="30426"/>
    <cellStyle name="계산 10 15" xfId="12714"/>
    <cellStyle name="계산 10 15 2" xfId="16077"/>
    <cellStyle name="계산 10 15 2 2" xfId="33218"/>
    <cellStyle name="계산 10 15 3" xfId="29855"/>
    <cellStyle name="계산 10 16" xfId="13261"/>
    <cellStyle name="계산 10 16 2" xfId="16612"/>
    <cellStyle name="계산 10 16 2 2" xfId="33753"/>
    <cellStyle name="계산 10 16 3" xfId="30402"/>
    <cellStyle name="계산 10 17" xfId="13349"/>
    <cellStyle name="계산 10 17 2" xfId="16700"/>
    <cellStyle name="계산 10 17 2 2" xfId="33841"/>
    <cellStyle name="계산 10 17 3" xfId="30490"/>
    <cellStyle name="계산 10 18" xfId="13387"/>
    <cellStyle name="계산 10 18 2" xfId="16738"/>
    <cellStyle name="계산 10 18 2 2" xfId="33879"/>
    <cellStyle name="계산 10 18 3" xfId="30528"/>
    <cellStyle name="계산 10 19" xfId="13768"/>
    <cellStyle name="계산 10 19 2" xfId="17117"/>
    <cellStyle name="계산 10 19 2 2" xfId="34258"/>
    <cellStyle name="계산 10 19 3" xfId="30909"/>
    <cellStyle name="계산 10 2" xfId="861"/>
    <cellStyle name="계산 10 2 2" xfId="1286"/>
    <cellStyle name="계산 10 2 2 2" xfId="2184"/>
    <cellStyle name="계산 10 2 2 2 2" xfId="15490"/>
    <cellStyle name="계산 10 2 2 2 2 2" xfId="32631"/>
    <cellStyle name="계산 10 2 2 2 3" xfId="19327"/>
    <cellStyle name="계산 10 2 2 3" xfId="14594"/>
    <cellStyle name="계산 10 2 2 3 2" xfId="31735"/>
    <cellStyle name="계산 10 2 2 4" xfId="18429"/>
    <cellStyle name="계산 10 2 3" xfId="1789"/>
    <cellStyle name="계산 10 2 3 2" xfId="15095"/>
    <cellStyle name="계산 10 2 3 2 2" xfId="32236"/>
    <cellStyle name="계산 10 2 3 3" xfId="18932"/>
    <cellStyle name="계산 10 2 4" xfId="14190"/>
    <cellStyle name="계산 10 2 4 2" xfId="31331"/>
    <cellStyle name="계산 10 2 5" xfId="18004"/>
    <cellStyle name="계산 10 20" xfId="13876"/>
    <cellStyle name="계산 10 20 2" xfId="31017"/>
    <cellStyle name="계산 10 21" xfId="17497"/>
    <cellStyle name="계산 10 3" xfId="733"/>
    <cellStyle name="계산 10 3 2" xfId="1186"/>
    <cellStyle name="계산 10 3 2 2" xfId="2084"/>
    <cellStyle name="계산 10 3 2 2 2" xfId="15390"/>
    <cellStyle name="계산 10 3 2 2 2 2" xfId="32531"/>
    <cellStyle name="계산 10 3 2 2 3" xfId="19227"/>
    <cellStyle name="계산 10 3 2 3" xfId="14494"/>
    <cellStyle name="계산 10 3 2 3 2" xfId="31635"/>
    <cellStyle name="계산 10 3 2 4" xfId="18329"/>
    <cellStyle name="계산 10 3 3" xfId="1689"/>
    <cellStyle name="계산 10 3 3 2" xfId="14995"/>
    <cellStyle name="계산 10 3 3 2 2" xfId="32136"/>
    <cellStyle name="계산 10 3 3 3" xfId="18832"/>
    <cellStyle name="계산 10 3 4" xfId="14090"/>
    <cellStyle name="계산 10 3 4 2" xfId="31231"/>
    <cellStyle name="계산 10 3 5" xfId="17876"/>
    <cellStyle name="계산 10 4" xfId="986"/>
    <cellStyle name="계산 10 4 2" xfId="1388"/>
    <cellStyle name="계산 10 4 2 2" xfId="2286"/>
    <cellStyle name="계산 10 4 2 2 2" xfId="15592"/>
    <cellStyle name="계산 10 4 2 2 2 2" xfId="32733"/>
    <cellStyle name="계산 10 4 2 2 3" xfId="19429"/>
    <cellStyle name="계산 10 4 2 3" xfId="14696"/>
    <cellStyle name="계산 10 4 2 3 2" xfId="31837"/>
    <cellStyle name="계산 10 4 2 4" xfId="18531"/>
    <cellStyle name="계산 10 4 3" xfId="1893"/>
    <cellStyle name="계산 10 4 3 2" xfId="15199"/>
    <cellStyle name="계산 10 4 3 2 2" xfId="32340"/>
    <cellStyle name="계산 10 4 3 3" xfId="19036"/>
    <cellStyle name="계산 10 4 4" xfId="14294"/>
    <cellStyle name="계산 10 4 4 2" xfId="31435"/>
    <cellStyle name="계산 10 4 5" xfId="18129"/>
    <cellStyle name="계산 10 5" xfId="1089"/>
    <cellStyle name="계산 10 5 2" xfId="1992"/>
    <cellStyle name="계산 10 5 2 2" xfId="15298"/>
    <cellStyle name="계산 10 5 2 2 2" xfId="32439"/>
    <cellStyle name="계산 10 5 2 3" xfId="19135"/>
    <cellStyle name="계산 10 5 3" xfId="14397"/>
    <cellStyle name="계산 10 5 3 2" xfId="31538"/>
    <cellStyle name="계산 10 5 4" xfId="18232"/>
    <cellStyle name="계산 10 6" xfId="1485"/>
    <cellStyle name="계산 10 6 2" xfId="2382"/>
    <cellStyle name="계산 10 6 2 2" xfId="15688"/>
    <cellStyle name="계산 10 6 2 2 2" xfId="32829"/>
    <cellStyle name="계산 10 6 2 3" xfId="19525"/>
    <cellStyle name="계산 10 6 3" xfId="14792"/>
    <cellStyle name="계산 10 6 3 2" xfId="31933"/>
    <cellStyle name="계산 10 6 4" xfId="18628"/>
    <cellStyle name="계산 10 7" xfId="609"/>
    <cellStyle name="계산 10 7 2" xfId="13987"/>
    <cellStyle name="계산 10 7 2 2" xfId="31128"/>
    <cellStyle name="계산 10 7 3" xfId="17752"/>
    <cellStyle name="계산 10 8" xfId="1584"/>
    <cellStyle name="계산 10 8 2" xfId="14890"/>
    <cellStyle name="계산 10 8 2 2" xfId="32031"/>
    <cellStyle name="계산 10 8 3" xfId="18727"/>
    <cellStyle name="계산 10 9" xfId="12852"/>
    <cellStyle name="계산 10 9 2" xfId="16210"/>
    <cellStyle name="계산 10 9 2 2" xfId="33351"/>
    <cellStyle name="계산 10 9 3" xfId="29993"/>
    <cellStyle name="계산 11" xfId="428"/>
    <cellStyle name="계산 11 10" xfId="13028"/>
    <cellStyle name="계산 11 10 2" xfId="16379"/>
    <cellStyle name="계산 11 10 2 2" xfId="33520"/>
    <cellStyle name="계산 11 10 3" xfId="30169"/>
    <cellStyle name="계산 11 11" xfId="13113"/>
    <cellStyle name="계산 11 11 2" xfId="16464"/>
    <cellStyle name="계산 11 11 2 2" xfId="33605"/>
    <cellStyle name="계산 11 11 3" xfId="30254"/>
    <cellStyle name="계산 11 12" xfId="13201"/>
    <cellStyle name="계산 11 12 2" xfId="16552"/>
    <cellStyle name="계산 11 12 2 2" xfId="33693"/>
    <cellStyle name="계산 11 12 3" xfId="30342"/>
    <cellStyle name="계산 11 13" xfId="12992"/>
    <cellStyle name="계산 11 13 2" xfId="16343"/>
    <cellStyle name="계산 11 13 2 2" xfId="33484"/>
    <cellStyle name="계산 11 13 3" xfId="30133"/>
    <cellStyle name="계산 11 14" xfId="13380"/>
    <cellStyle name="계산 11 14 2" xfId="16731"/>
    <cellStyle name="계산 11 14 2 2" xfId="33872"/>
    <cellStyle name="계산 11 14 3" xfId="30521"/>
    <cellStyle name="계산 11 15" xfId="13455"/>
    <cellStyle name="계산 11 15 2" xfId="16806"/>
    <cellStyle name="계산 11 15 2 2" xfId="33947"/>
    <cellStyle name="계산 11 15 3" xfId="30596"/>
    <cellStyle name="계산 11 16" xfId="13520"/>
    <cellStyle name="계산 11 16 2" xfId="16871"/>
    <cellStyle name="계산 11 16 2 2" xfId="34012"/>
    <cellStyle name="계산 11 16 3" xfId="30661"/>
    <cellStyle name="계산 11 17" xfId="13588"/>
    <cellStyle name="계산 11 17 2" xfId="16939"/>
    <cellStyle name="계산 11 17 2 2" xfId="34080"/>
    <cellStyle name="계산 11 17 3" xfId="30729"/>
    <cellStyle name="계산 11 18" xfId="13651"/>
    <cellStyle name="계산 11 18 2" xfId="17002"/>
    <cellStyle name="계산 11 18 2 2" xfId="34143"/>
    <cellStyle name="계산 11 18 3" xfId="30792"/>
    <cellStyle name="계산 11 19" xfId="13705"/>
    <cellStyle name="계산 11 19 2" xfId="17056"/>
    <cellStyle name="계산 11 19 2 2" xfId="34197"/>
    <cellStyle name="계산 11 19 3" xfId="30846"/>
    <cellStyle name="계산 11 2" xfId="910"/>
    <cellStyle name="계산 11 2 2" xfId="1324"/>
    <cellStyle name="계산 11 2 2 2" xfId="2222"/>
    <cellStyle name="계산 11 2 2 2 2" xfId="15528"/>
    <cellStyle name="계산 11 2 2 2 2 2" xfId="32669"/>
    <cellStyle name="계산 11 2 2 2 3" xfId="19365"/>
    <cellStyle name="계산 11 2 2 3" xfId="14632"/>
    <cellStyle name="계산 11 2 2 3 2" xfId="31773"/>
    <cellStyle name="계산 11 2 2 4" xfId="18467"/>
    <cellStyle name="계산 11 2 3" xfId="1827"/>
    <cellStyle name="계산 11 2 3 2" xfId="15133"/>
    <cellStyle name="계산 11 2 3 2 2" xfId="32274"/>
    <cellStyle name="계산 11 2 3 3" xfId="18970"/>
    <cellStyle name="계산 11 2 4" xfId="14228"/>
    <cellStyle name="계산 11 2 4 2" xfId="31369"/>
    <cellStyle name="계산 11 2 5" xfId="18053"/>
    <cellStyle name="계산 11 20" xfId="13914"/>
    <cellStyle name="계산 11 20 2" xfId="31055"/>
    <cellStyle name="계산 11 21" xfId="17571"/>
    <cellStyle name="계산 11 3" xfId="766"/>
    <cellStyle name="계산 11 3 2" xfId="1219"/>
    <cellStyle name="계산 11 3 2 2" xfId="2117"/>
    <cellStyle name="계산 11 3 2 2 2" xfId="15423"/>
    <cellStyle name="계산 11 3 2 2 2 2" xfId="32564"/>
    <cellStyle name="계산 11 3 2 2 3" xfId="19260"/>
    <cellStyle name="계산 11 3 2 3" xfId="14527"/>
    <cellStyle name="계산 11 3 2 3 2" xfId="31668"/>
    <cellStyle name="계산 11 3 2 4" xfId="18362"/>
    <cellStyle name="계산 11 3 3" xfId="1722"/>
    <cellStyle name="계산 11 3 3 2" xfId="15028"/>
    <cellStyle name="계산 11 3 3 2 2" xfId="32169"/>
    <cellStyle name="계산 11 3 3 3" xfId="18865"/>
    <cellStyle name="계산 11 3 4" xfId="14123"/>
    <cellStyle name="계산 11 3 4 2" xfId="31264"/>
    <cellStyle name="계산 11 3 5" xfId="17909"/>
    <cellStyle name="계산 11 4" xfId="1024"/>
    <cellStyle name="계산 11 4 2" xfId="1421"/>
    <cellStyle name="계산 11 4 2 2" xfId="2319"/>
    <cellStyle name="계산 11 4 2 2 2" xfId="15625"/>
    <cellStyle name="계산 11 4 2 2 2 2" xfId="32766"/>
    <cellStyle name="계산 11 4 2 2 3" xfId="19462"/>
    <cellStyle name="계산 11 4 2 3" xfId="14729"/>
    <cellStyle name="계산 11 4 2 3 2" xfId="31870"/>
    <cellStyle name="계산 11 4 2 4" xfId="18564"/>
    <cellStyle name="계산 11 4 3" xfId="1931"/>
    <cellStyle name="계산 11 4 3 2" xfId="15237"/>
    <cellStyle name="계산 11 4 3 2 2" xfId="32378"/>
    <cellStyle name="계산 11 4 3 3" xfId="19074"/>
    <cellStyle name="계산 11 4 4" xfId="14332"/>
    <cellStyle name="계산 11 4 4 2" xfId="31473"/>
    <cellStyle name="계산 11 4 5" xfId="18167"/>
    <cellStyle name="계산 11 5" xfId="1122"/>
    <cellStyle name="계산 11 5 2" xfId="2024"/>
    <cellStyle name="계산 11 5 2 2" xfId="15330"/>
    <cellStyle name="계산 11 5 2 2 2" xfId="32471"/>
    <cellStyle name="계산 11 5 2 3" xfId="19167"/>
    <cellStyle name="계산 11 5 3" xfId="14430"/>
    <cellStyle name="계산 11 5 3 2" xfId="31571"/>
    <cellStyle name="계산 11 5 4" xfId="18265"/>
    <cellStyle name="계산 11 6" xfId="1517"/>
    <cellStyle name="계산 11 6 2" xfId="2414"/>
    <cellStyle name="계산 11 6 2 2" xfId="15720"/>
    <cellStyle name="계산 11 6 2 2 2" xfId="32861"/>
    <cellStyle name="계산 11 6 2 3" xfId="19557"/>
    <cellStyle name="계산 11 6 3" xfId="14824"/>
    <cellStyle name="계산 11 6 3 2" xfId="31965"/>
    <cellStyle name="계산 11 6 4" xfId="18660"/>
    <cellStyle name="계산 11 7" xfId="658"/>
    <cellStyle name="계산 11 7 2" xfId="14025"/>
    <cellStyle name="계산 11 7 2 2" xfId="31166"/>
    <cellStyle name="계산 11 7 3" xfId="17801"/>
    <cellStyle name="계산 11 8" xfId="1622"/>
    <cellStyle name="계산 11 8 2" xfId="14928"/>
    <cellStyle name="계산 11 8 2 2" xfId="32069"/>
    <cellStyle name="계산 11 8 3" xfId="18765"/>
    <cellStyle name="계산 11 9" xfId="12917"/>
    <cellStyle name="계산 11 9 2" xfId="16275"/>
    <cellStyle name="계산 11 9 2 2" xfId="33416"/>
    <cellStyle name="계산 11 9 3" xfId="30058"/>
    <cellStyle name="계산 12" xfId="446"/>
    <cellStyle name="계산 12 10" xfId="13045"/>
    <cellStyle name="계산 12 10 2" xfId="16396"/>
    <cellStyle name="계산 12 10 2 2" xfId="33537"/>
    <cellStyle name="계산 12 10 3" xfId="30186"/>
    <cellStyle name="계산 12 11" xfId="13128"/>
    <cellStyle name="계산 12 11 2" xfId="16479"/>
    <cellStyle name="계산 12 11 2 2" xfId="33620"/>
    <cellStyle name="계산 12 11 3" xfId="30269"/>
    <cellStyle name="계산 12 12" xfId="13216"/>
    <cellStyle name="계산 12 12 2" xfId="16567"/>
    <cellStyle name="계산 12 12 2 2" xfId="33708"/>
    <cellStyle name="계산 12 12 3" xfId="30357"/>
    <cellStyle name="계산 12 13" xfId="13086"/>
    <cellStyle name="계산 12 13 2" xfId="16437"/>
    <cellStyle name="계산 12 13 2 2" xfId="33578"/>
    <cellStyle name="계산 12 13 3" xfId="30227"/>
    <cellStyle name="계산 12 14" xfId="13393"/>
    <cellStyle name="계산 12 14 2" xfId="16744"/>
    <cellStyle name="계산 12 14 2 2" xfId="33885"/>
    <cellStyle name="계산 12 14 3" xfId="30534"/>
    <cellStyle name="계산 12 15" xfId="13469"/>
    <cellStyle name="계산 12 15 2" xfId="16820"/>
    <cellStyle name="계산 12 15 2 2" xfId="33961"/>
    <cellStyle name="계산 12 15 3" xfId="30610"/>
    <cellStyle name="계산 12 16" xfId="13530"/>
    <cellStyle name="계산 12 16 2" xfId="16881"/>
    <cellStyle name="계산 12 16 2 2" xfId="34022"/>
    <cellStyle name="계산 12 16 3" xfId="30671"/>
    <cellStyle name="계산 12 17" xfId="13599"/>
    <cellStyle name="계산 12 17 2" xfId="16950"/>
    <cellStyle name="계산 12 17 2 2" xfId="34091"/>
    <cellStyle name="계산 12 17 3" xfId="30740"/>
    <cellStyle name="계산 12 18" xfId="13662"/>
    <cellStyle name="계산 12 18 2" xfId="17013"/>
    <cellStyle name="계산 12 18 2 2" xfId="34154"/>
    <cellStyle name="계산 12 18 3" xfId="30803"/>
    <cellStyle name="계산 12 19" xfId="13696"/>
    <cellStyle name="계산 12 19 2" xfId="17047"/>
    <cellStyle name="계산 12 19 2 2" xfId="34188"/>
    <cellStyle name="계산 12 19 3" xfId="30837"/>
    <cellStyle name="계산 12 2" xfId="922"/>
    <cellStyle name="계산 12 2 2" xfId="1335"/>
    <cellStyle name="계산 12 2 2 2" xfId="2233"/>
    <cellStyle name="계산 12 2 2 2 2" xfId="15539"/>
    <cellStyle name="계산 12 2 2 2 2 2" xfId="32680"/>
    <cellStyle name="계산 12 2 2 2 3" xfId="19376"/>
    <cellStyle name="계산 12 2 2 3" xfId="14643"/>
    <cellStyle name="계산 12 2 2 3 2" xfId="31784"/>
    <cellStyle name="계산 12 2 2 4" xfId="18478"/>
    <cellStyle name="계산 12 2 3" xfId="1838"/>
    <cellStyle name="계산 12 2 3 2" xfId="15144"/>
    <cellStyle name="계산 12 2 3 2 2" xfId="32285"/>
    <cellStyle name="계산 12 2 3 3" xfId="18981"/>
    <cellStyle name="계산 12 2 4" xfId="14239"/>
    <cellStyle name="계산 12 2 4 2" xfId="31380"/>
    <cellStyle name="계산 12 2 5" xfId="18065"/>
    <cellStyle name="계산 12 20" xfId="13925"/>
    <cellStyle name="계산 12 20 2" xfId="31066"/>
    <cellStyle name="계산 12 21" xfId="17589"/>
    <cellStyle name="계산 12 3" xfId="776"/>
    <cellStyle name="계산 12 3 2" xfId="1229"/>
    <cellStyle name="계산 12 3 2 2" xfId="2127"/>
    <cellStyle name="계산 12 3 2 2 2" xfId="15433"/>
    <cellStyle name="계산 12 3 2 2 2 2" xfId="32574"/>
    <cellStyle name="계산 12 3 2 2 3" xfId="19270"/>
    <cellStyle name="계산 12 3 2 3" xfId="14537"/>
    <cellStyle name="계산 12 3 2 3 2" xfId="31678"/>
    <cellStyle name="계산 12 3 2 4" xfId="18372"/>
    <cellStyle name="계산 12 3 3" xfId="1732"/>
    <cellStyle name="계산 12 3 3 2" xfId="15038"/>
    <cellStyle name="계산 12 3 3 2 2" xfId="32179"/>
    <cellStyle name="계산 12 3 3 3" xfId="18875"/>
    <cellStyle name="계산 12 3 4" xfId="14133"/>
    <cellStyle name="계산 12 3 4 2" xfId="31274"/>
    <cellStyle name="계산 12 3 5" xfId="17919"/>
    <cellStyle name="계산 12 4" xfId="1035"/>
    <cellStyle name="계산 12 4 2" xfId="1431"/>
    <cellStyle name="계산 12 4 2 2" xfId="2329"/>
    <cellStyle name="계산 12 4 2 2 2" xfId="15635"/>
    <cellStyle name="계산 12 4 2 2 2 2" xfId="32776"/>
    <cellStyle name="계산 12 4 2 2 3" xfId="19472"/>
    <cellStyle name="계산 12 4 2 3" xfId="14739"/>
    <cellStyle name="계산 12 4 2 3 2" xfId="31880"/>
    <cellStyle name="계산 12 4 2 4" xfId="18574"/>
    <cellStyle name="계산 12 4 3" xfId="1942"/>
    <cellStyle name="계산 12 4 3 2" xfId="15248"/>
    <cellStyle name="계산 12 4 3 2 2" xfId="32389"/>
    <cellStyle name="계산 12 4 3 3" xfId="19085"/>
    <cellStyle name="계산 12 4 4" xfId="14343"/>
    <cellStyle name="계산 12 4 4 2" xfId="31484"/>
    <cellStyle name="계산 12 4 5" xfId="18178"/>
    <cellStyle name="계산 12 5" xfId="1132"/>
    <cellStyle name="계산 12 5 2" xfId="2034"/>
    <cellStyle name="계산 12 5 2 2" xfId="15340"/>
    <cellStyle name="계산 12 5 2 2 2" xfId="32481"/>
    <cellStyle name="계산 12 5 2 3" xfId="19177"/>
    <cellStyle name="계산 12 5 3" xfId="14440"/>
    <cellStyle name="계산 12 5 3 2" xfId="31581"/>
    <cellStyle name="계산 12 5 4" xfId="18275"/>
    <cellStyle name="계산 12 6" xfId="1527"/>
    <cellStyle name="계산 12 6 2" xfId="2424"/>
    <cellStyle name="계산 12 6 2 2" xfId="15730"/>
    <cellStyle name="계산 12 6 2 2 2" xfId="32871"/>
    <cellStyle name="계산 12 6 2 3" xfId="19567"/>
    <cellStyle name="계산 12 6 3" xfId="14834"/>
    <cellStyle name="계산 12 6 3 2" xfId="31975"/>
    <cellStyle name="계산 12 6 4" xfId="18670"/>
    <cellStyle name="계산 12 7" xfId="670"/>
    <cellStyle name="계산 12 7 2" xfId="14036"/>
    <cellStyle name="계산 12 7 2 2" xfId="31177"/>
    <cellStyle name="계산 12 7 3" xfId="17813"/>
    <cellStyle name="계산 12 8" xfId="1633"/>
    <cellStyle name="계산 12 8 2" xfId="14939"/>
    <cellStyle name="계산 12 8 2 2" xfId="32080"/>
    <cellStyle name="계산 12 8 3" xfId="18776"/>
    <cellStyle name="계산 12 9" xfId="12933"/>
    <cellStyle name="계산 12 9 2" xfId="16291"/>
    <cellStyle name="계산 12 9 2 2" xfId="33432"/>
    <cellStyle name="계산 12 9 3" xfId="30074"/>
    <cellStyle name="계산 13" xfId="532"/>
    <cellStyle name="계산 13 2" xfId="2553"/>
    <cellStyle name="계산 13 2 2" xfId="15764"/>
    <cellStyle name="계산 13 2 2 2" xfId="32905"/>
    <cellStyle name="계산 13 2 3" xfId="19694"/>
    <cellStyle name="계산 13 3" xfId="2554"/>
    <cellStyle name="계산 13 3 2" xfId="15765"/>
    <cellStyle name="계산 13 3 2 2" xfId="32906"/>
    <cellStyle name="계산 13 3 3" xfId="19695"/>
    <cellStyle name="계산 13 4" xfId="17675"/>
    <cellStyle name="계산 14" xfId="2555"/>
    <cellStyle name="계산 14 2" xfId="2556"/>
    <cellStyle name="계산 14 2 2" xfId="15767"/>
    <cellStyle name="계산 14 2 2 2" xfId="32908"/>
    <cellStyle name="계산 14 2 3" xfId="19697"/>
    <cellStyle name="계산 14 3" xfId="2557"/>
    <cellStyle name="계산 14 3 2" xfId="15768"/>
    <cellStyle name="계산 14 3 2 2" xfId="32909"/>
    <cellStyle name="계산 14 3 3" xfId="19698"/>
    <cellStyle name="계산 14 4" xfId="15766"/>
    <cellStyle name="계산 14 4 2" xfId="32907"/>
    <cellStyle name="계산 14 5" xfId="19696"/>
    <cellStyle name="계산 15" xfId="2558"/>
    <cellStyle name="계산 15 2" xfId="2559"/>
    <cellStyle name="계산 15 2 2" xfId="15770"/>
    <cellStyle name="계산 15 2 2 2" xfId="32911"/>
    <cellStyle name="계산 15 2 3" xfId="19700"/>
    <cellStyle name="계산 15 3" xfId="2560"/>
    <cellStyle name="계산 15 3 2" xfId="15771"/>
    <cellStyle name="계산 15 3 2 2" xfId="32912"/>
    <cellStyle name="계산 15 3 3" xfId="19701"/>
    <cellStyle name="계산 15 4" xfId="15769"/>
    <cellStyle name="계산 15 4 2" xfId="32910"/>
    <cellStyle name="계산 15 5" xfId="19699"/>
    <cellStyle name="계산 16" xfId="2561"/>
    <cellStyle name="계산 16 2" xfId="2562"/>
    <cellStyle name="계산 16 2 2" xfId="15773"/>
    <cellStyle name="계산 16 2 2 2" xfId="32914"/>
    <cellStyle name="계산 16 2 3" xfId="19703"/>
    <cellStyle name="계산 16 3" xfId="2563"/>
    <cellStyle name="계산 16 3 2" xfId="15774"/>
    <cellStyle name="계산 16 3 2 2" xfId="32915"/>
    <cellStyle name="계산 16 3 3" xfId="19704"/>
    <cellStyle name="계산 16 4" xfId="15772"/>
    <cellStyle name="계산 16 4 2" xfId="32913"/>
    <cellStyle name="계산 16 5" xfId="19702"/>
    <cellStyle name="계산 17" xfId="2564"/>
    <cellStyle name="계산 17 2" xfId="2565"/>
    <cellStyle name="계산 17 2 2" xfId="15776"/>
    <cellStyle name="계산 17 2 2 2" xfId="32917"/>
    <cellStyle name="계산 17 2 3" xfId="19706"/>
    <cellStyle name="계산 17 3" xfId="2566"/>
    <cellStyle name="계산 17 3 2" xfId="15777"/>
    <cellStyle name="계산 17 3 2 2" xfId="32918"/>
    <cellStyle name="계산 17 3 3" xfId="19707"/>
    <cellStyle name="계산 17 4" xfId="15775"/>
    <cellStyle name="계산 17 4 2" xfId="32916"/>
    <cellStyle name="계산 17 5" xfId="19705"/>
    <cellStyle name="계산 18" xfId="2567"/>
    <cellStyle name="계산 18 2" xfId="2568"/>
    <cellStyle name="계산 18 2 2" xfId="15779"/>
    <cellStyle name="계산 18 2 2 2" xfId="32920"/>
    <cellStyle name="계산 18 2 3" xfId="19709"/>
    <cellStyle name="계산 18 3" xfId="2569"/>
    <cellStyle name="계산 18 3 2" xfId="15780"/>
    <cellStyle name="계산 18 3 2 2" xfId="32921"/>
    <cellStyle name="계산 18 3 3" xfId="19710"/>
    <cellStyle name="계산 18 4" xfId="15778"/>
    <cellStyle name="계산 18 4 2" xfId="32919"/>
    <cellStyle name="계산 18 5" xfId="19708"/>
    <cellStyle name="계산 19" xfId="2570"/>
    <cellStyle name="계산 19 2" xfId="2571"/>
    <cellStyle name="계산 19 2 2" xfId="15782"/>
    <cellStyle name="계산 19 2 2 2" xfId="32923"/>
    <cellStyle name="계산 19 2 3" xfId="19712"/>
    <cellStyle name="계산 19 3" xfId="2572"/>
    <cellStyle name="계산 19 3 2" xfId="15783"/>
    <cellStyle name="계산 19 3 2 2" xfId="32924"/>
    <cellStyle name="계산 19 3 3" xfId="19713"/>
    <cellStyle name="계산 19 4" xfId="15781"/>
    <cellStyle name="계산 19 4 2" xfId="32922"/>
    <cellStyle name="계산 19 5" xfId="19711"/>
    <cellStyle name="계산 2" xfId="214"/>
    <cellStyle name="계산 2 10" xfId="12926"/>
    <cellStyle name="계산 2 10 2" xfId="16284"/>
    <cellStyle name="계산 2 10 2 2" xfId="33425"/>
    <cellStyle name="계산 2 10 3" xfId="30067"/>
    <cellStyle name="계산 2 11" xfId="12747"/>
    <cellStyle name="계산 2 11 2" xfId="16110"/>
    <cellStyle name="계산 2 11 2 2" xfId="33251"/>
    <cellStyle name="계산 2 11 3" xfId="29888"/>
    <cellStyle name="계산 2 12" xfId="12765"/>
    <cellStyle name="계산 2 12 2" xfId="16128"/>
    <cellStyle name="계산 2 12 2 2" xfId="33269"/>
    <cellStyle name="계산 2 12 3" xfId="29906"/>
    <cellStyle name="계산 2 13" xfId="12700"/>
    <cellStyle name="계산 2 13 2" xfId="16063"/>
    <cellStyle name="계산 2 13 2 2" xfId="33204"/>
    <cellStyle name="계산 2 13 3" xfId="29841"/>
    <cellStyle name="계산 2 14" xfId="13075"/>
    <cellStyle name="계산 2 14 2" xfId="16426"/>
    <cellStyle name="계산 2 14 2 2" xfId="33567"/>
    <cellStyle name="계산 2 14 3" xfId="30216"/>
    <cellStyle name="계산 2 15" xfId="13324"/>
    <cellStyle name="계산 2 15 2" xfId="16675"/>
    <cellStyle name="계산 2 15 2 2" xfId="33816"/>
    <cellStyle name="계산 2 15 3" xfId="30465"/>
    <cellStyle name="계산 2 16" xfId="12850"/>
    <cellStyle name="계산 2 16 2" xfId="16208"/>
    <cellStyle name="계산 2 16 2 2" xfId="33349"/>
    <cellStyle name="계산 2 16 3" xfId="29991"/>
    <cellStyle name="계산 2 17" xfId="13345"/>
    <cellStyle name="계산 2 17 2" xfId="16696"/>
    <cellStyle name="계산 2 17 2 2" xfId="33837"/>
    <cellStyle name="계산 2 17 3" xfId="30486"/>
    <cellStyle name="계산 2 18" xfId="13288"/>
    <cellStyle name="계산 2 18 2" xfId="16639"/>
    <cellStyle name="계산 2 18 2 2" xfId="33780"/>
    <cellStyle name="계산 2 18 3" xfId="30429"/>
    <cellStyle name="계산 2 19" xfId="12956"/>
    <cellStyle name="계산 2 19 2" xfId="16314"/>
    <cellStyle name="계산 2 19 2 2" xfId="33455"/>
    <cellStyle name="계산 2 19 3" xfId="30097"/>
    <cellStyle name="계산 2 2" xfId="808"/>
    <cellStyle name="계산 2 2 2" xfId="1253"/>
    <cellStyle name="계산 2 2 2 2" xfId="2151"/>
    <cellStyle name="계산 2 2 2 2 2" xfId="15457"/>
    <cellStyle name="계산 2 2 2 2 2 2" xfId="32598"/>
    <cellStyle name="계산 2 2 2 2 3" xfId="19294"/>
    <cellStyle name="계산 2 2 2 3" xfId="14561"/>
    <cellStyle name="계산 2 2 2 3 2" xfId="31702"/>
    <cellStyle name="계산 2 2 2 4" xfId="18396"/>
    <cellStyle name="계산 2 2 3" xfId="1756"/>
    <cellStyle name="계산 2 2 3 2" xfId="15062"/>
    <cellStyle name="계산 2 2 3 2 2" xfId="32203"/>
    <cellStyle name="계산 2 2 3 3" xfId="18899"/>
    <cellStyle name="계산 2 2 4" xfId="14157"/>
    <cellStyle name="계산 2 2 4 2" xfId="31298"/>
    <cellStyle name="계산 2 2 5" xfId="17951"/>
    <cellStyle name="계산 2 20" xfId="13749"/>
    <cellStyle name="계산 2 20 2" xfId="17100"/>
    <cellStyle name="계산 2 20 2 2" xfId="34241"/>
    <cellStyle name="계산 2 20 3" xfId="30890"/>
    <cellStyle name="계산 2 21" xfId="13734"/>
    <cellStyle name="계산 2 21 2" xfId="17085"/>
    <cellStyle name="계산 2 21 2 2" xfId="34226"/>
    <cellStyle name="계산 2 21 3" xfId="30875"/>
    <cellStyle name="계산 2 22" xfId="13843"/>
    <cellStyle name="계산 2 22 2" xfId="30984"/>
    <cellStyle name="계산 2 23" xfId="17357"/>
    <cellStyle name="계산 2 24" xfId="35482"/>
    <cellStyle name="계산 2 3" xfId="706"/>
    <cellStyle name="계산 2 3 2" xfId="1159"/>
    <cellStyle name="계산 2 3 2 2" xfId="2058"/>
    <cellStyle name="계산 2 3 2 2 2" xfId="15364"/>
    <cellStyle name="계산 2 3 2 2 2 2" xfId="32505"/>
    <cellStyle name="계산 2 3 2 2 3" xfId="19201"/>
    <cellStyle name="계산 2 3 2 3" xfId="14467"/>
    <cellStyle name="계산 2 3 2 3 2" xfId="31608"/>
    <cellStyle name="계산 2 3 2 4" xfId="18302"/>
    <cellStyle name="계산 2 3 3" xfId="1662"/>
    <cellStyle name="계산 2 3 3 2" xfId="14968"/>
    <cellStyle name="계산 2 3 3 2 2" xfId="32109"/>
    <cellStyle name="계산 2 3 3 3" xfId="18805"/>
    <cellStyle name="계산 2 3 4" xfId="14063"/>
    <cellStyle name="계산 2 3 4 2" xfId="31204"/>
    <cellStyle name="계산 2 3 5" xfId="17849"/>
    <cellStyle name="계산 2 4" xfId="960"/>
    <cellStyle name="계산 2 4 2" xfId="1364"/>
    <cellStyle name="계산 2 4 2 2" xfId="2262"/>
    <cellStyle name="계산 2 4 2 2 2" xfId="15568"/>
    <cellStyle name="계산 2 4 2 2 2 2" xfId="32709"/>
    <cellStyle name="계산 2 4 2 2 3" xfId="19405"/>
    <cellStyle name="계산 2 4 2 3" xfId="14672"/>
    <cellStyle name="계산 2 4 2 3 2" xfId="31813"/>
    <cellStyle name="계산 2 4 2 4" xfId="18507"/>
    <cellStyle name="계산 2 4 3" xfId="1867"/>
    <cellStyle name="계산 2 4 3 2" xfId="15173"/>
    <cellStyle name="계산 2 4 3 2 2" xfId="32314"/>
    <cellStyle name="계산 2 4 3 3" xfId="19010"/>
    <cellStyle name="계산 2 4 4" xfId="14268"/>
    <cellStyle name="계산 2 4 4 2" xfId="31409"/>
    <cellStyle name="계산 2 4 5" xfId="18103"/>
    <cellStyle name="계산 2 5" xfId="1061"/>
    <cellStyle name="계산 2 5 2" xfId="1968"/>
    <cellStyle name="계산 2 5 2 2" xfId="15274"/>
    <cellStyle name="계산 2 5 2 2 2" xfId="32415"/>
    <cellStyle name="계산 2 5 2 3" xfId="19111"/>
    <cellStyle name="계산 2 5 3" xfId="14369"/>
    <cellStyle name="계산 2 5 3 2" xfId="31510"/>
    <cellStyle name="계산 2 5 4" xfId="18204"/>
    <cellStyle name="계산 2 6" xfId="1461"/>
    <cellStyle name="계산 2 6 2" xfId="2358"/>
    <cellStyle name="계산 2 6 2 2" xfId="15664"/>
    <cellStyle name="계산 2 6 2 2 2" xfId="32805"/>
    <cellStyle name="계산 2 6 2 3" xfId="19501"/>
    <cellStyle name="계산 2 6 3" xfId="14768"/>
    <cellStyle name="계산 2 6 3 2" xfId="31909"/>
    <cellStyle name="계산 2 6 4" xfId="18604"/>
    <cellStyle name="계산 2 7" xfId="556"/>
    <cellStyle name="계산 2 7 2" xfId="13954"/>
    <cellStyle name="계산 2 7 2 2" xfId="31095"/>
    <cellStyle name="계산 2 7 3" xfId="17699"/>
    <cellStyle name="계산 2 8" xfId="1552"/>
    <cellStyle name="계산 2 8 2" xfId="14858"/>
    <cellStyle name="계산 2 8 2 2" xfId="31999"/>
    <cellStyle name="계산 2 8 3" xfId="18695"/>
    <cellStyle name="계산 2 9" xfId="12740"/>
    <cellStyle name="계산 2 9 2" xfId="16103"/>
    <cellStyle name="계산 2 9 2 2" xfId="33244"/>
    <cellStyle name="계산 2 9 3" xfId="29881"/>
    <cellStyle name="계산 20" xfId="2573"/>
    <cellStyle name="계산 20 2" xfId="2574"/>
    <cellStyle name="계산 20 2 2" xfId="15785"/>
    <cellStyle name="계산 20 2 2 2" xfId="32926"/>
    <cellStyle name="계산 20 2 3" xfId="19715"/>
    <cellStyle name="계산 20 3" xfId="2575"/>
    <cellStyle name="계산 20 3 2" xfId="15786"/>
    <cellStyle name="계산 20 3 2 2" xfId="32927"/>
    <cellStyle name="계산 20 3 3" xfId="19716"/>
    <cellStyle name="계산 20 4" xfId="15784"/>
    <cellStyle name="계산 20 4 2" xfId="32925"/>
    <cellStyle name="계산 20 5" xfId="19714"/>
    <cellStyle name="계산 21" xfId="2576"/>
    <cellStyle name="계산 21 2" xfId="2577"/>
    <cellStyle name="계산 21 2 2" xfId="15788"/>
    <cellStyle name="계산 21 2 2 2" xfId="32929"/>
    <cellStyle name="계산 21 2 3" xfId="19718"/>
    <cellStyle name="계산 21 3" xfId="2578"/>
    <cellStyle name="계산 21 3 2" xfId="15789"/>
    <cellStyle name="계산 21 3 2 2" xfId="32930"/>
    <cellStyle name="계산 21 3 3" xfId="19719"/>
    <cellStyle name="계산 21 4" xfId="15787"/>
    <cellStyle name="계산 21 4 2" xfId="32928"/>
    <cellStyle name="계산 21 5" xfId="19717"/>
    <cellStyle name="계산 22" xfId="2579"/>
    <cellStyle name="계산 22 2" xfId="2580"/>
    <cellStyle name="계산 22 2 2" xfId="15791"/>
    <cellStyle name="계산 22 2 2 2" xfId="32932"/>
    <cellStyle name="계산 22 2 3" xfId="19721"/>
    <cellStyle name="계산 22 3" xfId="2581"/>
    <cellStyle name="계산 22 3 2" xfId="15792"/>
    <cellStyle name="계산 22 3 2 2" xfId="32933"/>
    <cellStyle name="계산 22 3 3" xfId="19722"/>
    <cellStyle name="계산 22 4" xfId="15790"/>
    <cellStyle name="계산 22 4 2" xfId="32931"/>
    <cellStyle name="계산 22 5" xfId="19720"/>
    <cellStyle name="계산 23" xfId="2582"/>
    <cellStyle name="계산 23 2" xfId="2583"/>
    <cellStyle name="계산 23 2 2" xfId="15794"/>
    <cellStyle name="계산 23 2 2 2" xfId="32935"/>
    <cellStyle name="계산 23 2 3" xfId="19724"/>
    <cellStyle name="계산 23 3" xfId="2584"/>
    <cellStyle name="계산 23 3 2" xfId="15795"/>
    <cellStyle name="계산 23 3 2 2" xfId="32936"/>
    <cellStyle name="계산 23 3 3" xfId="19725"/>
    <cellStyle name="계산 23 4" xfId="15793"/>
    <cellStyle name="계산 23 4 2" xfId="32934"/>
    <cellStyle name="계산 23 5" xfId="19723"/>
    <cellStyle name="계산 24" xfId="2585"/>
    <cellStyle name="계산 24 2" xfId="2586"/>
    <cellStyle name="계산 24 2 2" xfId="15797"/>
    <cellStyle name="계산 24 2 2 2" xfId="32938"/>
    <cellStyle name="계산 24 2 3" xfId="19727"/>
    <cellStyle name="계산 24 3" xfId="2587"/>
    <cellStyle name="계산 24 3 2" xfId="15798"/>
    <cellStyle name="계산 24 3 2 2" xfId="32939"/>
    <cellStyle name="계산 24 3 3" xfId="19728"/>
    <cellStyle name="계산 24 4" xfId="15796"/>
    <cellStyle name="계산 24 4 2" xfId="32937"/>
    <cellStyle name="계산 24 5" xfId="19726"/>
    <cellStyle name="계산 25" xfId="2588"/>
    <cellStyle name="계산 25 2" xfId="15799"/>
    <cellStyle name="계산 25 2 2" xfId="32940"/>
    <cellStyle name="계산 25 3" xfId="19729"/>
    <cellStyle name="계산 26" xfId="2589"/>
    <cellStyle name="계산 26 2" xfId="15800"/>
    <cellStyle name="계산 26 2 2" xfId="32941"/>
    <cellStyle name="계산 26 3" xfId="19730"/>
    <cellStyle name="계산 27" xfId="2590"/>
    <cellStyle name="계산 27 2" xfId="15801"/>
    <cellStyle name="계산 27 2 2" xfId="32942"/>
    <cellStyle name="계산 27 3" xfId="19731"/>
    <cellStyle name="계산 28" xfId="35"/>
    <cellStyle name="계산 28 2" xfId="17211"/>
    <cellStyle name="계산 3" xfId="321"/>
    <cellStyle name="계산 3 10" xfId="12681"/>
    <cellStyle name="계산 3 10 2" xfId="16044"/>
    <cellStyle name="계산 3 10 2 2" xfId="33185"/>
    <cellStyle name="계산 3 10 3" xfId="29822"/>
    <cellStyle name="계산 3 11" xfId="12608"/>
    <cellStyle name="계산 3 11 2" xfId="15971"/>
    <cellStyle name="계산 3 11 2 2" xfId="33112"/>
    <cellStyle name="계산 3 11 3" xfId="29749"/>
    <cellStyle name="계산 3 12" xfId="12856"/>
    <cellStyle name="계산 3 12 2" xfId="16214"/>
    <cellStyle name="계산 3 12 2 2" xfId="33355"/>
    <cellStyle name="계산 3 12 3" xfId="29997"/>
    <cellStyle name="계산 3 13" xfId="13181"/>
    <cellStyle name="계산 3 13 2" xfId="16532"/>
    <cellStyle name="계산 3 13 2 2" xfId="33673"/>
    <cellStyle name="계산 3 13 3" xfId="30322"/>
    <cellStyle name="계산 3 14" xfId="13310"/>
    <cellStyle name="계산 3 14 2" xfId="16661"/>
    <cellStyle name="계산 3 14 2 2" xfId="33802"/>
    <cellStyle name="계산 3 14 3" xfId="30451"/>
    <cellStyle name="계산 3 15" xfId="12741"/>
    <cellStyle name="계산 3 15 2" xfId="16104"/>
    <cellStyle name="계산 3 15 2 2" xfId="33245"/>
    <cellStyle name="계산 3 15 3" xfId="29882"/>
    <cellStyle name="계산 3 16" xfId="12750"/>
    <cellStyle name="계산 3 16 2" xfId="16113"/>
    <cellStyle name="계산 3 16 2 2" xfId="33254"/>
    <cellStyle name="계산 3 16 3" xfId="29891"/>
    <cellStyle name="계산 3 17" xfId="13454"/>
    <cellStyle name="계산 3 17 2" xfId="16805"/>
    <cellStyle name="계산 3 17 2 2" xfId="33946"/>
    <cellStyle name="계산 3 17 3" xfId="30595"/>
    <cellStyle name="계산 3 18" xfId="13411"/>
    <cellStyle name="계산 3 18 2" xfId="16762"/>
    <cellStyle name="계산 3 18 2 2" xfId="33903"/>
    <cellStyle name="계산 3 18 3" xfId="30552"/>
    <cellStyle name="계산 3 19" xfId="13490"/>
    <cellStyle name="계산 3 19 2" xfId="16841"/>
    <cellStyle name="계산 3 19 2 2" xfId="33982"/>
    <cellStyle name="계산 3 19 3" xfId="30631"/>
    <cellStyle name="계산 3 2" xfId="833"/>
    <cellStyle name="계산 3 2 2" xfId="1265"/>
    <cellStyle name="계산 3 2 2 2" xfId="2163"/>
    <cellStyle name="계산 3 2 2 2 2" xfId="15469"/>
    <cellStyle name="계산 3 2 2 2 2 2" xfId="32610"/>
    <cellStyle name="계산 3 2 2 2 3" xfId="19306"/>
    <cellStyle name="계산 3 2 2 3" xfId="14573"/>
    <cellStyle name="계산 3 2 2 3 2" xfId="31714"/>
    <cellStyle name="계산 3 2 2 4" xfId="18408"/>
    <cellStyle name="계산 3 2 3" xfId="1768"/>
    <cellStyle name="계산 3 2 3 2" xfId="15074"/>
    <cellStyle name="계산 3 2 3 2 2" xfId="32215"/>
    <cellStyle name="계산 3 2 3 3" xfId="18911"/>
    <cellStyle name="계산 3 2 4" xfId="14169"/>
    <cellStyle name="계산 3 2 4 2" xfId="31310"/>
    <cellStyle name="계산 3 2 5" xfId="17976"/>
    <cellStyle name="계산 3 20" xfId="13775"/>
    <cellStyle name="계산 3 20 2" xfId="17121"/>
    <cellStyle name="계산 3 20 2 2" xfId="34262"/>
    <cellStyle name="계산 3 20 3" xfId="30916"/>
    <cellStyle name="계산 3 21" xfId="13803"/>
    <cellStyle name="계산 3 21 2" xfId="17149"/>
    <cellStyle name="계산 3 21 2 2" xfId="34290"/>
    <cellStyle name="계산 3 21 3" xfId="30944"/>
    <cellStyle name="계산 3 22" xfId="13855"/>
    <cellStyle name="계산 3 22 2" xfId="30996"/>
    <cellStyle name="계산 3 23" xfId="17464"/>
    <cellStyle name="계산 3 24" xfId="35483"/>
    <cellStyle name="계산 3 3" xfId="717"/>
    <cellStyle name="계산 3 3 2" xfId="1170"/>
    <cellStyle name="계산 3 3 2 2" xfId="2068"/>
    <cellStyle name="계산 3 3 2 2 2" xfId="15374"/>
    <cellStyle name="계산 3 3 2 2 2 2" xfId="32515"/>
    <cellStyle name="계산 3 3 2 2 3" xfId="19211"/>
    <cellStyle name="계산 3 3 2 3" xfId="14478"/>
    <cellStyle name="계산 3 3 2 3 2" xfId="31619"/>
    <cellStyle name="계산 3 3 2 4" xfId="18313"/>
    <cellStyle name="계산 3 3 3" xfId="1673"/>
    <cellStyle name="계산 3 3 3 2" xfId="14979"/>
    <cellStyle name="계산 3 3 3 2 2" xfId="32120"/>
    <cellStyle name="계산 3 3 3 3" xfId="18816"/>
    <cellStyle name="계산 3 3 4" xfId="14074"/>
    <cellStyle name="계산 3 3 4 2" xfId="31215"/>
    <cellStyle name="계산 3 3 5" xfId="17860"/>
    <cellStyle name="계산 3 4" xfId="969"/>
    <cellStyle name="계산 3 4 2" xfId="1372"/>
    <cellStyle name="계산 3 4 2 2" xfId="2270"/>
    <cellStyle name="계산 3 4 2 2 2" xfId="15576"/>
    <cellStyle name="계산 3 4 2 2 2 2" xfId="32717"/>
    <cellStyle name="계산 3 4 2 2 3" xfId="19413"/>
    <cellStyle name="계산 3 4 2 3" xfId="14680"/>
    <cellStyle name="계산 3 4 2 3 2" xfId="31821"/>
    <cellStyle name="계산 3 4 2 4" xfId="18515"/>
    <cellStyle name="계산 3 4 3" xfId="1876"/>
    <cellStyle name="계산 3 4 3 2" xfId="15182"/>
    <cellStyle name="계산 3 4 3 2 2" xfId="32323"/>
    <cellStyle name="계산 3 4 3 3" xfId="19019"/>
    <cellStyle name="계산 3 4 4" xfId="14277"/>
    <cellStyle name="계산 3 4 4 2" xfId="31418"/>
    <cellStyle name="계산 3 4 5" xfId="18112"/>
    <cellStyle name="계산 3 5" xfId="1069"/>
    <cellStyle name="계산 3 5 2" xfId="1976"/>
    <cellStyle name="계산 3 5 2 2" xfId="15282"/>
    <cellStyle name="계산 3 5 2 2 2" xfId="32423"/>
    <cellStyle name="계산 3 5 2 3" xfId="19119"/>
    <cellStyle name="계산 3 5 3" xfId="14377"/>
    <cellStyle name="계산 3 5 3 2" xfId="31518"/>
    <cellStyle name="계산 3 5 4" xfId="18212"/>
    <cellStyle name="계산 3 6" xfId="1469"/>
    <cellStyle name="계산 3 6 2" xfId="2366"/>
    <cellStyle name="계산 3 6 2 2" xfId="15672"/>
    <cellStyle name="계산 3 6 2 2 2" xfId="32813"/>
    <cellStyle name="계산 3 6 2 3" xfId="19509"/>
    <cellStyle name="계산 3 6 3" xfId="14776"/>
    <cellStyle name="계산 3 6 3 2" xfId="31917"/>
    <cellStyle name="계산 3 6 4" xfId="18612"/>
    <cellStyle name="계산 3 7" xfId="581"/>
    <cellStyle name="계산 3 7 2" xfId="13966"/>
    <cellStyle name="계산 3 7 2 2" xfId="31107"/>
    <cellStyle name="계산 3 7 3" xfId="17724"/>
    <cellStyle name="계산 3 8" xfId="1563"/>
    <cellStyle name="계산 3 8 2" xfId="14869"/>
    <cellStyle name="계산 3 8 2 2" xfId="32010"/>
    <cellStyle name="계산 3 8 3" xfId="18706"/>
    <cellStyle name="계산 3 9" xfId="12821"/>
    <cellStyle name="계산 3 9 2" xfId="16179"/>
    <cellStyle name="계산 3 9 2 2" xfId="33320"/>
    <cellStyle name="계산 3 9 3" xfId="29962"/>
    <cellStyle name="계산 4" xfId="374"/>
    <cellStyle name="계산 4 10" xfId="12980"/>
    <cellStyle name="계산 4 10 2" xfId="16331"/>
    <cellStyle name="계산 4 10 2 2" xfId="33472"/>
    <cellStyle name="계산 4 10 3" xfId="30121"/>
    <cellStyle name="계산 4 11" xfId="12633"/>
    <cellStyle name="계산 4 11 2" xfId="15996"/>
    <cellStyle name="계산 4 11 2 2" xfId="33137"/>
    <cellStyle name="계산 4 11 3" xfId="29774"/>
    <cellStyle name="계산 4 12" xfId="13068"/>
    <cellStyle name="계산 4 12 2" xfId="16419"/>
    <cellStyle name="계산 4 12 2 2" xfId="33560"/>
    <cellStyle name="계산 4 12 3" xfId="30209"/>
    <cellStyle name="계산 4 13" xfId="12656"/>
    <cellStyle name="계산 4 13 2" xfId="16019"/>
    <cellStyle name="계산 4 13 2 2" xfId="33160"/>
    <cellStyle name="계산 4 13 3" xfId="29797"/>
    <cellStyle name="계산 4 14" xfId="13277"/>
    <cellStyle name="계산 4 14 2" xfId="16628"/>
    <cellStyle name="계산 4 14 2 2" xfId="33769"/>
    <cellStyle name="계산 4 14 3" xfId="30418"/>
    <cellStyle name="계산 4 15" xfId="12666"/>
    <cellStyle name="계산 4 15 2" xfId="16029"/>
    <cellStyle name="계산 4 15 2 2" xfId="33170"/>
    <cellStyle name="계산 4 15 3" xfId="29807"/>
    <cellStyle name="계산 4 16" xfId="12958"/>
    <cellStyle name="계산 4 16 2" xfId="16316"/>
    <cellStyle name="계산 4 16 2 2" xfId="33457"/>
    <cellStyle name="계산 4 16 3" xfId="30099"/>
    <cellStyle name="계산 4 17" xfId="12665"/>
    <cellStyle name="계산 4 17 2" xfId="16028"/>
    <cellStyle name="계산 4 17 2 2" xfId="33169"/>
    <cellStyle name="계산 4 17 3" xfId="29806"/>
    <cellStyle name="계산 4 18" xfId="13536"/>
    <cellStyle name="계산 4 18 2" xfId="16887"/>
    <cellStyle name="계산 4 18 2 2" xfId="34028"/>
    <cellStyle name="계산 4 18 3" xfId="30677"/>
    <cellStyle name="계산 4 19" xfId="13757"/>
    <cellStyle name="계산 4 19 2" xfId="17108"/>
    <cellStyle name="계산 4 19 2 2" xfId="34249"/>
    <cellStyle name="계산 4 19 3" xfId="30898"/>
    <cellStyle name="계산 4 2" xfId="874"/>
    <cellStyle name="계산 4 2 2" xfId="1296"/>
    <cellStyle name="계산 4 2 2 2" xfId="2194"/>
    <cellStyle name="계산 4 2 2 2 2" xfId="15500"/>
    <cellStyle name="계산 4 2 2 2 2 2" xfId="32641"/>
    <cellStyle name="계산 4 2 2 2 3" xfId="19337"/>
    <cellStyle name="계산 4 2 2 3" xfId="14604"/>
    <cellStyle name="계산 4 2 2 3 2" xfId="31745"/>
    <cellStyle name="계산 4 2 2 4" xfId="18439"/>
    <cellStyle name="계산 4 2 3" xfId="1799"/>
    <cellStyle name="계산 4 2 3 2" xfId="15105"/>
    <cellStyle name="계산 4 2 3 2 2" xfId="32246"/>
    <cellStyle name="계산 4 2 3 3" xfId="18942"/>
    <cellStyle name="계산 4 2 4" xfId="14200"/>
    <cellStyle name="계산 4 2 4 2" xfId="31341"/>
    <cellStyle name="계산 4 2 5" xfId="18017"/>
    <cellStyle name="계산 4 20" xfId="13886"/>
    <cellStyle name="계산 4 20 2" xfId="31027"/>
    <cellStyle name="계산 4 21" xfId="17517"/>
    <cellStyle name="계산 4 22" xfId="35484"/>
    <cellStyle name="계산 4 3" xfId="741"/>
    <cellStyle name="계산 4 3 2" xfId="1194"/>
    <cellStyle name="계산 4 3 2 2" xfId="2092"/>
    <cellStyle name="계산 4 3 2 2 2" xfId="15398"/>
    <cellStyle name="계산 4 3 2 2 2 2" xfId="32539"/>
    <cellStyle name="계산 4 3 2 2 3" xfId="19235"/>
    <cellStyle name="계산 4 3 2 3" xfId="14502"/>
    <cellStyle name="계산 4 3 2 3 2" xfId="31643"/>
    <cellStyle name="계산 4 3 2 4" xfId="18337"/>
    <cellStyle name="계산 4 3 3" xfId="1697"/>
    <cellStyle name="계산 4 3 3 2" xfId="15003"/>
    <cellStyle name="계산 4 3 3 2 2" xfId="32144"/>
    <cellStyle name="계산 4 3 3 3" xfId="18840"/>
    <cellStyle name="계산 4 3 4" xfId="14098"/>
    <cellStyle name="계산 4 3 4 2" xfId="31239"/>
    <cellStyle name="계산 4 3 5" xfId="17884"/>
    <cellStyle name="계산 4 4" xfId="996"/>
    <cellStyle name="계산 4 4 2" xfId="1396"/>
    <cellStyle name="계산 4 4 2 2" xfId="2294"/>
    <cellStyle name="계산 4 4 2 2 2" xfId="15600"/>
    <cellStyle name="계산 4 4 2 2 2 2" xfId="32741"/>
    <cellStyle name="계산 4 4 2 2 3" xfId="19437"/>
    <cellStyle name="계산 4 4 2 3" xfId="14704"/>
    <cellStyle name="계산 4 4 2 3 2" xfId="31845"/>
    <cellStyle name="계산 4 4 2 4" xfId="18539"/>
    <cellStyle name="계산 4 4 3" xfId="1903"/>
    <cellStyle name="계산 4 4 3 2" xfId="15209"/>
    <cellStyle name="계산 4 4 3 2 2" xfId="32350"/>
    <cellStyle name="계산 4 4 3 3" xfId="19046"/>
    <cellStyle name="계산 4 4 4" xfId="14304"/>
    <cellStyle name="계산 4 4 4 2" xfId="31445"/>
    <cellStyle name="계산 4 4 5" xfId="18139"/>
    <cellStyle name="계산 4 5" xfId="1097"/>
    <cellStyle name="계산 4 5 2" xfId="2000"/>
    <cellStyle name="계산 4 5 2 2" xfId="15306"/>
    <cellStyle name="계산 4 5 2 2 2" xfId="32447"/>
    <cellStyle name="계산 4 5 2 3" xfId="19143"/>
    <cellStyle name="계산 4 5 3" xfId="14405"/>
    <cellStyle name="계산 4 5 3 2" xfId="31546"/>
    <cellStyle name="계산 4 5 4" xfId="18240"/>
    <cellStyle name="계산 4 6" xfId="1493"/>
    <cellStyle name="계산 4 6 2" xfId="2390"/>
    <cellStyle name="계산 4 6 2 2" xfId="15696"/>
    <cellStyle name="계산 4 6 2 2 2" xfId="32837"/>
    <cellStyle name="계산 4 6 2 3" xfId="19533"/>
    <cellStyle name="계산 4 6 3" xfId="14800"/>
    <cellStyle name="계산 4 6 3 2" xfId="31941"/>
    <cellStyle name="계산 4 6 4" xfId="18636"/>
    <cellStyle name="계산 4 7" xfId="622"/>
    <cellStyle name="계산 4 7 2" xfId="13997"/>
    <cellStyle name="계산 4 7 2 2" xfId="31138"/>
    <cellStyle name="계산 4 7 3" xfId="17765"/>
    <cellStyle name="계산 4 8" xfId="1594"/>
    <cellStyle name="계산 4 8 2" xfId="14900"/>
    <cellStyle name="계산 4 8 2 2" xfId="32041"/>
    <cellStyle name="계산 4 8 3" xfId="18737"/>
    <cellStyle name="계산 4 9" xfId="12870"/>
    <cellStyle name="계산 4 9 2" xfId="16228"/>
    <cellStyle name="계산 4 9 2 2" xfId="33369"/>
    <cellStyle name="계산 4 9 3" xfId="30011"/>
    <cellStyle name="계산 5" xfId="337"/>
    <cellStyle name="계산 5 10" xfId="12734"/>
    <cellStyle name="계산 5 10 2" xfId="16097"/>
    <cellStyle name="계산 5 10 2 2" xfId="33238"/>
    <cellStyle name="계산 5 10 3" xfId="29875"/>
    <cellStyle name="계산 5 11" xfId="12940"/>
    <cellStyle name="계산 5 11 2" xfId="16298"/>
    <cellStyle name="계산 5 11 2 2" xfId="33439"/>
    <cellStyle name="계산 5 11 3" xfId="30081"/>
    <cellStyle name="계산 5 12" xfId="12660"/>
    <cellStyle name="계산 5 12 2" xfId="16023"/>
    <cellStyle name="계산 5 12 2 2" xfId="33164"/>
    <cellStyle name="계산 5 12 3" xfId="29801"/>
    <cellStyle name="계산 5 13" xfId="12993"/>
    <cellStyle name="계산 5 13 2" xfId="16344"/>
    <cellStyle name="계산 5 13 2 2" xfId="33485"/>
    <cellStyle name="계산 5 13 3" xfId="30134"/>
    <cellStyle name="계산 5 14" xfId="12755"/>
    <cellStyle name="계산 5 14 2" xfId="16118"/>
    <cellStyle name="계산 5 14 2 2" xfId="33259"/>
    <cellStyle name="계산 5 14 3" xfId="29896"/>
    <cellStyle name="계산 5 15" xfId="12655"/>
    <cellStyle name="계산 5 15 2" xfId="16018"/>
    <cellStyle name="계산 5 15 2 2" xfId="33159"/>
    <cellStyle name="계산 5 15 3" xfId="29796"/>
    <cellStyle name="계산 5 16" xfId="12615"/>
    <cellStyle name="계산 5 16 2" xfId="15978"/>
    <cellStyle name="계산 5 16 2 2" xfId="33119"/>
    <cellStyle name="계산 5 16 3" xfId="29756"/>
    <cellStyle name="계산 5 17" xfId="13427"/>
    <cellStyle name="계산 5 17 2" xfId="16778"/>
    <cellStyle name="계산 5 17 2 2" xfId="33919"/>
    <cellStyle name="계산 5 17 3" xfId="30568"/>
    <cellStyle name="계산 5 18" xfId="12658"/>
    <cellStyle name="계산 5 18 2" xfId="16021"/>
    <cellStyle name="계산 5 18 2 2" xfId="33162"/>
    <cellStyle name="계산 5 18 3" xfId="29799"/>
    <cellStyle name="계산 5 19" xfId="13809"/>
    <cellStyle name="계산 5 19 2" xfId="17155"/>
    <cellStyle name="계산 5 19 2 2" xfId="34296"/>
    <cellStyle name="계산 5 19 3" xfId="30950"/>
    <cellStyle name="계산 5 2" xfId="846"/>
    <cellStyle name="계산 5 2 2" xfId="1273"/>
    <cellStyle name="계산 5 2 2 2" xfId="2171"/>
    <cellStyle name="계산 5 2 2 2 2" xfId="15477"/>
    <cellStyle name="계산 5 2 2 2 2 2" xfId="32618"/>
    <cellStyle name="계산 5 2 2 2 3" xfId="19314"/>
    <cellStyle name="계산 5 2 2 3" xfId="14581"/>
    <cellStyle name="계산 5 2 2 3 2" xfId="31722"/>
    <cellStyle name="계산 5 2 2 4" xfId="18416"/>
    <cellStyle name="계산 5 2 3" xfId="1776"/>
    <cellStyle name="계산 5 2 3 2" xfId="15082"/>
    <cellStyle name="계산 5 2 3 2 2" xfId="32223"/>
    <cellStyle name="계산 5 2 3 3" xfId="18919"/>
    <cellStyle name="계산 5 2 4" xfId="14177"/>
    <cellStyle name="계산 5 2 4 2" xfId="31318"/>
    <cellStyle name="계산 5 2 5" xfId="17989"/>
    <cellStyle name="계산 5 20" xfId="13863"/>
    <cellStyle name="계산 5 20 2" xfId="31004"/>
    <cellStyle name="계산 5 21" xfId="17480"/>
    <cellStyle name="계산 5 3" xfId="725"/>
    <cellStyle name="계산 5 3 2" xfId="1178"/>
    <cellStyle name="계산 5 3 2 2" xfId="2076"/>
    <cellStyle name="계산 5 3 2 2 2" xfId="15382"/>
    <cellStyle name="계산 5 3 2 2 2 2" xfId="32523"/>
    <cellStyle name="계산 5 3 2 2 3" xfId="19219"/>
    <cellStyle name="계산 5 3 2 3" xfId="14486"/>
    <cellStyle name="계산 5 3 2 3 2" xfId="31627"/>
    <cellStyle name="계산 5 3 2 4" xfId="18321"/>
    <cellStyle name="계산 5 3 3" xfId="1681"/>
    <cellStyle name="계산 5 3 3 2" xfId="14987"/>
    <cellStyle name="계산 5 3 3 2 2" xfId="32128"/>
    <cellStyle name="계산 5 3 3 3" xfId="18824"/>
    <cellStyle name="계산 5 3 4" xfId="14082"/>
    <cellStyle name="계산 5 3 4 2" xfId="31223"/>
    <cellStyle name="계산 5 3 5" xfId="17868"/>
    <cellStyle name="계산 5 4" xfId="977"/>
    <cellStyle name="계산 5 4 2" xfId="1380"/>
    <cellStyle name="계산 5 4 2 2" xfId="2278"/>
    <cellStyle name="계산 5 4 2 2 2" xfId="15584"/>
    <cellStyle name="계산 5 4 2 2 2 2" xfId="32725"/>
    <cellStyle name="계산 5 4 2 2 3" xfId="19421"/>
    <cellStyle name="계산 5 4 2 3" xfId="14688"/>
    <cellStyle name="계산 5 4 2 3 2" xfId="31829"/>
    <cellStyle name="계산 5 4 2 4" xfId="18523"/>
    <cellStyle name="계산 5 4 3" xfId="1884"/>
    <cellStyle name="계산 5 4 3 2" xfId="15190"/>
    <cellStyle name="계산 5 4 3 2 2" xfId="32331"/>
    <cellStyle name="계산 5 4 3 3" xfId="19027"/>
    <cellStyle name="계산 5 4 4" xfId="14285"/>
    <cellStyle name="계산 5 4 4 2" xfId="31426"/>
    <cellStyle name="계산 5 4 5" xfId="18120"/>
    <cellStyle name="계산 5 5" xfId="1077"/>
    <cellStyle name="계산 5 5 2" xfId="1984"/>
    <cellStyle name="계산 5 5 2 2" xfId="15290"/>
    <cellStyle name="계산 5 5 2 2 2" xfId="32431"/>
    <cellStyle name="계산 5 5 2 3" xfId="19127"/>
    <cellStyle name="계산 5 5 3" xfId="14385"/>
    <cellStyle name="계산 5 5 3 2" xfId="31526"/>
    <cellStyle name="계산 5 5 4" xfId="18220"/>
    <cellStyle name="계산 5 6" xfId="1477"/>
    <cellStyle name="계산 5 6 2" xfId="2374"/>
    <cellStyle name="계산 5 6 2 2" xfId="15680"/>
    <cellStyle name="계산 5 6 2 2 2" xfId="32821"/>
    <cellStyle name="계산 5 6 2 3" xfId="19517"/>
    <cellStyle name="계산 5 6 3" xfId="14784"/>
    <cellStyle name="계산 5 6 3 2" xfId="31925"/>
    <cellStyle name="계산 5 6 4" xfId="18620"/>
    <cellStyle name="계산 5 7" xfId="594"/>
    <cellStyle name="계산 5 7 2" xfId="13974"/>
    <cellStyle name="계산 5 7 2 2" xfId="31115"/>
    <cellStyle name="계산 5 7 3" xfId="17737"/>
    <cellStyle name="계산 5 8" xfId="1571"/>
    <cellStyle name="계산 5 8 2" xfId="14877"/>
    <cellStyle name="계산 5 8 2 2" xfId="32018"/>
    <cellStyle name="계산 5 8 3" xfId="18714"/>
    <cellStyle name="계산 5 9" xfId="12836"/>
    <cellStyle name="계산 5 9 2" xfId="16194"/>
    <cellStyle name="계산 5 9 2 2" xfId="33335"/>
    <cellStyle name="계산 5 9 3" xfId="29977"/>
    <cellStyle name="계산 6" xfId="365"/>
    <cellStyle name="계산 6 10" xfId="12723"/>
    <cellStyle name="계산 6 10 2" xfId="16086"/>
    <cellStyle name="계산 6 10 2 2" xfId="33227"/>
    <cellStyle name="계산 6 10 3" xfId="29864"/>
    <cellStyle name="계산 6 11" xfId="12781"/>
    <cellStyle name="계산 6 11 2" xfId="16144"/>
    <cellStyle name="계산 6 11 2 2" xfId="33285"/>
    <cellStyle name="계산 6 11 3" xfId="29922"/>
    <cellStyle name="계산 6 12" xfId="13051"/>
    <cellStyle name="계산 6 12 2" xfId="16402"/>
    <cellStyle name="계산 6 12 2 2" xfId="33543"/>
    <cellStyle name="계산 6 12 3" xfId="30192"/>
    <cellStyle name="계산 6 13" xfId="13283"/>
    <cellStyle name="계산 6 13 2" xfId="16634"/>
    <cellStyle name="계산 6 13 2 2" xfId="33775"/>
    <cellStyle name="계산 6 13 3" xfId="30424"/>
    <cellStyle name="계산 6 14" xfId="12773"/>
    <cellStyle name="계산 6 14 2" xfId="16136"/>
    <cellStyle name="계산 6 14 2 2" xfId="33277"/>
    <cellStyle name="계산 6 14 3" xfId="29914"/>
    <cellStyle name="계산 6 15" xfId="13318"/>
    <cellStyle name="계산 6 15 2" xfId="16669"/>
    <cellStyle name="계산 6 15 2 2" xfId="33810"/>
    <cellStyle name="계산 6 15 3" xfId="30459"/>
    <cellStyle name="계산 6 16" xfId="12680"/>
    <cellStyle name="계산 6 16 2" xfId="16043"/>
    <cellStyle name="계산 6 16 2 2" xfId="33184"/>
    <cellStyle name="계산 6 16 3" xfId="29821"/>
    <cellStyle name="계산 6 17" xfId="12857"/>
    <cellStyle name="계산 6 17 2" xfId="16215"/>
    <cellStyle name="계산 6 17 2 2" xfId="33356"/>
    <cellStyle name="계산 6 17 3" xfId="29998"/>
    <cellStyle name="계산 6 18" xfId="13563"/>
    <cellStyle name="계산 6 18 2" xfId="16914"/>
    <cellStyle name="계산 6 18 2 2" xfId="34055"/>
    <cellStyle name="계산 6 18 3" xfId="30704"/>
    <cellStyle name="계산 6 19" xfId="13790"/>
    <cellStyle name="계산 6 19 2" xfId="17136"/>
    <cellStyle name="계산 6 19 2 2" xfId="34277"/>
    <cellStyle name="계산 6 19 3" xfId="30931"/>
    <cellStyle name="계산 6 2" xfId="869"/>
    <cellStyle name="계산 6 2 2" xfId="1292"/>
    <cellStyle name="계산 6 2 2 2" xfId="2190"/>
    <cellStyle name="계산 6 2 2 2 2" xfId="15496"/>
    <cellStyle name="계산 6 2 2 2 2 2" xfId="32637"/>
    <cellStyle name="계산 6 2 2 2 3" xfId="19333"/>
    <cellStyle name="계산 6 2 2 3" xfId="14600"/>
    <cellStyle name="계산 6 2 2 3 2" xfId="31741"/>
    <cellStyle name="계산 6 2 2 4" xfId="18435"/>
    <cellStyle name="계산 6 2 3" xfId="1795"/>
    <cellStyle name="계산 6 2 3 2" xfId="15101"/>
    <cellStyle name="계산 6 2 3 2 2" xfId="32242"/>
    <cellStyle name="계산 6 2 3 3" xfId="18938"/>
    <cellStyle name="계산 6 2 4" xfId="14196"/>
    <cellStyle name="계산 6 2 4 2" xfId="31337"/>
    <cellStyle name="계산 6 2 5" xfId="18012"/>
    <cellStyle name="계산 6 20" xfId="13882"/>
    <cellStyle name="계산 6 20 2" xfId="31023"/>
    <cellStyle name="계산 6 21" xfId="17508"/>
    <cellStyle name="계산 6 3" xfId="737"/>
    <cellStyle name="계산 6 3 2" xfId="1190"/>
    <cellStyle name="계산 6 3 2 2" xfId="2088"/>
    <cellStyle name="계산 6 3 2 2 2" xfId="15394"/>
    <cellStyle name="계산 6 3 2 2 2 2" xfId="32535"/>
    <cellStyle name="계산 6 3 2 2 3" xfId="19231"/>
    <cellStyle name="계산 6 3 2 3" xfId="14498"/>
    <cellStyle name="계산 6 3 2 3 2" xfId="31639"/>
    <cellStyle name="계산 6 3 2 4" xfId="18333"/>
    <cellStyle name="계산 6 3 3" xfId="1693"/>
    <cellStyle name="계산 6 3 3 2" xfId="14999"/>
    <cellStyle name="계산 6 3 3 2 2" xfId="32140"/>
    <cellStyle name="계산 6 3 3 3" xfId="18836"/>
    <cellStyle name="계산 6 3 4" xfId="14094"/>
    <cellStyle name="계산 6 3 4 2" xfId="31235"/>
    <cellStyle name="계산 6 3 5" xfId="17880"/>
    <cellStyle name="계산 6 4" xfId="992"/>
    <cellStyle name="계산 6 4 2" xfId="1392"/>
    <cellStyle name="계산 6 4 2 2" xfId="2290"/>
    <cellStyle name="계산 6 4 2 2 2" xfId="15596"/>
    <cellStyle name="계산 6 4 2 2 2 2" xfId="32737"/>
    <cellStyle name="계산 6 4 2 2 3" xfId="19433"/>
    <cellStyle name="계산 6 4 2 3" xfId="14700"/>
    <cellStyle name="계산 6 4 2 3 2" xfId="31841"/>
    <cellStyle name="계산 6 4 2 4" xfId="18535"/>
    <cellStyle name="계산 6 4 3" xfId="1899"/>
    <cellStyle name="계산 6 4 3 2" xfId="15205"/>
    <cellStyle name="계산 6 4 3 2 2" xfId="32346"/>
    <cellStyle name="계산 6 4 3 3" xfId="19042"/>
    <cellStyle name="계산 6 4 4" xfId="14300"/>
    <cellStyle name="계산 6 4 4 2" xfId="31441"/>
    <cellStyle name="계산 6 4 5" xfId="18135"/>
    <cellStyle name="계산 6 5" xfId="1093"/>
    <cellStyle name="계산 6 5 2" xfId="1996"/>
    <cellStyle name="계산 6 5 2 2" xfId="15302"/>
    <cellStyle name="계산 6 5 2 2 2" xfId="32443"/>
    <cellStyle name="계산 6 5 2 3" xfId="19139"/>
    <cellStyle name="계산 6 5 3" xfId="14401"/>
    <cellStyle name="계산 6 5 3 2" xfId="31542"/>
    <cellStyle name="계산 6 5 4" xfId="18236"/>
    <cellStyle name="계산 6 6" xfId="1489"/>
    <cellStyle name="계산 6 6 2" xfId="2386"/>
    <cellStyle name="계산 6 6 2 2" xfId="15692"/>
    <cellStyle name="계산 6 6 2 2 2" xfId="32833"/>
    <cellStyle name="계산 6 6 2 3" xfId="19529"/>
    <cellStyle name="계산 6 6 3" xfId="14796"/>
    <cellStyle name="계산 6 6 3 2" xfId="31937"/>
    <cellStyle name="계산 6 6 4" xfId="18632"/>
    <cellStyle name="계산 6 7" xfId="617"/>
    <cellStyle name="계산 6 7 2" xfId="13993"/>
    <cellStyle name="계산 6 7 2 2" xfId="31134"/>
    <cellStyle name="계산 6 7 3" xfId="17760"/>
    <cellStyle name="계산 6 8" xfId="1590"/>
    <cellStyle name="계산 6 8 2" xfId="14896"/>
    <cellStyle name="계산 6 8 2 2" xfId="32037"/>
    <cellStyle name="계산 6 8 3" xfId="18733"/>
    <cellStyle name="계산 6 9" xfId="12861"/>
    <cellStyle name="계산 6 9 2" xfId="16219"/>
    <cellStyle name="계산 6 9 2 2" xfId="33360"/>
    <cellStyle name="계산 6 9 3" xfId="30002"/>
    <cellStyle name="계산 7" xfId="403"/>
    <cellStyle name="계산 7 10" xfId="13005"/>
    <cellStyle name="계산 7 10 2" xfId="16356"/>
    <cellStyle name="계산 7 10 2 2" xfId="33497"/>
    <cellStyle name="계산 7 10 3" xfId="30146"/>
    <cellStyle name="계산 7 11" xfId="13093"/>
    <cellStyle name="계산 7 11 2" xfId="16444"/>
    <cellStyle name="계산 7 11 2 2" xfId="33585"/>
    <cellStyle name="계산 7 11 3" xfId="30234"/>
    <cellStyle name="계산 7 12" xfId="13176"/>
    <cellStyle name="계산 7 12 2" xfId="16527"/>
    <cellStyle name="계산 7 12 2 2" xfId="33668"/>
    <cellStyle name="계산 7 12 3" xfId="30317"/>
    <cellStyle name="계산 7 13" xfId="13194"/>
    <cellStyle name="계산 7 13 2" xfId="16545"/>
    <cellStyle name="계산 7 13 2 2" xfId="33686"/>
    <cellStyle name="계산 7 13 3" xfId="30335"/>
    <cellStyle name="계산 7 14" xfId="13358"/>
    <cellStyle name="계산 7 14 2" xfId="16709"/>
    <cellStyle name="계산 7 14 2 2" xfId="33850"/>
    <cellStyle name="계산 7 14 3" xfId="30499"/>
    <cellStyle name="계산 7 15" xfId="13434"/>
    <cellStyle name="계산 7 15 2" xfId="16785"/>
    <cellStyle name="계산 7 15 2 2" xfId="33926"/>
    <cellStyle name="계산 7 15 3" xfId="30575"/>
    <cellStyle name="계산 7 16" xfId="12653"/>
    <cellStyle name="계산 7 16 2" xfId="16016"/>
    <cellStyle name="계산 7 16 2 2" xfId="33157"/>
    <cellStyle name="계산 7 16 3" xfId="29794"/>
    <cellStyle name="계산 7 17" xfId="13568"/>
    <cellStyle name="계산 7 17 2" xfId="16919"/>
    <cellStyle name="계산 7 17 2 2" xfId="34060"/>
    <cellStyle name="계산 7 17 3" xfId="30709"/>
    <cellStyle name="계산 7 18" xfId="13632"/>
    <cellStyle name="계산 7 18 2" xfId="16983"/>
    <cellStyle name="계산 7 18 2 2" xfId="34124"/>
    <cellStyle name="계산 7 18 3" xfId="30773"/>
    <cellStyle name="계산 7 19" xfId="13718"/>
    <cellStyle name="계산 7 19 2" xfId="17069"/>
    <cellStyle name="계산 7 19 2 2" xfId="34210"/>
    <cellStyle name="계산 7 19 3" xfId="30859"/>
    <cellStyle name="계산 7 2" xfId="890"/>
    <cellStyle name="계산 7 2 2" xfId="1305"/>
    <cellStyle name="계산 7 2 2 2" xfId="2203"/>
    <cellStyle name="계산 7 2 2 2 2" xfId="15509"/>
    <cellStyle name="계산 7 2 2 2 2 2" xfId="32650"/>
    <cellStyle name="계산 7 2 2 2 3" xfId="19346"/>
    <cellStyle name="계산 7 2 2 3" xfId="14613"/>
    <cellStyle name="계산 7 2 2 3 2" xfId="31754"/>
    <cellStyle name="계산 7 2 2 4" xfId="18448"/>
    <cellStyle name="계산 7 2 3" xfId="1808"/>
    <cellStyle name="계산 7 2 3 2" xfId="15114"/>
    <cellStyle name="계산 7 2 3 2 2" xfId="32255"/>
    <cellStyle name="계산 7 2 3 3" xfId="18951"/>
    <cellStyle name="계산 7 2 4" xfId="14209"/>
    <cellStyle name="계산 7 2 4 2" xfId="31350"/>
    <cellStyle name="계산 7 2 5" xfId="18033"/>
    <cellStyle name="계산 7 20" xfId="13895"/>
    <cellStyle name="계산 7 20 2" xfId="31036"/>
    <cellStyle name="계산 7 21" xfId="17546"/>
    <cellStyle name="계산 7 3" xfId="749"/>
    <cellStyle name="계산 7 3 2" xfId="1202"/>
    <cellStyle name="계산 7 3 2 2" xfId="2100"/>
    <cellStyle name="계산 7 3 2 2 2" xfId="15406"/>
    <cellStyle name="계산 7 3 2 2 2 2" xfId="32547"/>
    <cellStyle name="계산 7 3 2 2 3" xfId="19243"/>
    <cellStyle name="계산 7 3 2 3" xfId="14510"/>
    <cellStyle name="계산 7 3 2 3 2" xfId="31651"/>
    <cellStyle name="계산 7 3 2 4" xfId="18345"/>
    <cellStyle name="계산 7 3 3" xfId="1705"/>
    <cellStyle name="계산 7 3 3 2" xfId="15011"/>
    <cellStyle name="계산 7 3 3 2 2" xfId="32152"/>
    <cellStyle name="계산 7 3 3 3" xfId="18848"/>
    <cellStyle name="계산 7 3 4" xfId="14106"/>
    <cellStyle name="계산 7 3 4 2" xfId="31247"/>
    <cellStyle name="계산 7 3 5" xfId="17892"/>
    <cellStyle name="계산 7 4" xfId="1005"/>
    <cellStyle name="계산 7 4 2" xfId="1404"/>
    <cellStyle name="계산 7 4 2 2" xfId="2302"/>
    <cellStyle name="계산 7 4 2 2 2" xfId="15608"/>
    <cellStyle name="계산 7 4 2 2 2 2" xfId="32749"/>
    <cellStyle name="계산 7 4 2 2 3" xfId="19445"/>
    <cellStyle name="계산 7 4 2 3" xfId="14712"/>
    <cellStyle name="계산 7 4 2 3 2" xfId="31853"/>
    <cellStyle name="계산 7 4 2 4" xfId="18547"/>
    <cellStyle name="계산 7 4 3" xfId="1912"/>
    <cellStyle name="계산 7 4 3 2" xfId="15218"/>
    <cellStyle name="계산 7 4 3 2 2" xfId="32359"/>
    <cellStyle name="계산 7 4 3 3" xfId="19055"/>
    <cellStyle name="계산 7 4 4" xfId="14313"/>
    <cellStyle name="계산 7 4 4 2" xfId="31454"/>
    <cellStyle name="계산 7 4 5" xfId="18148"/>
    <cellStyle name="계산 7 5" xfId="1105"/>
    <cellStyle name="계산 7 5 2" xfId="2007"/>
    <cellStyle name="계산 7 5 2 2" xfId="15313"/>
    <cellStyle name="계산 7 5 2 2 2" xfId="32454"/>
    <cellStyle name="계산 7 5 2 3" xfId="19150"/>
    <cellStyle name="계산 7 5 3" xfId="14413"/>
    <cellStyle name="계산 7 5 3 2" xfId="31554"/>
    <cellStyle name="계산 7 5 4" xfId="18248"/>
    <cellStyle name="계산 7 6" xfId="1500"/>
    <cellStyle name="계산 7 6 2" xfId="2397"/>
    <cellStyle name="계산 7 6 2 2" xfId="15703"/>
    <cellStyle name="계산 7 6 2 2 2" xfId="32844"/>
    <cellStyle name="계산 7 6 2 3" xfId="19540"/>
    <cellStyle name="계산 7 6 3" xfId="14807"/>
    <cellStyle name="계산 7 6 3 2" xfId="31948"/>
    <cellStyle name="계산 7 6 4" xfId="18643"/>
    <cellStyle name="계산 7 7" xfId="638"/>
    <cellStyle name="계산 7 7 2" xfId="14006"/>
    <cellStyle name="계산 7 7 2 2" xfId="31147"/>
    <cellStyle name="계산 7 7 3" xfId="17781"/>
    <cellStyle name="계산 7 8" xfId="1603"/>
    <cellStyle name="계산 7 8 2" xfId="14909"/>
    <cellStyle name="계산 7 8 2 2" xfId="32050"/>
    <cellStyle name="계산 7 8 3" xfId="18746"/>
    <cellStyle name="계산 7 9" xfId="12894"/>
    <cellStyle name="계산 7 9 2" xfId="16252"/>
    <cellStyle name="계산 7 9 2 2" xfId="33393"/>
    <cellStyle name="계산 7 9 3" xfId="30035"/>
    <cellStyle name="계산 8" xfId="467"/>
    <cellStyle name="계산 8 10" xfId="13063"/>
    <cellStyle name="계산 8 10 2" xfId="16414"/>
    <cellStyle name="계산 8 10 2 2" xfId="33555"/>
    <cellStyle name="계산 8 10 3" xfId="30204"/>
    <cellStyle name="계산 8 11" xfId="13143"/>
    <cellStyle name="계산 8 11 2" xfId="16494"/>
    <cellStyle name="계산 8 11 2 2" xfId="33635"/>
    <cellStyle name="계산 8 11 3" xfId="30284"/>
    <cellStyle name="계산 8 12" xfId="13235"/>
    <cellStyle name="계산 8 12 2" xfId="16586"/>
    <cellStyle name="계산 8 12 2 2" xfId="33727"/>
    <cellStyle name="계산 8 12 3" xfId="30376"/>
    <cellStyle name="계산 8 13" xfId="13322"/>
    <cellStyle name="계산 8 13 2" xfId="16673"/>
    <cellStyle name="계산 8 13 2 2" xfId="33814"/>
    <cellStyle name="계산 8 13 3" xfId="30463"/>
    <cellStyle name="계산 8 14" xfId="13409"/>
    <cellStyle name="계산 8 14 2" xfId="16760"/>
    <cellStyle name="계산 8 14 2 2" xfId="33901"/>
    <cellStyle name="계산 8 14 3" xfId="30550"/>
    <cellStyle name="계산 8 15" xfId="13484"/>
    <cellStyle name="계산 8 15 2" xfId="16835"/>
    <cellStyle name="계산 8 15 2 2" xfId="33976"/>
    <cellStyle name="계산 8 15 3" xfId="30625"/>
    <cellStyle name="계산 8 16" xfId="13547"/>
    <cellStyle name="계산 8 16 2" xfId="16898"/>
    <cellStyle name="계산 8 16 2 2" xfId="34039"/>
    <cellStyle name="계산 8 16 3" xfId="30688"/>
    <cellStyle name="계산 8 17" xfId="13612"/>
    <cellStyle name="계산 8 17 2" xfId="16963"/>
    <cellStyle name="계산 8 17 2 2" xfId="34104"/>
    <cellStyle name="계산 8 17 3" xfId="30753"/>
    <cellStyle name="계산 8 18" xfId="13675"/>
    <cellStyle name="계산 8 18 2" xfId="17026"/>
    <cellStyle name="계산 8 18 2 2" xfId="34167"/>
    <cellStyle name="계산 8 18 3" xfId="30816"/>
    <cellStyle name="계산 8 19" xfId="13820"/>
    <cellStyle name="계산 8 19 2" xfId="17159"/>
    <cellStyle name="계산 8 19 2 2" xfId="34300"/>
    <cellStyle name="계산 8 19 3" xfId="30961"/>
    <cellStyle name="계산 8 2" xfId="936"/>
    <cellStyle name="계산 8 2 2" xfId="1348"/>
    <cellStyle name="계산 8 2 2 2" xfId="2246"/>
    <cellStyle name="계산 8 2 2 2 2" xfId="15552"/>
    <cellStyle name="계산 8 2 2 2 2 2" xfId="32693"/>
    <cellStyle name="계산 8 2 2 2 3" xfId="19389"/>
    <cellStyle name="계산 8 2 2 3" xfId="14656"/>
    <cellStyle name="계산 8 2 2 3 2" xfId="31797"/>
    <cellStyle name="계산 8 2 2 4" xfId="18491"/>
    <cellStyle name="계산 8 2 3" xfId="1851"/>
    <cellStyle name="계산 8 2 3 2" xfId="15157"/>
    <cellStyle name="계산 8 2 3 2 2" xfId="32298"/>
    <cellStyle name="계산 8 2 3 3" xfId="18994"/>
    <cellStyle name="계산 8 2 4" xfId="14252"/>
    <cellStyle name="계산 8 2 4 2" xfId="31393"/>
    <cellStyle name="계산 8 2 5" xfId="18079"/>
    <cellStyle name="계산 8 20" xfId="13938"/>
    <cellStyle name="계산 8 20 2" xfId="31079"/>
    <cellStyle name="계산 8 21" xfId="17610"/>
    <cellStyle name="계산 8 3" xfId="786"/>
    <cellStyle name="계산 8 3 2" xfId="1239"/>
    <cellStyle name="계산 8 3 2 2" xfId="2137"/>
    <cellStyle name="계산 8 3 2 2 2" xfId="15443"/>
    <cellStyle name="계산 8 3 2 2 2 2" xfId="32584"/>
    <cellStyle name="계산 8 3 2 2 3" xfId="19280"/>
    <cellStyle name="계산 8 3 2 3" xfId="14547"/>
    <cellStyle name="계산 8 3 2 3 2" xfId="31688"/>
    <cellStyle name="계산 8 3 2 4" xfId="18382"/>
    <cellStyle name="계산 8 3 3" xfId="1742"/>
    <cellStyle name="계산 8 3 3 2" xfId="15048"/>
    <cellStyle name="계산 8 3 3 2 2" xfId="32189"/>
    <cellStyle name="계산 8 3 3 3" xfId="18885"/>
    <cellStyle name="계산 8 3 4" xfId="14143"/>
    <cellStyle name="계산 8 3 4 2" xfId="31284"/>
    <cellStyle name="계산 8 3 5" xfId="17929"/>
    <cellStyle name="계산 8 4" xfId="1046"/>
    <cellStyle name="계산 8 4 2" xfId="1441"/>
    <cellStyle name="계산 8 4 2 2" xfId="2339"/>
    <cellStyle name="계산 8 4 2 2 2" xfId="15645"/>
    <cellStyle name="계산 8 4 2 2 2 2" xfId="32786"/>
    <cellStyle name="계산 8 4 2 2 3" xfId="19482"/>
    <cellStyle name="계산 8 4 2 3" xfId="14749"/>
    <cellStyle name="계산 8 4 2 3 2" xfId="31890"/>
    <cellStyle name="계산 8 4 2 4" xfId="18584"/>
    <cellStyle name="계산 8 4 3" xfId="1953"/>
    <cellStyle name="계산 8 4 3 2" xfId="15259"/>
    <cellStyle name="계산 8 4 3 2 2" xfId="32400"/>
    <cellStyle name="계산 8 4 3 3" xfId="19096"/>
    <cellStyle name="계산 8 4 4" xfId="14354"/>
    <cellStyle name="계산 8 4 4 2" xfId="31495"/>
    <cellStyle name="계산 8 4 5" xfId="18189"/>
    <cellStyle name="계산 8 5" xfId="1144"/>
    <cellStyle name="계산 8 5 2" xfId="2044"/>
    <cellStyle name="계산 8 5 2 2" xfId="15350"/>
    <cellStyle name="계산 8 5 2 2 2" xfId="32491"/>
    <cellStyle name="계산 8 5 2 3" xfId="19187"/>
    <cellStyle name="계산 8 5 3" xfId="14452"/>
    <cellStyle name="계산 8 5 3 2" xfId="31593"/>
    <cellStyle name="계산 8 5 4" xfId="18287"/>
    <cellStyle name="계산 8 6" xfId="1537"/>
    <cellStyle name="계산 8 6 2" xfId="2434"/>
    <cellStyle name="계산 8 6 2 2" xfId="15740"/>
    <cellStyle name="계산 8 6 2 2 2" xfId="32881"/>
    <cellStyle name="계산 8 6 2 3" xfId="19577"/>
    <cellStyle name="계산 8 6 3" xfId="14844"/>
    <cellStyle name="계산 8 6 3 2" xfId="31985"/>
    <cellStyle name="계산 8 6 4" xfId="18680"/>
    <cellStyle name="계산 8 7" xfId="683"/>
    <cellStyle name="계산 8 7 2" xfId="14048"/>
    <cellStyle name="계산 8 7 2 2" xfId="31189"/>
    <cellStyle name="계산 8 7 3" xfId="17826"/>
    <cellStyle name="계산 8 8" xfId="1646"/>
    <cellStyle name="계산 8 8 2" xfId="14952"/>
    <cellStyle name="계산 8 8 2 2" xfId="32093"/>
    <cellStyle name="계산 8 8 3" xfId="18789"/>
    <cellStyle name="계산 8 9" xfId="12951"/>
    <cellStyle name="계산 8 9 2" xfId="16309"/>
    <cellStyle name="계산 8 9 2 2" xfId="33450"/>
    <cellStyle name="계산 8 9 3" xfId="30092"/>
    <cellStyle name="계산 9" xfId="331"/>
    <cellStyle name="계산 9 10" xfId="12736"/>
    <cellStyle name="계산 9 10 2" xfId="16099"/>
    <cellStyle name="계산 9 10 2 2" xfId="33240"/>
    <cellStyle name="계산 9 10 3" xfId="29877"/>
    <cellStyle name="계산 9 11" xfId="12609"/>
    <cellStyle name="계산 9 11 2" xfId="15972"/>
    <cellStyle name="계산 9 11 2 2" xfId="33113"/>
    <cellStyle name="계산 9 11 3" xfId="29750"/>
    <cellStyle name="계산 9 12" xfId="12688"/>
    <cellStyle name="계산 9 12 2" xfId="16051"/>
    <cellStyle name="계산 9 12 2 2" xfId="33192"/>
    <cellStyle name="계산 9 12 3" xfId="29829"/>
    <cellStyle name="계산 9 13" xfId="13269"/>
    <cellStyle name="계산 9 13 2" xfId="16620"/>
    <cellStyle name="계산 9 13 2 2" xfId="33761"/>
    <cellStyle name="계산 9 13 3" xfId="30410"/>
    <cellStyle name="계산 9 14" xfId="12697"/>
    <cellStyle name="계산 9 14 2" xfId="16060"/>
    <cellStyle name="계산 9 14 2 2" xfId="33201"/>
    <cellStyle name="계산 9 14 3" xfId="29838"/>
    <cellStyle name="계산 9 15" xfId="12759"/>
    <cellStyle name="계산 9 15 2" xfId="16122"/>
    <cellStyle name="계산 9 15 2 2" xfId="33263"/>
    <cellStyle name="계산 9 15 3" xfId="29900"/>
    <cellStyle name="계산 9 16" xfId="12871"/>
    <cellStyle name="계산 9 16 2" xfId="16229"/>
    <cellStyle name="계산 9 16 2 2" xfId="33370"/>
    <cellStyle name="계산 9 16 3" xfId="30012"/>
    <cellStyle name="계산 9 17" xfId="13313"/>
    <cellStyle name="계산 9 17 2" xfId="16664"/>
    <cellStyle name="계산 9 17 2 2" xfId="33805"/>
    <cellStyle name="계산 9 17 3" xfId="30454"/>
    <cellStyle name="계산 9 18" xfId="13514"/>
    <cellStyle name="계산 9 18 2" xfId="16865"/>
    <cellStyle name="계산 9 18 2 2" xfId="34006"/>
    <cellStyle name="계산 9 18 3" xfId="30655"/>
    <cellStyle name="계산 9 19" xfId="13796"/>
    <cellStyle name="계산 9 19 2" xfId="17142"/>
    <cellStyle name="계산 9 19 2 2" xfId="34283"/>
    <cellStyle name="계산 9 19 3" xfId="30937"/>
    <cellStyle name="계산 9 2" xfId="840"/>
    <cellStyle name="계산 9 2 2" xfId="1270"/>
    <cellStyle name="계산 9 2 2 2" xfId="2168"/>
    <cellStyle name="계산 9 2 2 2 2" xfId="15474"/>
    <cellStyle name="계산 9 2 2 2 2 2" xfId="32615"/>
    <cellStyle name="계산 9 2 2 2 3" xfId="19311"/>
    <cellStyle name="계산 9 2 2 3" xfId="14578"/>
    <cellStyle name="계산 9 2 2 3 2" xfId="31719"/>
    <cellStyle name="계산 9 2 2 4" xfId="18413"/>
    <cellStyle name="계산 9 2 3" xfId="1773"/>
    <cellStyle name="계산 9 2 3 2" xfId="15079"/>
    <cellStyle name="계산 9 2 3 2 2" xfId="32220"/>
    <cellStyle name="계산 9 2 3 3" xfId="18916"/>
    <cellStyle name="계산 9 2 4" xfId="14174"/>
    <cellStyle name="계산 9 2 4 2" xfId="31315"/>
    <cellStyle name="계산 9 2 5" xfId="17983"/>
    <cellStyle name="계산 9 20" xfId="13860"/>
    <cellStyle name="계산 9 20 2" xfId="31001"/>
    <cellStyle name="계산 9 21" xfId="17474"/>
    <cellStyle name="계산 9 3" xfId="722"/>
    <cellStyle name="계산 9 3 2" xfId="1175"/>
    <cellStyle name="계산 9 3 2 2" xfId="2073"/>
    <cellStyle name="계산 9 3 2 2 2" xfId="15379"/>
    <cellStyle name="계산 9 3 2 2 2 2" xfId="32520"/>
    <cellStyle name="계산 9 3 2 2 3" xfId="19216"/>
    <cellStyle name="계산 9 3 2 3" xfId="14483"/>
    <cellStyle name="계산 9 3 2 3 2" xfId="31624"/>
    <cellStyle name="계산 9 3 2 4" xfId="18318"/>
    <cellStyle name="계산 9 3 3" xfId="1678"/>
    <cellStyle name="계산 9 3 3 2" xfId="14984"/>
    <cellStyle name="계산 9 3 3 2 2" xfId="32125"/>
    <cellStyle name="계산 9 3 3 3" xfId="18821"/>
    <cellStyle name="계산 9 3 4" xfId="14079"/>
    <cellStyle name="계산 9 3 4 2" xfId="31220"/>
    <cellStyle name="계산 9 3 5" xfId="17865"/>
    <cellStyle name="계산 9 4" xfId="974"/>
    <cellStyle name="계산 9 4 2" xfId="1377"/>
    <cellStyle name="계산 9 4 2 2" xfId="2275"/>
    <cellStyle name="계산 9 4 2 2 2" xfId="15581"/>
    <cellStyle name="계산 9 4 2 2 2 2" xfId="32722"/>
    <cellStyle name="계산 9 4 2 2 3" xfId="19418"/>
    <cellStyle name="계산 9 4 2 3" xfId="14685"/>
    <cellStyle name="계산 9 4 2 3 2" xfId="31826"/>
    <cellStyle name="계산 9 4 2 4" xfId="18520"/>
    <cellStyle name="계산 9 4 3" xfId="1881"/>
    <cellStyle name="계산 9 4 3 2" xfId="15187"/>
    <cellStyle name="계산 9 4 3 2 2" xfId="32328"/>
    <cellStyle name="계산 9 4 3 3" xfId="19024"/>
    <cellStyle name="계산 9 4 4" xfId="14282"/>
    <cellStyle name="계산 9 4 4 2" xfId="31423"/>
    <cellStyle name="계산 9 4 5" xfId="18117"/>
    <cellStyle name="계산 9 5" xfId="1074"/>
    <cellStyle name="계산 9 5 2" xfId="1981"/>
    <cellStyle name="계산 9 5 2 2" xfId="15287"/>
    <cellStyle name="계산 9 5 2 2 2" xfId="32428"/>
    <cellStyle name="계산 9 5 2 3" xfId="19124"/>
    <cellStyle name="계산 9 5 3" xfId="14382"/>
    <cellStyle name="계산 9 5 3 2" xfId="31523"/>
    <cellStyle name="계산 9 5 4" xfId="18217"/>
    <cellStyle name="계산 9 6" xfId="1474"/>
    <cellStyle name="계산 9 6 2" xfId="2371"/>
    <cellStyle name="계산 9 6 2 2" xfId="15677"/>
    <cellStyle name="계산 9 6 2 2 2" xfId="32818"/>
    <cellStyle name="계산 9 6 2 3" xfId="19514"/>
    <cellStyle name="계산 9 6 3" xfId="14781"/>
    <cellStyle name="계산 9 6 3 2" xfId="31922"/>
    <cellStyle name="계산 9 6 4" xfId="18617"/>
    <cellStyle name="계산 9 7" xfId="588"/>
    <cellStyle name="계산 9 7 2" xfId="13971"/>
    <cellStyle name="계산 9 7 2 2" xfId="31112"/>
    <cellStyle name="계산 9 7 3" xfId="17731"/>
    <cellStyle name="계산 9 8" xfId="1568"/>
    <cellStyle name="계산 9 8 2" xfId="14874"/>
    <cellStyle name="계산 9 8 2 2" xfId="32015"/>
    <cellStyle name="계산 9 8 3" xfId="18711"/>
    <cellStyle name="계산 9 9" xfId="12831"/>
    <cellStyle name="계산 9 9 2" xfId="16189"/>
    <cellStyle name="계산 9 9 2 2" xfId="33330"/>
    <cellStyle name="계산 9 9 3" xfId="29972"/>
    <cellStyle name="고정소숫점" xfId="36"/>
    <cellStyle name="고정소숫점 2" xfId="215"/>
    <cellStyle name="고정소숫점 2 2" xfId="17358"/>
    <cellStyle name="고정소숫점 3" xfId="17212"/>
    <cellStyle name="고정출력1" xfId="37"/>
    <cellStyle name="고정출력1 2" xfId="216"/>
    <cellStyle name="고정출력1 2 2" xfId="17359"/>
    <cellStyle name="고정출력1 3" xfId="17213"/>
    <cellStyle name="고정출력2" xfId="38"/>
    <cellStyle name="고정출력2 2" xfId="217"/>
    <cellStyle name="고정출력2 2 2" xfId="17360"/>
    <cellStyle name="고정출력2 3" xfId="17214"/>
    <cellStyle name="咬訌裝?INCOM1" xfId="36804"/>
    <cellStyle name="咬訌裝?INCOM10" xfId="36805"/>
    <cellStyle name="咬訌裝?INCOM2" xfId="36806"/>
    <cellStyle name="咬訌裝?INCOM3" xfId="36807"/>
    <cellStyle name="咬訌裝?INCOM4" xfId="36808"/>
    <cellStyle name="咬訌裝?INCOM5" xfId="36809"/>
    <cellStyle name="咬訌裝?INCOM6" xfId="36810"/>
    <cellStyle name="咬訌裝?INCOM7" xfId="36811"/>
    <cellStyle name="咬訌裝?INCOM8" xfId="36812"/>
    <cellStyle name="咬訌裝?INCOM9" xfId="36813"/>
    <cellStyle name="咬訌裝?PRIB11" xfId="36814"/>
    <cellStyle name="굵은항목" xfId="36815"/>
    <cellStyle name="글꼴" xfId="36816"/>
    <cellStyle name="금액" xfId="39"/>
    <cellStyle name="금액 10" xfId="371"/>
    <cellStyle name="금액 10 10" xfId="13087"/>
    <cellStyle name="금액 10 10 2" xfId="16438"/>
    <cellStyle name="금액 10 10 2 2" xfId="33579"/>
    <cellStyle name="금액 10 10 3" xfId="30228"/>
    <cellStyle name="금액 10 11" xfId="12691"/>
    <cellStyle name="금액 10 11 2" xfId="16054"/>
    <cellStyle name="금액 10 11 2 2" xfId="33195"/>
    <cellStyle name="금액 10 11 3" xfId="29832"/>
    <cellStyle name="금액 10 12" xfId="13456"/>
    <cellStyle name="금액 10 12 2" xfId="16807"/>
    <cellStyle name="금액 10 12 2 2" xfId="33948"/>
    <cellStyle name="금액 10 12 3" xfId="30597"/>
    <cellStyle name="금액 10 13" xfId="13476"/>
    <cellStyle name="금액 10 13 2" xfId="16827"/>
    <cellStyle name="금액 10 13 2 2" xfId="33968"/>
    <cellStyle name="금액 10 13 3" xfId="30617"/>
    <cellStyle name="금액 10 14" xfId="13764"/>
    <cellStyle name="금액 10 14 2" xfId="17113"/>
    <cellStyle name="금액 10 14 2 2" xfId="34254"/>
    <cellStyle name="금액 10 14 3" xfId="30905"/>
    <cellStyle name="금액 10 15" xfId="13885"/>
    <cellStyle name="금액 10 15 2" xfId="31026"/>
    <cellStyle name="금액 10 16" xfId="17514"/>
    <cellStyle name="금액 10 2" xfId="873"/>
    <cellStyle name="금액 10 2 2" xfId="1295"/>
    <cellStyle name="금액 10 2 2 2" xfId="2193"/>
    <cellStyle name="금액 10 2 2 2 2" xfId="15499"/>
    <cellStyle name="금액 10 2 2 2 2 2" xfId="32640"/>
    <cellStyle name="금액 10 2 2 2 3" xfId="19336"/>
    <cellStyle name="금액 10 2 2 3" xfId="14603"/>
    <cellStyle name="금액 10 2 2 3 2" xfId="31744"/>
    <cellStyle name="금액 10 2 2 4" xfId="18438"/>
    <cellStyle name="금액 10 2 3" xfId="1798"/>
    <cellStyle name="금액 10 2 3 2" xfId="15104"/>
    <cellStyle name="금액 10 2 3 2 2" xfId="32245"/>
    <cellStyle name="금액 10 2 3 3" xfId="18941"/>
    <cellStyle name="금액 10 2 4" xfId="14199"/>
    <cellStyle name="금액 10 2 4 2" xfId="31340"/>
    <cellStyle name="금액 10 2 5" xfId="18016"/>
    <cellStyle name="금액 10 3" xfId="740"/>
    <cellStyle name="금액 10 3 2" xfId="1193"/>
    <cellStyle name="금액 10 3 2 2" xfId="2091"/>
    <cellStyle name="금액 10 3 2 2 2" xfId="15397"/>
    <cellStyle name="금액 10 3 2 2 2 2" xfId="32538"/>
    <cellStyle name="금액 10 3 2 2 3" xfId="19234"/>
    <cellStyle name="금액 10 3 2 3" xfId="14501"/>
    <cellStyle name="금액 10 3 2 3 2" xfId="31642"/>
    <cellStyle name="금액 10 3 2 4" xfId="18336"/>
    <cellStyle name="금액 10 3 3" xfId="1696"/>
    <cellStyle name="금액 10 3 3 2" xfId="15002"/>
    <cellStyle name="금액 10 3 3 2 2" xfId="32143"/>
    <cellStyle name="금액 10 3 3 3" xfId="18839"/>
    <cellStyle name="금액 10 3 4" xfId="14097"/>
    <cellStyle name="금액 10 3 4 2" xfId="31238"/>
    <cellStyle name="금액 10 3 5" xfId="17883"/>
    <cellStyle name="금액 10 4" xfId="995"/>
    <cellStyle name="금액 10 4 2" xfId="1395"/>
    <cellStyle name="금액 10 4 2 2" xfId="2293"/>
    <cellStyle name="금액 10 4 2 2 2" xfId="15599"/>
    <cellStyle name="금액 10 4 2 2 2 2" xfId="32740"/>
    <cellStyle name="금액 10 4 2 2 3" xfId="19436"/>
    <cellStyle name="금액 10 4 2 3" xfId="14703"/>
    <cellStyle name="금액 10 4 2 3 2" xfId="31844"/>
    <cellStyle name="금액 10 4 2 4" xfId="18538"/>
    <cellStyle name="금액 10 4 3" xfId="1902"/>
    <cellStyle name="금액 10 4 3 2" xfId="15208"/>
    <cellStyle name="금액 10 4 3 2 2" xfId="32349"/>
    <cellStyle name="금액 10 4 3 3" xfId="19045"/>
    <cellStyle name="금액 10 4 4" xfId="14303"/>
    <cellStyle name="금액 10 4 4 2" xfId="31444"/>
    <cellStyle name="금액 10 4 5" xfId="18138"/>
    <cellStyle name="금액 10 5" xfId="1096"/>
    <cellStyle name="금액 10 5 2" xfId="1999"/>
    <cellStyle name="금액 10 5 2 2" xfId="15305"/>
    <cellStyle name="금액 10 5 2 2 2" xfId="32446"/>
    <cellStyle name="금액 10 5 2 3" xfId="19142"/>
    <cellStyle name="금액 10 5 3" xfId="14404"/>
    <cellStyle name="금액 10 5 3 2" xfId="31545"/>
    <cellStyle name="금액 10 5 4" xfId="18239"/>
    <cellStyle name="금액 10 6" xfId="1492"/>
    <cellStyle name="금액 10 6 2" xfId="2389"/>
    <cellStyle name="금액 10 6 2 2" xfId="15695"/>
    <cellStyle name="금액 10 6 2 2 2" xfId="32836"/>
    <cellStyle name="금액 10 6 2 3" xfId="19532"/>
    <cellStyle name="금액 10 6 3" xfId="14799"/>
    <cellStyle name="금액 10 6 3 2" xfId="31940"/>
    <cellStyle name="금액 10 6 4" xfId="18635"/>
    <cellStyle name="금액 10 7" xfId="621"/>
    <cellStyle name="금액 10 7 2" xfId="13996"/>
    <cellStyle name="금액 10 7 2 2" xfId="31137"/>
    <cellStyle name="금액 10 7 3" xfId="17764"/>
    <cellStyle name="금액 10 8" xfId="1593"/>
    <cellStyle name="금액 10 8 2" xfId="14899"/>
    <cellStyle name="금액 10 8 2 2" xfId="32040"/>
    <cellStyle name="금액 10 8 3" xfId="18736"/>
    <cellStyle name="금액 10 9" xfId="12867"/>
    <cellStyle name="금액 10 9 2" xfId="16225"/>
    <cellStyle name="금액 10 9 2 2" xfId="33366"/>
    <cellStyle name="금액 10 9 3" xfId="30008"/>
    <cellStyle name="금액 11" xfId="382"/>
    <cellStyle name="금액 11 10" xfId="13290"/>
    <cellStyle name="금액 11 10 2" xfId="16641"/>
    <cellStyle name="금액 11 10 2 2" xfId="33782"/>
    <cellStyle name="금액 11 10 3" xfId="30431"/>
    <cellStyle name="금액 11 11" xfId="12654"/>
    <cellStyle name="금액 11 11 2" xfId="16017"/>
    <cellStyle name="금액 11 11 2 2" xfId="33158"/>
    <cellStyle name="금액 11 11 3" xfId="29795"/>
    <cellStyle name="금액 11 12" xfId="13489"/>
    <cellStyle name="금액 11 12 2" xfId="16840"/>
    <cellStyle name="금액 11 12 2 2" xfId="33981"/>
    <cellStyle name="금액 11 12 3" xfId="30630"/>
    <cellStyle name="금액 11 13" xfId="12748"/>
    <cellStyle name="금액 11 13 2" xfId="16111"/>
    <cellStyle name="금액 11 13 2 2" xfId="33252"/>
    <cellStyle name="금액 11 13 3" xfId="29889"/>
    <cellStyle name="금액 11 14" xfId="13791"/>
    <cellStyle name="금액 11 14 2" xfId="17137"/>
    <cellStyle name="금액 11 14 2 2" xfId="34278"/>
    <cellStyle name="금액 11 14 3" xfId="30932"/>
    <cellStyle name="금액 11 15" xfId="13889"/>
    <cellStyle name="금액 11 15 2" xfId="31030"/>
    <cellStyle name="금액 11 16" xfId="17525"/>
    <cellStyle name="금액 11 2" xfId="879"/>
    <cellStyle name="금액 11 2 2" xfId="1299"/>
    <cellStyle name="금액 11 2 2 2" xfId="2197"/>
    <cellStyle name="금액 11 2 2 2 2" xfId="15503"/>
    <cellStyle name="금액 11 2 2 2 2 2" xfId="32644"/>
    <cellStyle name="금액 11 2 2 2 3" xfId="19340"/>
    <cellStyle name="금액 11 2 2 3" xfId="14607"/>
    <cellStyle name="금액 11 2 2 3 2" xfId="31748"/>
    <cellStyle name="금액 11 2 2 4" xfId="18442"/>
    <cellStyle name="금액 11 2 3" xfId="1802"/>
    <cellStyle name="금액 11 2 3 2" xfId="15108"/>
    <cellStyle name="금액 11 2 3 2 2" xfId="32249"/>
    <cellStyle name="금액 11 2 3 3" xfId="18945"/>
    <cellStyle name="금액 11 2 4" xfId="14203"/>
    <cellStyle name="금액 11 2 4 2" xfId="31344"/>
    <cellStyle name="금액 11 2 5" xfId="18022"/>
    <cellStyle name="금액 11 3" xfId="743"/>
    <cellStyle name="금액 11 3 2" xfId="1196"/>
    <cellStyle name="금액 11 3 2 2" xfId="2094"/>
    <cellStyle name="금액 11 3 2 2 2" xfId="15400"/>
    <cellStyle name="금액 11 3 2 2 2 2" xfId="32541"/>
    <cellStyle name="금액 11 3 2 2 3" xfId="19237"/>
    <cellStyle name="금액 11 3 2 3" xfId="14504"/>
    <cellStyle name="금액 11 3 2 3 2" xfId="31645"/>
    <cellStyle name="금액 11 3 2 4" xfId="18339"/>
    <cellStyle name="금액 11 3 3" xfId="1699"/>
    <cellStyle name="금액 11 3 3 2" xfId="15005"/>
    <cellStyle name="금액 11 3 3 2 2" xfId="32146"/>
    <cellStyle name="금액 11 3 3 3" xfId="18842"/>
    <cellStyle name="금액 11 3 4" xfId="14100"/>
    <cellStyle name="금액 11 3 4 2" xfId="31241"/>
    <cellStyle name="금액 11 3 5" xfId="17886"/>
    <cellStyle name="금액 11 4" xfId="999"/>
    <cellStyle name="금액 11 4 2" xfId="1398"/>
    <cellStyle name="금액 11 4 2 2" xfId="2296"/>
    <cellStyle name="금액 11 4 2 2 2" xfId="15602"/>
    <cellStyle name="금액 11 4 2 2 2 2" xfId="32743"/>
    <cellStyle name="금액 11 4 2 2 3" xfId="19439"/>
    <cellStyle name="금액 11 4 2 3" xfId="14706"/>
    <cellStyle name="금액 11 4 2 3 2" xfId="31847"/>
    <cellStyle name="금액 11 4 2 4" xfId="18541"/>
    <cellStyle name="금액 11 4 3" xfId="1906"/>
    <cellStyle name="금액 11 4 3 2" xfId="15212"/>
    <cellStyle name="금액 11 4 3 2 2" xfId="32353"/>
    <cellStyle name="금액 11 4 3 3" xfId="19049"/>
    <cellStyle name="금액 11 4 4" xfId="14307"/>
    <cellStyle name="금액 11 4 4 2" xfId="31448"/>
    <cellStyle name="금액 11 4 5" xfId="18142"/>
    <cellStyle name="금액 11 5" xfId="1099"/>
    <cellStyle name="금액 11 5 2" xfId="2002"/>
    <cellStyle name="금액 11 5 2 2" xfId="15308"/>
    <cellStyle name="금액 11 5 2 2 2" xfId="32449"/>
    <cellStyle name="금액 11 5 2 3" xfId="19145"/>
    <cellStyle name="금액 11 5 3" xfId="14407"/>
    <cellStyle name="금액 11 5 3 2" xfId="31548"/>
    <cellStyle name="금액 11 5 4" xfId="18242"/>
    <cellStyle name="금액 11 6" xfId="1495"/>
    <cellStyle name="금액 11 6 2" xfId="2392"/>
    <cellStyle name="금액 11 6 2 2" xfId="15698"/>
    <cellStyle name="금액 11 6 2 2 2" xfId="32839"/>
    <cellStyle name="금액 11 6 2 3" xfId="19535"/>
    <cellStyle name="금액 11 6 3" xfId="14802"/>
    <cellStyle name="금액 11 6 3 2" xfId="31943"/>
    <cellStyle name="금액 11 6 4" xfId="18638"/>
    <cellStyle name="금액 11 7" xfId="627"/>
    <cellStyle name="금액 11 7 2" xfId="14000"/>
    <cellStyle name="금액 11 7 2 2" xfId="31141"/>
    <cellStyle name="금액 11 7 3" xfId="17770"/>
    <cellStyle name="금액 11 8" xfId="1597"/>
    <cellStyle name="금액 11 8 2" xfId="14903"/>
    <cellStyle name="금액 11 8 2 2" xfId="32044"/>
    <cellStyle name="금액 11 8 3" xfId="18740"/>
    <cellStyle name="금액 11 9" xfId="12875"/>
    <cellStyle name="금액 11 9 2" xfId="16233"/>
    <cellStyle name="금액 11 9 2 2" xfId="33374"/>
    <cellStyle name="금액 11 9 3" xfId="30016"/>
    <cellStyle name="금액 12" xfId="2591"/>
    <cellStyle name="금액 12 2" xfId="2592"/>
    <cellStyle name="금액 12 2 2" xfId="15803"/>
    <cellStyle name="금액 12 2 2 2" xfId="32944"/>
    <cellStyle name="금액 12 2 3" xfId="19733"/>
    <cellStyle name="금액 12 3" xfId="15802"/>
    <cellStyle name="금액 12 3 2" xfId="32943"/>
    <cellStyle name="금액 12 4" xfId="19732"/>
    <cellStyle name="금액 13" xfId="2593"/>
    <cellStyle name="금액 13 2" xfId="2594"/>
    <cellStyle name="금액 13 2 2" xfId="15805"/>
    <cellStyle name="금액 13 2 2 2" xfId="32946"/>
    <cellStyle name="금액 13 2 3" xfId="19735"/>
    <cellStyle name="금액 13 3" xfId="15804"/>
    <cellStyle name="금액 13 3 2" xfId="32945"/>
    <cellStyle name="금액 13 4" xfId="19734"/>
    <cellStyle name="금액 14" xfId="2595"/>
    <cellStyle name="금액 14 2" xfId="2596"/>
    <cellStyle name="금액 14 2 2" xfId="15807"/>
    <cellStyle name="금액 14 2 2 2" xfId="32948"/>
    <cellStyle name="금액 14 2 3" xfId="19737"/>
    <cellStyle name="금액 14 3" xfId="15806"/>
    <cellStyle name="금액 14 3 2" xfId="32947"/>
    <cellStyle name="금액 14 4" xfId="19736"/>
    <cellStyle name="금액 15" xfId="2597"/>
    <cellStyle name="금액 15 2" xfId="2598"/>
    <cellStyle name="금액 15 2 2" xfId="15809"/>
    <cellStyle name="금액 15 2 2 2" xfId="32950"/>
    <cellStyle name="금액 15 2 3" xfId="19739"/>
    <cellStyle name="금액 15 3" xfId="15808"/>
    <cellStyle name="금액 15 3 2" xfId="32949"/>
    <cellStyle name="금액 15 4" xfId="19738"/>
    <cellStyle name="금액 16" xfId="2599"/>
    <cellStyle name="금액 16 2" xfId="2600"/>
    <cellStyle name="금액 16 2 2" xfId="15811"/>
    <cellStyle name="금액 16 2 2 2" xfId="32952"/>
    <cellStyle name="금액 16 2 3" xfId="19741"/>
    <cellStyle name="금액 16 3" xfId="15810"/>
    <cellStyle name="금액 16 3 2" xfId="32951"/>
    <cellStyle name="금액 16 4" xfId="19740"/>
    <cellStyle name="금액 17" xfId="2601"/>
    <cellStyle name="금액 17 2" xfId="2602"/>
    <cellStyle name="금액 17 2 2" xfId="15813"/>
    <cellStyle name="금액 17 2 2 2" xfId="32954"/>
    <cellStyle name="금액 17 2 3" xfId="19743"/>
    <cellStyle name="금액 17 3" xfId="15812"/>
    <cellStyle name="금액 17 3 2" xfId="32953"/>
    <cellStyle name="금액 17 4" xfId="19742"/>
    <cellStyle name="금액 18" xfId="2603"/>
    <cellStyle name="금액 18 2" xfId="2604"/>
    <cellStyle name="금액 18 2 2" xfId="15815"/>
    <cellStyle name="금액 18 2 2 2" xfId="32956"/>
    <cellStyle name="금액 18 2 3" xfId="19745"/>
    <cellStyle name="금액 18 3" xfId="15814"/>
    <cellStyle name="금액 18 3 2" xfId="32955"/>
    <cellStyle name="금액 18 4" xfId="19744"/>
    <cellStyle name="금액 19" xfId="2605"/>
    <cellStyle name="금액 19 2" xfId="2606"/>
    <cellStyle name="금액 19 2 2" xfId="15817"/>
    <cellStyle name="금액 19 2 2 2" xfId="32958"/>
    <cellStyle name="금액 19 2 3" xfId="19747"/>
    <cellStyle name="금액 19 3" xfId="15816"/>
    <cellStyle name="금액 19 3 2" xfId="32957"/>
    <cellStyle name="금액 19 4" xfId="19746"/>
    <cellStyle name="금액 2" xfId="218"/>
    <cellStyle name="금액 2 10" xfId="13298"/>
    <cellStyle name="금액 2 10 2" xfId="16649"/>
    <cellStyle name="금액 2 10 2 2" xfId="33790"/>
    <cellStyle name="금액 2 10 3" xfId="30439"/>
    <cellStyle name="금액 2 11" xfId="12626"/>
    <cellStyle name="금액 2 11 2" xfId="15989"/>
    <cellStyle name="금액 2 11 2 2" xfId="33130"/>
    <cellStyle name="금액 2 11 3" xfId="29767"/>
    <cellStyle name="금액 2 12" xfId="13274"/>
    <cellStyle name="금액 2 12 2" xfId="16625"/>
    <cellStyle name="금액 2 12 2 2" xfId="33766"/>
    <cellStyle name="금액 2 12 3" xfId="30415"/>
    <cellStyle name="금액 2 13" xfId="13504"/>
    <cellStyle name="금액 2 13 2" xfId="16855"/>
    <cellStyle name="금액 2 13 2 2" xfId="33996"/>
    <cellStyle name="금액 2 13 3" xfId="30645"/>
    <cellStyle name="금액 2 14" xfId="13750"/>
    <cellStyle name="금액 2 14 2" xfId="17101"/>
    <cellStyle name="금액 2 14 2 2" xfId="34242"/>
    <cellStyle name="금액 2 14 3" xfId="30891"/>
    <cellStyle name="금액 2 15" xfId="13736"/>
    <cellStyle name="금액 2 15 2" xfId="17087"/>
    <cellStyle name="금액 2 15 2 2" xfId="34228"/>
    <cellStyle name="금액 2 15 3" xfId="30877"/>
    <cellStyle name="금액 2 16" xfId="13844"/>
    <cellStyle name="금액 2 16 2" xfId="30985"/>
    <cellStyle name="금액 2 17" xfId="17361"/>
    <cellStyle name="금액 2 2" xfId="809"/>
    <cellStyle name="금액 2 2 2" xfId="1254"/>
    <cellStyle name="금액 2 2 2 2" xfId="2152"/>
    <cellStyle name="금액 2 2 2 2 2" xfId="15458"/>
    <cellStyle name="금액 2 2 2 2 2 2" xfId="32599"/>
    <cellStyle name="금액 2 2 2 2 3" xfId="19295"/>
    <cellStyle name="금액 2 2 2 3" xfId="14562"/>
    <cellStyle name="금액 2 2 2 3 2" xfId="31703"/>
    <cellStyle name="금액 2 2 2 4" xfId="18397"/>
    <cellStyle name="금액 2 2 3" xfId="1458"/>
    <cellStyle name="금액 2 2 3 2" xfId="2356"/>
    <cellStyle name="금액 2 2 3 2 2" xfId="15662"/>
    <cellStyle name="금액 2 2 3 2 2 2" xfId="32803"/>
    <cellStyle name="금액 2 2 3 2 3" xfId="19499"/>
    <cellStyle name="금액 2 2 3 3" xfId="14766"/>
    <cellStyle name="금액 2 2 3 3 2" xfId="31907"/>
    <cellStyle name="금액 2 2 3 4" xfId="18601"/>
    <cellStyle name="금액 2 2 4" xfId="1757"/>
    <cellStyle name="금액 2 2 4 2" xfId="15063"/>
    <cellStyle name="금액 2 2 4 2 2" xfId="32204"/>
    <cellStyle name="금액 2 2 4 3" xfId="18900"/>
    <cellStyle name="금액 2 2 5" xfId="14158"/>
    <cellStyle name="금액 2 2 5 2" xfId="31299"/>
    <cellStyle name="금액 2 2 6" xfId="17952"/>
    <cellStyle name="금액 2 3" xfId="707"/>
    <cellStyle name="금액 2 3 2" xfId="1160"/>
    <cellStyle name="금액 2 3 2 2" xfId="2059"/>
    <cellStyle name="금액 2 3 2 2 2" xfId="15365"/>
    <cellStyle name="금액 2 3 2 2 2 2" xfId="32506"/>
    <cellStyle name="금액 2 3 2 2 3" xfId="19202"/>
    <cellStyle name="금액 2 3 2 3" xfId="14468"/>
    <cellStyle name="금액 2 3 2 3 2" xfId="31609"/>
    <cellStyle name="금액 2 3 2 4" xfId="18303"/>
    <cellStyle name="금액 2 3 3" xfId="1455"/>
    <cellStyle name="금액 2 3 3 2" xfId="2353"/>
    <cellStyle name="금액 2 3 3 2 2" xfId="15659"/>
    <cellStyle name="금액 2 3 3 2 2 2" xfId="32800"/>
    <cellStyle name="금액 2 3 3 2 3" xfId="19496"/>
    <cellStyle name="금액 2 3 3 3" xfId="14763"/>
    <cellStyle name="금액 2 3 3 3 2" xfId="31904"/>
    <cellStyle name="금액 2 3 3 4" xfId="18598"/>
    <cellStyle name="금액 2 3 4" xfId="1663"/>
    <cellStyle name="금액 2 3 4 2" xfId="14969"/>
    <cellStyle name="금액 2 3 4 2 2" xfId="32110"/>
    <cellStyle name="금액 2 3 4 3" xfId="18806"/>
    <cellStyle name="금액 2 3 5" xfId="14064"/>
    <cellStyle name="금액 2 3 5 2" xfId="31205"/>
    <cellStyle name="금액 2 3 6" xfId="17850"/>
    <cellStyle name="금액 2 4" xfId="557"/>
    <cellStyle name="금액 2 4 2" xfId="13955"/>
    <cellStyle name="금액 2 4 2 2" xfId="31096"/>
    <cellStyle name="금액 2 4 3" xfId="17700"/>
    <cellStyle name="금액 2 5" xfId="1553"/>
    <cellStyle name="금액 2 5 2" xfId="14859"/>
    <cellStyle name="금액 2 5 2 2" xfId="32000"/>
    <cellStyle name="금액 2 5 3" xfId="18696"/>
    <cellStyle name="금액 2 6" xfId="12743"/>
    <cellStyle name="금액 2 6 2" xfId="16106"/>
    <cellStyle name="금액 2 6 2 2" xfId="33247"/>
    <cellStyle name="금액 2 6 3" xfId="29884"/>
    <cellStyle name="금액 2 7" xfId="12829"/>
    <cellStyle name="금액 2 7 2" xfId="16187"/>
    <cellStyle name="금액 2 7 2 2" xfId="33328"/>
    <cellStyle name="금액 2 7 3" xfId="29970"/>
    <cellStyle name="금액 2 8" xfId="12984"/>
    <cellStyle name="금액 2 8 2" xfId="16335"/>
    <cellStyle name="금액 2 8 2 2" xfId="33476"/>
    <cellStyle name="금액 2 8 3" xfId="30125"/>
    <cellStyle name="금액 2 9" xfId="13021"/>
    <cellStyle name="금액 2 9 2" xfId="16372"/>
    <cellStyle name="금액 2 9 2 2" xfId="33513"/>
    <cellStyle name="금액 2 9 3" xfId="30162"/>
    <cellStyle name="금액 20" xfId="2607"/>
    <cellStyle name="금액 20 2" xfId="2608"/>
    <cellStyle name="금액 20 2 2" xfId="15819"/>
    <cellStyle name="금액 20 2 2 2" xfId="32960"/>
    <cellStyle name="금액 20 2 3" xfId="19749"/>
    <cellStyle name="금액 20 3" xfId="15818"/>
    <cellStyle name="금액 20 3 2" xfId="32959"/>
    <cellStyle name="금액 20 4" xfId="19748"/>
    <cellStyle name="금액 21" xfId="2609"/>
    <cellStyle name="금액 21 2" xfId="2610"/>
    <cellStyle name="금액 21 2 2" xfId="15821"/>
    <cellStyle name="금액 21 2 2 2" xfId="32962"/>
    <cellStyle name="금액 21 2 3" xfId="19751"/>
    <cellStyle name="금액 21 3" xfId="15820"/>
    <cellStyle name="금액 21 3 2" xfId="32961"/>
    <cellStyle name="금액 21 4" xfId="19750"/>
    <cellStyle name="금액 22" xfId="2611"/>
    <cellStyle name="금액 22 2" xfId="2612"/>
    <cellStyle name="금액 22 2 2" xfId="15823"/>
    <cellStyle name="금액 22 2 2 2" xfId="32964"/>
    <cellStyle name="금액 22 2 3" xfId="19753"/>
    <cellStyle name="금액 22 3" xfId="15822"/>
    <cellStyle name="금액 22 3 2" xfId="32963"/>
    <cellStyle name="금액 22 4" xfId="19752"/>
    <cellStyle name="금액 23" xfId="2613"/>
    <cellStyle name="금액 23 2" xfId="2614"/>
    <cellStyle name="금액 23 2 2" xfId="15825"/>
    <cellStyle name="금액 23 2 2 2" xfId="32966"/>
    <cellStyle name="금액 23 2 3" xfId="19755"/>
    <cellStyle name="금액 23 3" xfId="15824"/>
    <cellStyle name="금액 23 3 2" xfId="32965"/>
    <cellStyle name="금액 23 4" xfId="19754"/>
    <cellStyle name="금액 24" xfId="17215"/>
    <cellStyle name="금액 3" xfId="396"/>
    <cellStyle name="금액 3 10" xfId="12605"/>
    <cellStyle name="금액 3 10 2" xfId="15968"/>
    <cellStyle name="금액 3 10 2 2" xfId="33109"/>
    <cellStyle name="금액 3 10 3" xfId="29746"/>
    <cellStyle name="금액 3 11" xfId="13224"/>
    <cellStyle name="금액 3 11 2" xfId="16575"/>
    <cellStyle name="금액 3 11 2 2" xfId="33716"/>
    <cellStyle name="금액 3 11 3" xfId="30365"/>
    <cellStyle name="금액 3 12" xfId="13353"/>
    <cellStyle name="금액 3 12 2" xfId="16704"/>
    <cellStyle name="금액 3 12 2 2" xfId="33845"/>
    <cellStyle name="금액 3 12 3" xfId="30494"/>
    <cellStyle name="금액 3 13" xfId="13431"/>
    <cellStyle name="금액 3 13 2" xfId="16782"/>
    <cellStyle name="금액 3 13 2 2" xfId="33923"/>
    <cellStyle name="금액 3 13 3" xfId="30572"/>
    <cellStyle name="금액 3 14" xfId="13566"/>
    <cellStyle name="금액 3 14 2" xfId="16917"/>
    <cellStyle name="금액 3 14 2 2" xfId="34058"/>
    <cellStyle name="금액 3 14 3" xfId="30707"/>
    <cellStyle name="금액 3 15" xfId="13630"/>
    <cellStyle name="금액 3 15 2" xfId="16981"/>
    <cellStyle name="금액 3 15 2 2" xfId="34122"/>
    <cellStyle name="금액 3 15 3" xfId="30771"/>
    <cellStyle name="금액 3 16" xfId="13755"/>
    <cellStyle name="금액 3 16 2" xfId="17106"/>
    <cellStyle name="금액 3 16 2 2" xfId="34247"/>
    <cellStyle name="금액 3 16 3" xfId="30896"/>
    <cellStyle name="금액 3 17" xfId="13893"/>
    <cellStyle name="금액 3 17 2" xfId="31034"/>
    <cellStyle name="금액 3 18" xfId="17539"/>
    <cellStyle name="금액 3 2" xfId="886"/>
    <cellStyle name="금액 3 2 2" xfId="1303"/>
    <cellStyle name="금액 3 2 2 2" xfId="2201"/>
    <cellStyle name="금액 3 2 2 2 2" xfId="15507"/>
    <cellStyle name="금액 3 2 2 2 2 2" xfId="32648"/>
    <cellStyle name="금액 3 2 2 2 3" xfId="19344"/>
    <cellStyle name="금액 3 2 2 3" xfId="14611"/>
    <cellStyle name="금액 3 2 2 3 2" xfId="31752"/>
    <cellStyle name="금액 3 2 2 4" xfId="18446"/>
    <cellStyle name="금액 3 2 3" xfId="1806"/>
    <cellStyle name="금액 3 2 3 2" xfId="15112"/>
    <cellStyle name="금액 3 2 3 2 2" xfId="32253"/>
    <cellStyle name="금액 3 2 3 3" xfId="18949"/>
    <cellStyle name="금액 3 2 4" xfId="14207"/>
    <cellStyle name="금액 3 2 4 2" xfId="31348"/>
    <cellStyle name="금액 3 2 5" xfId="18029"/>
    <cellStyle name="금액 3 3" xfId="747"/>
    <cellStyle name="금액 3 3 2" xfId="1200"/>
    <cellStyle name="금액 3 3 2 2" xfId="2098"/>
    <cellStyle name="금액 3 3 2 2 2" xfId="15404"/>
    <cellStyle name="금액 3 3 2 2 2 2" xfId="32545"/>
    <cellStyle name="금액 3 3 2 2 3" xfId="19241"/>
    <cellStyle name="금액 3 3 2 3" xfId="14508"/>
    <cellStyle name="금액 3 3 2 3 2" xfId="31649"/>
    <cellStyle name="금액 3 3 2 4" xfId="18343"/>
    <cellStyle name="금액 3 3 3" xfId="1703"/>
    <cellStyle name="금액 3 3 3 2" xfId="15009"/>
    <cellStyle name="금액 3 3 3 2 2" xfId="32150"/>
    <cellStyle name="금액 3 3 3 3" xfId="18846"/>
    <cellStyle name="금액 3 3 4" xfId="14104"/>
    <cellStyle name="금액 3 3 4 2" xfId="31245"/>
    <cellStyle name="금액 3 3 5" xfId="17890"/>
    <cellStyle name="금액 3 4" xfId="1003"/>
    <cellStyle name="금액 3 4 2" xfId="1402"/>
    <cellStyle name="금액 3 4 2 2" xfId="2300"/>
    <cellStyle name="금액 3 4 2 2 2" xfId="15606"/>
    <cellStyle name="금액 3 4 2 2 2 2" xfId="32747"/>
    <cellStyle name="금액 3 4 2 2 3" xfId="19443"/>
    <cellStyle name="금액 3 4 2 3" xfId="14710"/>
    <cellStyle name="금액 3 4 2 3 2" xfId="31851"/>
    <cellStyle name="금액 3 4 2 4" xfId="18545"/>
    <cellStyle name="금액 3 4 3" xfId="1910"/>
    <cellStyle name="금액 3 4 3 2" xfId="15216"/>
    <cellStyle name="금액 3 4 3 2 2" xfId="32357"/>
    <cellStyle name="금액 3 4 3 3" xfId="19053"/>
    <cellStyle name="금액 3 4 4" xfId="14311"/>
    <cellStyle name="금액 3 4 4 2" xfId="31452"/>
    <cellStyle name="금액 3 4 5" xfId="18146"/>
    <cellStyle name="금액 3 5" xfId="1103"/>
    <cellStyle name="금액 3 5 2" xfId="2005"/>
    <cellStyle name="금액 3 5 2 2" xfId="15311"/>
    <cellStyle name="금액 3 5 2 2 2" xfId="32452"/>
    <cellStyle name="금액 3 5 2 3" xfId="19148"/>
    <cellStyle name="금액 3 5 3" xfId="14411"/>
    <cellStyle name="금액 3 5 3 2" xfId="31552"/>
    <cellStyle name="금액 3 5 4" xfId="18246"/>
    <cellStyle name="금액 3 6" xfId="1498"/>
    <cellStyle name="금액 3 6 2" xfId="2395"/>
    <cellStyle name="금액 3 6 2 2" xfId="15701"/>
    <cellStyle name="금액 3 6 2 2 2" xfId="32842"/>
    <cellStyle name="금액 3 6 2 3" xfId="19538"/>
    <cellStyle name="금액 3 6 3" xfId="14805"/>
    <cellStyle name="금액 3 6 3 2" xfId="31946"/>
    <cellStyle name="금액 3 6 4" xfId="18641"/>
    <cellStyle name="금액 3 7" xfId="634"/>
    <cellStyle name="금액 3 7 2" xfId="14004"/>
    <cellStyle name="금액 3 7 2 2" xfId="31145"/>
    <cellStyle name="금액 3 7 3" xfId="17777"/>
    <cellStyle name="금액 3 8" xfId="1601"/>
    <cellStyle name="금액 3 8 2" xfId="14907"/>
    <cellStyle name="금액 3 8 2 2" xfId="32048"/>
    <cellStyle name="금액 3 8 3" xfId="18744"/>
    <cellStyle name="금액 3 9" xfId="12888"/>
    <cellStyle name="금액 3 9 2" xfId="16246"/>
    <cellStyle name="금액 3 9 2 2" xfId="33387"/>
    <cellStyle name="금액 3 9 3" xfId="30029"/>
    <cellStyle name="금액 4" xfId="341"/>
    <cellStyle name="금액 4 10" xfId="12596"/>
    <cellStyle name="금액 4 10 2" xfId="15959"/>
    <cellStyle name="금액 4 10 2 2" xfId="33100"/>
    <cellStyle name="금액 4 10 3" xfId="29737"/>
    <cellStyle name="금액 4 11" xfId="12707"/>
    <cellStyle name="금액 4 11 2" xfId="16070"/>
    <cellStyle name="금액 4 11 2 2" xfId="33211"/>
    <cellStyle name="금액 4 11 3" xfId="29848"/>
    <cellStyle name="금액 4 12" xfId="13134"/>
    <cellStyle name="금액 4 12 2" xfId="16485"/>
    <cellStyle name="금액 4 12 2 2" xfId="33626"/>
    <cellStyle name="금액 4 12 3" xfId="30275"/>
    <cellStyle name="금액 4 13" xfId="13052"/>
    <cellStyle name="금액 4 13 2" xfId="16403"/>
    <cellStyle name="금액 4 13 2 2" xfId="33544"/>
    <cellStyle name="금액 4 13 3" xfId="30193"/>
    <cellStyle name="금액 4 14" xfId="13501"/>
    <cellStyle name="금액 4 14 2" xfId="16852"/>
    <cellStyle name="금액 4 14 2 2" xfId="33993"/>
    <cellStyle name="금액 4 14 3" xfId="30642"/>
    <cellStyle name="금액 4 15" xfId="13739"/>
    <cellStyle name="금액 4 15 2" xfId="17090"/>
    <cellStyle name="금액 4 15 2 2" xfId="34231"/>
    <cellStyle name="금액 4 15 3" xfId="30880"/>
    <cellStyle name="금액 4 16" xfId="13866"/>
    <cellStyle name="금액 4 16 2" xfId="31007"/>
    <cellStyle name="금액 4 17" xfId="17484"/>
    <cellStyle name="금액 4 2" xfId="850"/>
    <cellStyle name="금액 4 2 2" xfId="1276"/>
    <cellStyle name="금액 4 2 2 2" xfId="2174"/>
    <cellStyle name="금액 4 2 2 2 2" xfId="15480"/>
    <cellStyle name="금액 4 2 2 2 2 2" xfId="32621"/>
    <cellStyle name="금액 4 2 2 2 3" xfId="19317"/>
    <cellStyle name="금액 4 2 2 3" xfId="14584"/>
    <cellStyle name="금액 4 2 2 3 2" xfId="31725"/>
    <cellStyle name="금액 4 2 2 4" xfId="18419"/>
    <cellStyle name="금액 4 2 3" xfId="1779"/>
    <cellStyle name="금액 4 2 3 2" xfId="15085"/>
    <cellStyle name="금액 4 2 3 2 2" xfId="32226"/>
    <cellStyle name="금액 4 2 3 3" xfId="18922"/>
    <cellStyle name="금액 4 2 4" xfId="14180"/>
    <cellStyle name="금액 4 2 4 2" xfId="31321"/>
    <cellStyle name="금액 4 2 5" xfId="17993"/>
    <cellStyle name="금액 4 3" xfId="979"/>
    <cellStyle name="금액 4 3 2" xfId="1886"/>
    <cellStyle name="금액 4 3 2 2" xfId="15192"/>
    <cellStyle name="금액 4 3 2 2 2" xfId="32333"/>
    <cellStyle name="금액 4 3 2 3" xfId="19029"/>
    <cellStyle name="금액 4 3 3" xfId="14287"/>
    <cellStyle name="금액 4 3 3 2" xfId="31428"/>
    <cellStyle name="금액 4 3 4" xfId="18122"/>
    <cellStyle name="금액 4 4" xfId="598"/>
    <cellStyle name="금액 4 4 2" xfId="13977"/>
    <cellStyle name="금액 4 4 2 2" xfId="31118"/>
    <cellStyle name="금액 4 4 3" xfId="17741"/>
    <cellStyle name="금액 4 5" xfId="1574"/>
    <cellStyle name="금액 4 5 2" xfId="14880"/>
    <cellStyle name="금액 4 5 2 2" xfId="32021"/>
    <cellStyle name="금액 4 5 3" xfId="18717"/>
    <cellStyle name="금액 4 6" xfId="12840"/>
    <cellStyle name="금액 4 6 2" xfId="16198"/>
    <cellStyle name="금액 4 6 2 2" xfId="33339"/>
    <cellStyle name="금액 4 6 3" xfId="29981"/>
    <cellStyle name="금액 4 7" xfId="12733"/>
    <cellStyle name="금액 4 7 2" xfId="16096"/>
    <cellStyle name="금액 4 7 2 2" xfId="33237"/>
    <cellStyle name="금액 4 7 3" xfId="29874"/>
    <cellStyle name="금액 4 8" xfId="12864"/>
    <cellStyle name="금액 4 8 2" xfId="16222"/>
    <cellStyle name="금액 4 8 2 2" xfId="33363"/>
    <cellStyle name="금액 4 8 3" xfId="30005"/>
    <cellStyle name="금액 4 9" xfId="12805"/>
    <cellStyle name="금액 4 9 2" xfId="16166"/>
    <cellStyle name="금액 4 9 2 2" xfId="33307"/>
    <cellStyle name="금액 4 9 3" xfId="29946"/>
    <cellStyle name="금액 5" xfId="363"/>
    <cellStyle name="금액 5 10" xfId="12872"/>
    <cellStyle name="금액 5 10 2" xfId="16230"/>
    <cellStyle name="금액 5 10 2 2" xfId="33371"/>
    <cellStyle name="금액 5 10 3" xfId="30013"/>
    <cellStyle name="금액 5 11" xfId="12807"/>
    <cellStyle name="금액 5 11 2" xfId="16168"/>
    <cellStyle name="금액 5 11 2 2" xfId="33309"/>
    <cellStyle name="금액 5 11 3" xfId="29948"/>
    <cellStyle name="금액 5 12" xfId="13273"/>
    <cellStyle name="금액 5 12 2" xfId="16624"/>
    <cellStyle name="금액 5 12 2 2" xfId="33765"/>
    <cellStyle name="금액 5 12 3" xfId="30414"/>
    <cellStyle name="금액 5 13" xfId="12620"/>
    <cellStyle name="금액 5 13 2" xfId="15983"/>
    <cellStyle name="금액 5 13 2 2" xfId="33124"/>
    <cellStyle name="금액 5 13 3" xfId="29761"/>
    <cellStyle name="금액 5 14" xfId="13429"/>
    <cellStyle name="금액 5 14 2" xfId="16780"/>
    <cellStyle name="금액 5 14 2 2" xfId="33921"/>
    <cellStyle name="금액 5 14 3" xfId="30570"/>
    <cellStyle name="금액 5 15" xfId="13808"/>
    <cellStyle name="금액 5 15 2" xfId="17154"/>
    <cellStyle name="금액 5 15 2 2" xfId="34295"/>
    <cellStyle name="금액 5 15 3" xfId="30949"/>
    <cellStyle name="금액 5 16" xfId="13880"/>
    <cellStyle name="금액 5 16 2" xfId="31021"/>
    <cellStyle name="금액 5 17" xfId="17506"/>
    <cellStyle name="금액 5 2" xfId="867"/>
    <cellStyle name="금액 5 2 2" xfId="1290"/>
    <cellStyle name="금액 5 2 2 2" xfId="2188"/>
    <cellStyle name="금액 5 2 2 2 2" xfId="15494"/>
    <cellStyle name="금액 5 2 2 2 2 2" xfId="32635"/>
    <cellStyle name="금액 5 2 2 2 3" xfId="19331"/>
    <cellStyle name="금액 5 2 2 3" xfId="14598"/>
    <cellStyle name="금액 5 2 2 3 2" xfId="31739"/>
    <cellStyle name="금액 5 2 2 4" xfId="18433"/>
    <cellStyle name="금액 5 2 3" xfId="1793"/>
    <cellStyle name="금액 5 2 3 2" xfId="15099"/>
    <cellStyle name="금액 5 2 3 2 2" xfId="32240"/>
    <cellStyle name="금액 5 2 3 3" xfId="18936"/>
    <cellStyle name="금액 5 2 4" xfId="14194"/>
    <cellStyle name="금액 5 2 4 2" xfId="31335"/>
    <cellStyle name="금액 5 2 5" xfId="18010"/>
    <cellStyle name="금액 5 3" xfId="990"/>
    <cellStyle name="금액 5 3 2" xfId="1897"/>
    <cellStyle name="금액 5 3 2 2" xfId="15203"/>
    <cellStyle name="금액 5 3 2 2 2" xfId="32344"/>
    <cellStyle name="금액 5 3 2 3" xfId="19040"/>
    <cellStyle name="금액 5 3 3" xfId="14298"/>
    <cellStyle name="금액 5 3 3 2" xfId="31439"/>
    <cellStyle name="금액 5 3 4" xfId="18133"/>
    <cellStyle name="금액 5 4" xfId="615"/>
    <cellStyle name="금액 5 4 2" xfId="13991"/>
    <cellStyle name="금액 5 4 2 2" xfId="31132"/>
    <cellStyle name="금액 5 4 3" xfId="17758"/>
    <cellStyle name="금액 5 5" xfId="1588"/>
    <cellStyle name="금액 5 5 2" xfId="14894"/>
    <cellStyle name="금액 5 5 2 2" xfId="32035"/>
    <cellStyle name="금액 5 5 3" xfId="18731"/>
    <cellStyle name="금액 5 6" xfId="12859"/>
    <cellStyle name="금액 5 6 2" xfId="16217"/>
    <cellStyle name="금액 5 6 2 2" xfId="33358"/>
    <cellStyle name="금액 5 6 3" xfId="30000"/>
    <cellStyle name="금액 5 7" xfId="12724"/>
    <cellStyle name="금액 5 7 2" xfId="16087"/>
    <cellStyle name="금액 5 7 2 2" xfId="33228"/>
    <cellStyle name="금액 5 7 3" xfId="29865"/>
    <cellStyle name="금액 5 8" xfId="12668"/>
    <cellStyle name="금액 5 8 2" xfId="16031"/>
    <cellStyle name="금액 5 8 2 2" xfId="33172"/>
    <cellStyle name="금액 5 8 3" xfId="29809"/>
    <cellStyle name="금액 5 9" xfId="12637"/>
    <cellStyle name="금액 5 9 2" xfId="16000"/>
    <cellStyle name="금액 5 9 2 2" xfId="33141"/>
    <cellStyle name="금액 5 9 3" xfId="29778"/>
    <cellStyle name="금액 6" xfId="323"/>
    <cellStyle name="금액 6 10" xfId="13307"/>
    <cellStyle name="금액 6 10 2" xfId="16658"/>
    <cellStyle name="금액 6 10 2 2" xfId="33799"/>
    <cellStyle name="금액 6 10 3" xfId="30448"/>
    <cellStyle name="금액 6 11" xfId="13305"/>
    <cellStyle name="금액 6 11 2" xfId="16656"/>
    <cellStyle name="금액 6 11 2 2" xfId="33797"/>
    <cellStyle name="금액 6 11 3" xfId="30446"/>
    <cellStyle name="금액 6 12" xfId="12683"/>
    <cellStyle name="금액 6 12 2" xfId="16046"/>
    <cellStyle name="금액 6 12 2 2" xfId="33187"/>
    <cellStyle name="금액 6 12 3" xfId="29824"/>
    <cellStyle name="금액 6 13" xfId="13537"/>
    <cellStyle name="금액 6 13 2" xfId="16888"/>
    <cellStyle name="금액 6 13 2 2" xfId="34029"/>
    <cellStyle name="금액 6 13 3" xfId="30678"/>
    <cellStyle name="금액 6 14" xfId="13801"/>
    <cellStyle name="금액 6 14 2" xfId="17147"/>
    <cellStyle name="금액 6 14 2 2" xfId="34288"/>
    <cellStyle name="금액 6 14 3" xfId="30942"/>
    <cellStyle name="금액 6 15" xfId="13856"/>
    <cellStyle name="금액 6 15 2" xfId="30997"/>
    <cellStyle name="금액 6 16" xfId="17466"/>
    <cellStyle name="금액 6 2" xfId="834"/>
    <cellStyle name="금액 6 2 2" xfId="1266"/>
    <cellStyle name="금액 6 2 2 2" xfId="2164"/>
    <cellStyle name="금액 6 2 2 2 2" xfId="15470"/>
    <cellStyle name="금액 6 2 2 2 2 2" xfId="32611"/>
    <cellStyle name="금액 6 2 2 2 3" xfId="19307"/>
    <cellStyle name="금액 6 2 2 3" xfId="14574"/>
    <cellStyle name="금액 6 2 2 3 2" xfId="31715"/>
    <cellStyle name="금액 6 2 2 4" xfId="18409"/>
    <cellStyle name="금액 6 2 3" xfId="1769"/>
    <cellStyle name="금액 6 2 3 2" xfId="15075"/>
    <cellStyle name="금액 6 2 3 2 2" xfId="32216"/>
    <cellStyle name="금액 6 2 3 3" xfId="18912"/>
    <cellStyle name="금액 6 2 4" xfId="14170"/>
    <cellStyle name="금액 6 2 4 2" xfId="31311"/>
    <cellStyle name="금액 6 2 5" xfId="17977"/>
    <cellStyle name="금액 6 3" xfId="718"/>
    <cellStyle name="금액 6 3 2" xfId="1171"/>
    <cellStyle name="금액 6 3 2 2" xfId="2069"/>
    <cellStyle name="금액 6 3 2 2 2" xfId="15375"/>
    <cellStyle name="금액 6 3 2 2 2 2" xfId="32516"/>
    <cellStyle name="금액 6 3 2 2 3" xfId="19212"/>
    <cellStyle name="금액 6 3 2 3" xfId="14479"/>
    <cellStyle name="금액 6 3 2 3 2" xfId="31620"/>
    <cellStyle name="금액 6 3 2 4" xfId="18314"/>
    <cellStyle name="금액 6 3 3" xfId="1674"/>
    <cellStyle name="금액 6 3 3 2" xfId="14980"/>
    <cellStyle name="금액 6 3 3 2 2" xfId="32121"/>
    <cellStyle name="금액 6 3 3 3" xfId="18817"/>
    <cellStyle name="금액 6 3 4" xfId="14075"/>
    <cellStyle name="금액 6 3 4 2" xfId="31216"/>
    <cellStyle name="금액 6 3 5" xfId="17861"/>
    <cellStyle name="금액 6 4" xfId="970"/>
    <cellStyle name="금액 6 4 2" xfId="1373"/>
    <cellStyle name="금액 6 4 2 2" xfId="2271"/>
    <cellStyle name="금액 6 4 2 2 2" xfId="15577"/>
    <cellStyle name="금액 6 4 2 2 2 2" xfId="32718"/>
    <cellStyle name="금액 6 4 2 2 3" xfId="19414"/>
    <cellStyle name="금액 6 4 2 3" xfId="14681"/>
    <cellStyle name="금액 6 4 2 3 2" xfId="31822"/>
    <cellStyle name="금액 6 4 2 4" xfId="18516"/>
    <cellStyle name="금액 6 4 3" xfId="1877"/>
    <cellStyle name="금액 6 4 3 2" xfId="15183"/>
    <cellStyle name="금액 6 4 3 2 2" xfId="32324"/>
    <cellStyle name="금액 6 4 3 3" xfId="19020"/>
    <cellStyle name="금액 6 4 4" xfId="14278"/>
    <cellStyle name="금액 6 4 4 2" xfId="31419"/>
    <cellStyle name="금액 6 4 5" xfId="18113"/>
    <cellStyle name="금액 6 5" xfId="1070"/>
    <cellStyle name="금액 6 5 2" xfId="1977"/>
    <cellStyle name="금액 6 5 2 2" xfId="15283"/>
    <cellStyle name="금액 6 5 2 2 2" xfId="32424"/>
    <cellStyle name="금액 6 5 2 3" xfId="19120"/>
    <cellStyle name="금액 6 5 3" xfId="14378"/>
    <cellStyle name="금액 6 5 3 2" xfId="31519"/>
    <cellStyle name="금액 6 5 4" xfId="18213"/>
    <cellStyle name="금액 6 6" xfId="1470"/>
    <cellStyle name="금액 6 6 2" xfId="2367"/>
    <cellStyle name="금액 6 6 2 2" xfId="15673"/>
    <cellStyle name="금액 6 6 2 2 2" xfId="32814"/>
    <cellStyle name="금액 6 6 2 3" xfId="19510"/>
    <cellStyle name="금액 6 6 3" xfId="14777"/>
    <cellStyle name="금액 6 6 3 2" xfId="31918"/>
    <cellStyle name="금액 6 6 4" xfId="18613"/>
    <cellStyle name="금액 6 7" xfId="582"/>
    <cellStyle name="금액 6 7 2" xfId="13967"/>
    <cellStyle name="금액 6 7 2 2" xfId="31108"/>
    <cellStyle name="금액 6 7 3" xfId="17725"/>
    <cellStyle name="금액 6 8" xfId="1564"/>
    <cellStyle name="금액 6 8 2" xfId="14870"/>
    <cellStyle name="금액 6 8 2 2" xfId="32011"/>
    <cellStyle name="금액 6 8 3" xfId="18707"/>
    <cellStyle name="금액 6 9" xfId="12823"/>
    <cellStyle name="금액 6 9 2" xfId="16181"/>
    <cellStyle name="금액 6 9 2 2" xfId="33322"/>
    <cellStyle name="금액 6 9 3" xfId="29964"/>
    <cellStyle name="금액 7" xfId="380"/>
    <cellStyle name="금액 7 10" xfId="12983"/>
    <cellStyle name="금액 7 10 2" xfId="16334"/>
    <cellStyle name="금액 7 10 2 2" xfId="33475"/>
    <cellStyle name="금액 7 10 3" xfId="30124"/>
    <cellStyle name="금액 7 11" xfId="12804"/>
    <cellStyle name="금액 7 11 2" xfId="16165"/>
    <cellStyle name="금액 7 11 2 2" xfId="33306"/>
    <cellStyle name="금액 7 11 3" xfId="29945"/>
    <cellStyle name="금액 7 12" xfId="13346"/>
    <cellStyle name="금액 7 12 2" xfId="16697"/>
    <cellStyle name="금액 7 12 2 2" xfId="33838"/>
    <cellStyle name="금액 7 12 3" xfId="30487"/>
    <cellStyle name="금액 7 13" xfId="13171"/>
    <cellStyle name="금액 7 13 2" xfId="16522"/>
    <cellStyle name="금액 7 13 2 2" xfId="33663"/>
    <cellStyle name="금액 7 13 3" xfId="30312"/>
    <cellStyle name="금액 7 14" xfId="13247"/>
    <cellStyle name="금액 7 14 2" xfId="16598"/>
    <cellStyle name="금액 7 14 2 2" xfId="33739"/>
    <cellStyle name="금액 7 14 3" xfId="30388"/>
    <cellStyle name="금액 7 15" xfId="12686"/>
    <cellStyle name="금액 7 15 2" xfId="16049"/>
    <cellStyle name="금액 7 15 2 2" xfId="33190"/>
    <cellStyle name="금액 7 15 3" xfId="29827"/>
    <cellStyle name="금액 7 16" xfId="13785"/>
    <cellStyle name="금액 7 16 2" xfId="17131"/>
    <cellStyle name="금액 7 16 2 2" xfId="34272"/>
    <cellStyle name="금액 7 16 3" xfId="30926"/>
    <cellStyle name="금액 7 17" xfId="13887"/>
    <cellStyle name="금액 7 17 2" xfId="31028"/>
    <cellStyle name="금액 7 18" xfId="17523"/>
    <cellStyle name="금액 7 2" xfId="877"/>
    <cellStyle name="금액 7 2 2" xfId="1297"/>
    <cellStyle name="금액 7 2 2 2" xfId="2195"/>
    <cellStyle name="금액 7 2 2 2 2" xfId="15501"/>
    <cellStyle name="금액 7 2 2 2 2 2" xfId="32642"/>
    <cellStyle name="금액 7 2 2 2 3" xfId="19338"/>
    <cellStyle name="금액 7 2 2 3" xfId="14605"/>
    <cellStyle name="금액 7 2 2 3 2" xfId="31746"/>
    <cellStyle name="금액 7 2 2 4" xfId="18440"/>
    <cellStyle name="금액 7 2 3" xfId="1800"/>
    <cellStyle name="금액 7 2 3 2" xfId="15106"/>
    <cellStyle name="금액 7 2 3 2 2" xfId="32247"/>
    <cellStyle name="금액 7 2 3 3" xfId="18943"/>
    <cellStyle name="금액 7 2 4" xfId="14201"/>
    <cellStyle name="금액 7 2 4 2" xfId="31342"/>
    <cellStyle name="금액 7 2 5" xfId="18020"/>
    <cellStyle name="금액 7 3" xfId="997"/>
    <cellStyle name="금액 7 3 2" xfId="1904"/>
    <cellStyle name="금액 7 3 2 2" xfId="15210"/>
    <cellStyle name="금액 7 3 2 2 2" xfId="32351"/>
    <cellStyle name="금액 7 3 2 3" xfId="19047"/>
    <cellStyle name="금액 7 3 3" xfId="14305"/>
    <cellStyle name="금액 7 3 3 2" xfId="31446"/>
    <cellStyle name="금액 7 3 4" xfId="18140"/>
    <cellStyle name="금액 7 4" xfId="625"/>
    <cellStyle name="금액 7 4 2" xfId="13998"/>
    <cellStyle name="금액 7 4 2 2" xfId="31139"/>
    <cellStyle name="금액 7 4 3" xfId="17768"/>
    <cellStyle name="금액 7 5" xfId="1595"/>
    <cellStyle name="금액 7 5 2" xfId="14901"/>
    <cellStyle name="금액 7 5 2 2" xfId="32042"/>
    <cellStyle name="금액 7 5 3" xfId="18738"/>
    <cellStyle name="금액 7 6" xfId="12873"/>
    <cellStyle name="금액 7 6 2" xfId="16231"/>
    <cellStyle name="금액 7 6 2 2" xfId="33372"/>
    <cellStyle name="금액 7 6 3" xfId="30014"/>
    <cellStyle name="금액 7 7" xfId="12985"/>
    <cellStyle name="금액 7 7 2" xfId="16336"/>
    <cellStyle name="금액 7 7 2 2" xfId="33477"/>
    <cellStyle name="금액 7 7 3" xfId="30126"/>
    <cellStyle name="금액 7 8" xfId="12635"/>
    <cellStyle name="금액 7 8 2" xfId="15998"/>
    <cellStyle name="금액 7 8 2 2" xfId="33139"/>
    <cellStyle name="금액 7 8 3" xfId="29776"/>
    <cellStyle name="금액 7 9" xfId="12982"/>
    <cellStyle name="금액 7 9 2" xfId="16333"/>
    <cellStyle name="금액 7 9 2 2" xfId="33474"/>
    <cellStyle name="금액 7 9 3" xfId="30123"/>
    <cellStyle name="금액 8" xfId="420"/>
    <cellStyle name="금액 8 10" xfId="13272"/>
    <cellStyle name="금액 8 10 2" xfId="16623"/>
    <cellStyle name="금액 8 10 2 2" xfId="33764"/>
    <cellStyle name="금액 8 10 3" xfId="30413"/>
    <cellStyle name="금액 8 11" xfId="12711"/>
    <cellStyle name="금액 8 11 2" xfId="16074"/>
    <cellStyle name="금액 8 11 2 2" xfId="33215"/>
    <cellStyle name="금액 8 11 3" xfId="29852"/>
    <cellStyle name="금액 8 12" xfId="13374"/>
    <cellStyle name="금액 8 12 2" xfId="16725"/>
    <cellStyle name="금액 8 12 2 2" xfId="33866"/>
    <cellStyle name="금액 8 12 3" xfId="30515"/>
    <cellStyle name="금액 8 13" xfId="13513"/>
    <cellStyle name="금액 8 13 2" xfId="16864"/>
    <cellStyle name="금액 8 13 2 2" xfId="34005"/>
    <cellStyle name="금액 8 13 3" xfId="30654"/>
    <cellStyle name="금액 8 14" xfId="13583"/>
    <cellStyle name="금액 8 14 2" xfId="16934"/>
    <cellStyle name="금액 8 14 2 2" xfId="34075"/>
    <cellStyle name="금액 8 14 3" xfId="30724"/>
    <cellStyle name="금액 8 15" xfId="13646"/>
    <cellStyle name="금액 8 15 2" xfId="16997"/>
    <cellStyle name="금액 8 15 2 2" xfId="34138"/>
    <cellStyle name="금액 8 15 3" xfId="30787"/>
    <cellStyle name="금액 8 16" xfId="13707"/>
    <cellStyle name="금액 8 16 2" xfId="17058"/>
    <cellStyle name="금액 8 16 2 2" xfId="34199"/>
    <cellStyle name="금액 8 16 3" xfId="30848"/>
    <cellStyle name="금액 8 17" xfId="13909"/>
    <cellStyle name="금액 8 17 2" xfId="31050"/>
    <cellStyle name="금액 8 18" xfId="17563"/>
    <cellStyle name="금액 8 2" xfId="904"/>
    <cellStyle name="금액 8 2 2" xfId="1319"/>
    <cellStyle name="금액 8 2 2 2" xfId="2217"/>
    <cellStyle name="금액 8 2 2 2 2" xfId="15523"/>
    <cellStyle name="금액 8 2 2 2 2 2" xfId="32664"/>
    <cellStyle name="금액 8 2 2 2 3" xfId="19360"/>
    <cellStyle name="금액 8 2 2 3" xfId="14627"/>
    <cellStyle name="금액 8 2 2 3 2" xfId="31768"/>
    <cellStyle name="금액 8 2 2 4" xfId="18462"/>
    <cellStyle name="금액 8 2 3" xfId="1822"/>
    <cellStyle name="금액 8 2 3 2" xfId="15128"/>
    <cellStyle name="금액 8 2 3 2 2" xfId="32269"/>
    <cellStyle name="금액 8 2 3 3" xfId="18965"/>
    <cellStyle name="금액 8 2 4" xfId="14223"/>
    <cellStyle name="금액 8 2 4 2" xfId="31364"/>
    <cellStyle name="금액 8 2 5" xfId="18047"/>
    <cellStyle name="금액 8 3" xfId="1019"/>
    <cellStyle name="금액 8 3 2" xfId="1926"/>
    <cellStyle name="금액 8 3 2 2" xfId="15232"/>
    <cellStyle name="금액 8 3 2 2 2" xfId="32373"/>
    <cellStyle name="금액 8 3 2 3" xfId="19069"/>
    <cellStyle name="금액 8 3 3" xfId="14327"/>
    <cellStyle name="금액 8 3 3 2" xfId="31468"/>
    <cellStyle name="금액 8 3 4" xfId="18162"/>
    <cellStyle name="금액 8 4" xfId="652"/>
    <cellStyle name="금액 8 4 2" xfId="14020"/>
    <cellStyle name="금액 8 4 2 2" xfId="31161"/>
    <cellStyle name="금액 8 4 3" xfId="17795"/>
    <cellStyle name="금액 8 5" xfId="1617"/>
    <cellStyle name="금액 8 5 2" xfId="14923"/>
    <cellStyle name="금액 8 5 2 2" xfId="32064"/>
    <cellStyle name="금액 8 5 3" xfId="18760"/>
    <cellStyle name="금액 8 6" xfId="12910"/>
    <cellStyle name="금액 8 6 2" xfId="16268"/>
    <cellStyle name="금액 8 6 2 2" xfId="33409"/>
    <cellStyle name="금액 8 6 3" xfId="30051"/>
    <cellStyle name="금액 8 7" xfId="13020"/>
    <cellStyle name="금액 8 7 2" xfId="16371"/>
    <cellStyle name="금액 8 7 2 2" xfId="33512"/>
    <cellStyle name="금액 8 7 3" xfId="30161"/>
    <cellStyle name="금액 8 8" xfId="13108"/>
    <cellStyle name="금액 8 8 2" xfId="16459"/>
    <cellStyle name="금액 8 8 2 2" xfId="33600"/>
    <cellStyle name="금액 8 8 3" xfId="30249"/>
    <cellStyle name="금액 8 9" xfId="13193"/>
    <cellStyle name="금액 8 9 2" xfId="16544"/>
    <cellStyle name="금액 8 9 2 2" xfId="33685"/>
    <cellStyle name="금액 8 9 3" xfId="30334"/>
    <cellStyle name="금액 9" xfId="462"/>
    <cellStyle name="금액 9 10" xfId="12742"/>
    <cellStyle name="금액 9 10 2" xfId="16105"/>
    <cellStyle name="금액 9 10 2 2" xfId="33246"/>
    <cellStyle name="금액 9 10 3" xfId="29883"/>
    <cellStyle name="금액 9 11" xfId="13404"/>
    <cellStyle name="금액 9 11 2" xfId="16755"/>
    <cellStyle name="금액 9 11 2 2" xfId="33896"/>
    <cellStyle name="금액 9 11 3" xfId="30545"/>
    <cellStyle name="금액 9 12" xfId="13542"/>
    <cellStyle name="금액 9 12 2" xfId="16893"/>
    <cellStyle name="금액 9 12 2 2" xfId="34034"/>
    <cellStyle name="금액 9 12 3" xfId="30683"/>
    <cellStyle name="금액 9 13" xfId="13607"/>
    <cellStyle name="금액 9 13 2" xfId="16958"/>
    <cellStyle name="금액 9 13 2 2" xfId="34099"/>
    <cellStyle name="금액 9 13 3" xfId="30748"/>
    <cellStyle name="금액 9 14" xfId="13670"/>
    <cellStyle name="금액 9 14 2" xfId="17021"/>
    <cellStyle name="금액 9 14 2 2" xfId="34162"/>
    <cellStyle name="금액 9 14 3" xfId="30811"/>
    <cellStyle name="금액 9 15" xfId="13742"/>
    <cellStyle name="금액 9 15 2" xfId="17093"/>
    <cellStyle name="금액 9 15 2 2" xfId="34234"/>
    <cellStyle name="금액 9 15 3" xfId="30883"/>
    <cellStyle name="금액 9 16" xfId="13933"/>
    <cellStyle name="금액 9 16 2" xfId="31074"/>
    <cellStyle name="금액 9 17" xfId="17605"/>
    <cellStyle name="금액 9 2" xfId="931"/>
    <cellStyle name="금액 9 2 2" xfId="1343"/>
    <cellStyle name="금액 9 2 2 2" xfId="2241"/>
    <cellStyle name="금액 9 2 2 2 2" xfId="15547"/>
    <cellStyle name="금액 9 2 2 2 2 2" xfId="32688"/>
    <cellStyle name="금액 9 2 2 2 3" xfId="19384"/>
    <cellStyle name="금액 9 2 2 3" xfId="14651"/>
    <cellStyle name="금액 9 2 2 3 2" xfId="31792"/>
    <cellStyle name="금액 9 2 2 4" xfId="18486"/>
    <cellStyle name="금액 9 2 3" xfId="1846"/>
    <cellStyle name="금액 9 2 3 2" xfId="15152"/>
    <cellStyle name="금액 9 2 3 2 2" xfId="32293"/>
    <cellStyle name="금액 9 2 3 3" xfId="18989"/>
    <cellStyle name="금액 9 2 4" xfId="14247"/>
    <cellStyle name="금액 9 2 4 2" xfId="31388"/>
    <cellStyle name="금액 9 2 5" xfId="18074"/>
    <cellStyle name="금액 9 3" xfId="1042"/>
    <cellStyle name="금액 9 3 2" xfId="1949"/>
    <cellStyle name="금액 9 3 2 2" xfId="15255"/>
    <cellStyle name="금액 9 3 2 2 2" xfId="32396"/>
    <cellStyle name="금액 9 3 2 3" xfId="19092"/>
    <cellStyle name="금액 9 3 3" xfId="14350"/>
    <cellStyle name="금액 9 3 3 2" xfId="31491"/>
    <cellStyle name="금액 9 3 4" xfId="18185"/>
    <cellStyle name="금액 9 4" xfId="1641"/>
    <cellStyle name="금액 9 4 2" xfId="14947"/>
    <cellStyle name="금액 9 4 2 2" xfId="32088"/>
    <cellStyle name="금액 9 4 3" xfId="18784"/>
    <cellStyle name="금액 9 5" xfId="12946"/>
    <cellStyle name="금액 9 5 2" xfId="16304"/>
    <cellStyle name="금액 9 5 2 2" xfId="33445"/>
    <cellStyle name="금액 9 5 3" xfId="30087"/>
    <cellStyle name="금액 9 6" xfId="13058"/>
    <cellStyle name="금액 9 6 2" xfId="16409"/>
    <cellStyle name="금액 9 6 2 2" xfId="33550"/>
    <cellStyle name="금액 9 6 3" xfId="30199"/>
    <cellStyle name="금액 9 7" xfId="13138"/>
    <cellStyle name="금액 9 7 2" xfId="16489"/>
    <cellStyle name="금액 9 7 2 2" xfId="33630"/>
    <cellStyle name="금액 9 7 3" xfId="30279"/>
    <cellStyle name="금액 9 8" xfId="13230"/>
    <cellStyle name="금액 9 8 2" xfId="16581"/>
    <cellStyle name="금액 9 8 2 2" xfId="33722"/>
    <cellStyle name="금액 9 8 3" xfId="30371"/>
    <cellStyle name="금액 9 9" xfId="13293"/>
    <cellStyle name="금액 9 9 2" xfId="16644"/>
    <cellStyle name="금액 9 9 2 2" xfId="33785"/>
    <cellStyle name="금액 9 9 3" xfId="30434"/>
    <cellStyle name="기계" xfId="134"/>
    <cellStyle name="기계 2" xfId="280"/>
    <cellStyle name="기계 2 2" xfId="17423"/>
    <cellStyle name="기계 3" xfId="17281"/>
    <cellStyle name="나쁨 2" xfId="219"/>
    <cellStyle name="나쁨 2 2" xfId="17362"/>
    <cellStyle name="나쁨 2 3" xfId="35485"/>
    <cellStyle name="나쁨 3" xfId="533"/>
    <cellStyle name="나쁨 3 2" xfId="17676"/>
    <cellStyle name="나쁨 3 3" xfId="35486"/>
    <cellStyle name="나쁨 4" xfId="2615"/>
    <cellStyle name="나쁨 4 2" xfId="19756"/>
    <cellStyle name="나쁨 4 3" xfId="35487"/>
    <cellStyle name="나쁨 5" xfId="40"/>
    <cellStyle name="나쁨 5 2" xfId="17216"/>
    <cellStyle name="날짜" xfId="41"/>
    <cellStyle name="날짜 2" xfId="220"/>
    <cellStyle name="날짜 2 2" xfId="17363"/>
    <cellStyle name="날짜 3" xfId="17217"/>
    <cellStyle name="년도" xfId="36817"/>
    <cellStyle name="단위 : 백만원" xfId="36818"/>
    <cellStyle name="단위 : 원" xfId="36819"/>
    <cellStyle name="단위 : 천원" xfId="36820"/>
    <cellStyle name="달러" xfId="42"/>
    <cellStyle name="달러 2" xfId="221"/>
    <cellStyle name="달러 2 2" xfId="17364"/>
    <cellStyle name="달러 3" xfId="17218"/>
    <cellStyle name="뒤에 오는 하이퍼링크" xfId="36821"/>
    <cellStyle name="똿뗦먛귟 [0.00]_PRODUCT DETAIL Q1" xfId="43"/>
    <cellStyle name="똿뗦먛귟_PRODUCT DETAIL Q1" xfId="44"/>
    <cellStyle name="메모 10" xfId="477"/>
    <cellStyle name="메모 10 10" xfId="13072"/>
    <cellStyle name="메모 10 10 2" xfId="16423"/>
    <cellStyle name="메모 10 10 2 2" xfId="33564"/>
    <cellStyle name="메모 10 10 3" xfId="30213"/>
    <cellStyle name="메모 10 11" xfId="13150"/>
    <cellStyle name="메모 10 11 2" xfId="16501"/>
    <cellStyle name="메모 10 11 2 2" xfId="33642"/>
    <cellStyle name="메모 10 11 3" xfId="30291"/>
    <cellStyle name="메모 10 12" xfId="13244"/>
    <cellStyle name="메모 10 12 2" xfId="16595"/>
    <cellStyle name="메모 10 12 2 2" xfId="33736"/>
    <cellStyle name="메모 10 12 3" xfId="30385"/>
    <cellStyle name="메모 10 13" xfId="13330"/>
    <cellStyle name="메모 10 13 2" xfId="16681"/>
    <cellStyle name="메모 10 13 2 2" xfId="33822"/>
    <cellStyle name="메모 10 13 3" xfId="30471"/>
    <cellStyle name="메모 10 14" xfId="13417"/>
    <cellStyle name="메모 10 14 2" xfId="16768"/>
    <cellStyle name="메모 10 14 2 2" xfId="33909"/>
    <cellStyle name="메모 10 14 3" xfId="30558"/>
    <cellStyle name="메모 10 15" xfId="13491"/>
    <cellStyle name="메모 10 15 2" xfId="16842"/>
    <cellStyle name="메모 10 15 2 2" xfId="33983"/>
    <cellStyle name="메모 10 15 3" xfId="30632"/>
    <cellStyle name="메모 10 16" xfId="13554"/>
    <cellStyle name="메모 10 16 2" xfId="16905"/>
    <cellStyle name="메모 10 16 2 2" xfId="34046"/>
    <cellStyle name="메모 10 16 3" xfId="30695"/>
    <cellStyle name="메모 10 17" xfId="13619"/>
    <cellStyle name="메모 10 17 2" xfId="16970"/>
    <cellStyle name="메모 10 17 2 2" xfId="34111"/>
    <cellStyle name="메모 10 17 3" xfId="30760"/>
    <cellStyle name="메모 10 18" xfId="13681"/>
    <cellStyle name="메모 10 18 2" xfId="17032"/>
    <cellStyle name="메모 10 18 2 2" xfId="34173"/>
    <cellStyle name="메모 10 18 3" xfId="30822"/>
    <cellStyle name="메모 10 19" xfId="13826"/>
    <cellStyle name="메모 10 19 2" xfId="17165"/>
    <cellStyle name="메모 10 19 2 2" xfId="34306"/>
    <cellStyle name="메모 10 19 3" xfId="30967"/>
    <cellStyle name="메모 10 2" xfId="943"/>
    <cellStyle name="메모 10 2 2" xfId="1354"/>
    <cellStyle name="메모 10 2 2 2" xfId="2252"/>
    <cellStyle name="메모 10 2 2 2 2" xfId="15558"/>
    <cellStyle name="메모 10 2 2 2 2 2" xfId="32699"/>
    <cellStyle name="메모 10 2 2 2 3" xfId="19395"/>
    <cellStyle name="메모 10 2 2 3" xfId="14662"/>
    <cellStyle name="메모 10 2 2 3 2" xfId="31803"/>
    <cellStyle name="메모 10 2 2 4" xfId="18497"/>
    <cellStyle name="메모 10 2 3" xfId="1857"/>
    <cellStyle name="메모 10 2 3 2" xfId="15163"/>
    <cellStyle name="메모 10 2 3 2 2" xfId="32304"/>
    <cellStyle name="메모 10 2 3 3" xfId="19000"/>
    <cellStyle name="메모 10 2 4" xfId="14258"/>
    <cellStyle name="메모 10 2 4 2" xfId="31399"/>
    <cellStyle name="메모 10 2 5" xfId="18086"/>
    <cellStyle name="메모 10 20" xfId="13944"/>
    <cellStyle name="메모 10 20 2" xfId="31085"/>
    <cellStyle name="메모 10 21" xfId="17620"/>
    <cellStyle name="메모 10 3" xfId="790"/>
    <cellStyle name="메모 10 3 2" xfId="1243"/>
    <cellStyle name="메모 10 3 2 2" xfId="2141"/>
    <cellStyle name="메모 10 3 2 2 2" xfId="15447"/>
    <cellStyle name="메모 10 3 2 2 2 2" xfId="32588"/>
    <cellStyle name="메모 10 3 2 2 3" xfId="19284"/>
    <cellStyle name="메모 10 3 2 3" xfId="14551"/>
    <cellStyle name="메모 10 3 2 3 2" xfId="31692"/>
    <cellStyle name="메모 10 3 2 4" xfId="18386"/>
    <cellStyle name="메모 10 3 3" xfId="1746"/>
    <cellStyle name="메모 10 3 3 2" xfId="15052"/>
    <cellStyle name="메모 10 3 3 2 2" xfId="32193"/>
    <cellStyle name="메모 10 3 3 3" xfId="18889"/>
    <cellStyle name="메모 10 3 4" xfId="14147"/>
    <cellStyle name="메모 10 3 4 2" xfId="31288"/>
    <cellStyle name="메모 10 3 5" xfId="17933"/>
    <cellStyle name="메모 10 4" xfId="1051"/>
    <cellStyle name="메모 10 4 2" xfId="1445"/>
    <cellStyle name="메모 10 4 2 2" xfId="2343"/>
    <cellStyle name="메모 10 4 2 2 2" xfId="15649"/>
    <cellStyle name="메모 10 4 2 2 2 2" xfId="32790"/>
    <cellStyle name="메모 10 4 2 2 3" xfId="19486"/>
    <cellStyle name="메모 10 4 2 3" xfId="14753"/>
    <cellStyle name="메모 10 4 2 3 2" xfId="31894"/>
    <cellStyle name="메모 10 4 2 4" xfId="18588"/>
    <cellStyle name="메모 10 4 3" xfId="1958"/>
    <cellStyle name="메모 10 4 3 2" xfId="15264"/>
    <cellStyle name="메모 10 4 3 2 2" xfId="32405"/>
    <cellStyle name="메모 10 4 3 3" xfId="19101"/>
    <cellStyle name="메모 10 4 4" xfId="14359"/>
    <cellStyle name="메모 10 4 4 2" xfId="31500"/>
    <cellStyle name="메모 10 4 5" xfId="18194"/>
    <cellStyle name="메모 10 5" xfId="1149"/>
    <cellStyle name="메모 10 5 2" xfId="2048"/>
    <cellStyle name="메모 10 5 2 2" xfId="15354"/>
    <cellStyle name="메모 10 5 2 2 2" xfId="32495"/>
    <cellStyle name="메모 10 5 2 3" xfId="19191"/>
    <cellStyle name="메모 10 5 3" xfId="14457"/>
    <cellStyle name="메모 10 5 3 2" xfId="31598"/>
    <cellStyle name="메모 10 5 4" xfId="18292"/>
    <cellStyle name="메모 10 6" xfId="1541"/>
    <cellStyle name="메모 10 6 2" xfId="2438"/>
    <cellStyle name="메모 10 6 2 2" xfId="15744"/>
    <cellStyle name="메모 10 6 2 2 2" xfId="32885"/>
    <cellStyle name="메모 10 6 2 3" xfId="19581"/>
    <cellStyle name="메모 10 6 3" xfId="14848"/>
    <cellStyle name="메모 10 6 3 2" xfId="31989"/>
    <cellStyle name="메모 10 6 4" xfId="18684"/>
    <cellStyle name="메모 10 7" xfId="689"/>
    <cellStyle name="메모 10 7 2" xfId="14053"/>
    <cellStyle name="메모 10 7 2 2" xfId="31194"/>
    <cellStyle name="메모 10 7 3" xfId="17832"/>
    <cellStyle name="메모 10 8" xfId="1652"/>
    <cellStyle name="메모 10 8 2" xfId="14958"/>
    <cellStyle name="메모 10 8 2 2" xfId="32099"/>
    <cellStyle name="메모 10 8 3" xfId="18795"/>
    <cellStyle name="메모 10 9" xfId="12960"/>
    <cellStyle name="메모 10 9 2" xfId="16318"/>
    <cellStyle name="메모 10 9 2 2" xfId="33459"/>
    <cellStyle name="메모 10 9 3" xfId="30101"/>
    <cellStyle name="메모 11" xfId="459"/>
    <cellStyle name="메모 11 10" xfId="13055"/>
    <cellStyle name="메모 11 10 2" xfId="16406"/>
    <cellStyle name="메모 11 10 2 2" xfId="33547"/>
    <cellStyle name="메모 11 10 3" xfId="30196"/>
    <cellStyle name="메모 11 11" xfId="13136"/>
    <cellStyle name="메모 11 11 2" xfId="16487"/>
    <cellStyle name="메모 11 11 2 2" xfId="33628"/>
    <cellStyle name="메모 11 11 3" xfId="30277"/>
    <cellStyle name="메모 11 12" xfId="13227"/>
    <cellStyle name="메모 11 12 2" xfId="16578"/>
    <cellStyle name="메모 11 12 2 2" xfId="33719"/>
    <cellStyle name="메모 11 12 3" xfId="30368"/>
    <cellStyle name="메모 11 13" xfId="12890"/>
    <cellStyle name="메모 11 13 2" xfId="16248"/>
    <cellStyle name="메모 11 13 2 2" xfId="33389"/>
    <cellStyle name="메모 11 13 3" xfId="30031"/>
    <cellStyle name="메모 11 14" xfId="13402"/>
    <cellStyle name="메모 11 14 2" xfId="16753"/>
    <cellStyle name="메모 11 14 2 2" xfId="33894"/>
    <cellStyle name="메모 11 14 3" xfId="30543"/>
    <cellStyle name="메모 11 15" xfId="13480"/>
    <cellStyle name="메모 11 15 2" xfId="16831"/>
    <cellStyle name="메모 11 15 2 2" xfId="33972"/>
    <cellStyle name="메모 11 15 3" xfId="30621"/>
    <cellStyle name="메모 11 16" xfId="13540"/>
    <cellStyle name="메모 11 16 2" xfId="16891"/>
    <cellStyle name="메모 11 16 2 2" xfId="34032"/>
    <cellStyle name="메모 11 16 3" xfId="30681"/>
    <cellStyle name="메모 11 17" xfId="13605"/>
    <cellStyle name="메모 11 17 2" xfId="16956"/>
    <cellStyle name="메모 11 17 2 2" xfId="34097"/>
    <cellStyle name="메모 11 17 3" xfId="30746"/>
    <cellStyle name="메모 11 18" xfId="13668"/>
    <cellStyle name="메모 11 18 2" xfId="17019"/>
    <cellStyle name="메모 11 18 2 2" xfId="34160"/>
    <cellStyle name="메모 11 18 3" xfId="30809"/>
    <cellStyle name="메모 11 19" xfId="13728"/>
    <cellStyle name="메모 11 19 2" xfId="17079"/>
    <cellStyle name="메모 11 19 2 2" xfId="34220"/>
    <cellStyle name="메모 11 19 3" xfId="30869"/>
    <cellStyle name="메모 11 2" xfId="929"/>
    <cellStyle name="메모 11 2 2" xfId="1341"/>
    <cellStyle name="메모 11 2 2 2" xfId="2239"/>
    <cellStyle name="메모 11 2 2 2 2" xfId="15545"/>
    <cellStyle name="메모 11 2 2 2 2 2" xfId="32686"/>
    <cellStyle name="메모 11 2 2 2 3" xfId="19382"/>
    <cellStyle name="메모 11 2 2 3" xfId="14649"/>
    <cellStyle name="메모 11 2 2 3 2" xfId="31790"/>
    <cellStyle name="메모 11 2 2 4" xfId="18484"/>
    <cellStyle name="메모 11 2 3" xfId="1844"/>
    <cellStyle name="메모 11 2 3 2" xfId="15150"/>
    <cellStyle name="메모 11 2 3 2 2" xfId="32291"/>
    <cellStyle name="메모 11 2 3 3" xfId="18987"/>
    <cellStyle name="메모 11 2 4" xfId="14245"/>
    <cellStyle name="메모 11 2 4 2" xfId="31386"/>
    <cellStyle name="메모 11 2 5" xfId="18072"/>
    <cellStyle name="메모 11 20" xfId="13931"/>
    <cellStyle name="메모 11 20 2" xfId="31072"/>
    <cellStyle name="메모 11 21" xfId="17602"/>
    <cellStyle name="메모 11 3" xfId="782"/>
    <cellStyle name="메모 11 3 2" xfId="1235"/>
    <cellStyle name="메모 11 3 2 2" xfId="2133"/>
    <cellStyle name="메모 11 3 2 2 2" xfId="15439"/>
    <cellStyle name="메모 11 3 2 2 2 2" xfId="32580"/>
    <cellStyle name="메모 11 3 2 2 3" xfId="19276"/>
    <cellStyle name="메모 11 3 2 3" xfId="14543"/>
    <cellStyle name="메모 11 3 2 3 2" xfId="31684"/>
    <cellStyle name="메모 11 3 2 4" xfId="18378"/>
    <cellStyle name="메모 11 3 3" xfId="1738"/>
    <cellStyle name="메모 11 3 3 2" xfId="15044"/>
    <cellStyle name="메모 11 3 3 2 2" xfId="32185"/>
    <cellStyle name="메모 11 3 3 3" xfId="18881"/>
    <cellStyle name="메모 11 3 4" xfId="14139"/>
    <cellStyle name="메모 11 3 4 2" xfId="31280"/>
    <cellStyle name="메모 11 3 5" xfId="17925"/>
    <cellStyle name="메모 11 4" xfId="1041"/>
    <cellStyle name="메모 11 4 2" xfId="1437"/>
    <cellStyle name="메모 11 4 2 2" xfId="2335"/>
    <cellStyle name="메모 11 4 2 2 2" xfId="15641"/>
    <cellStyle name="메모 11 4 2 2 2 2" xfId="32782"/>
    <cellStyle name="메모 11 4 2 2 3" xfId="19478"/>
    <cellStyle name="메모 11 4 2 3" xfId="14745"/>
    <cellStyle name="메모 11 4 2 3 2" xfId="31886"/>
    <cellStyle name="메모 11 4 2 4" xfId="18580"/>
    <cellStyle name="메모 11 4 3" xfId="1948"/>
    <cellStyle name="메모 11 4 3 2" xfId="15254"/>
    <cellStyle name="메모 11 4 3 2 2" xfId="32395"/>
    <cellStyle name="메모 11 4 3 3" xfId="19091"/>
    <cellStyle name="메모 11 4 4" xfId="14349"/>
    <cellStyle name="메모 11 4 4 2" xfId="31490"/>
    <cellStyle name="메모 11 4 5" xfId="18184"/>
    <cellStyle name="메모 11 5" xfId="1138"/>
    <cellStyle name="메모 11 5 2" xfId="2040"/>
    <cellStyle name="메모 11 5 2 2" xfId="15346"/>
    <cellStyle name="메모 11 5 2 2 2" xfId="32487"/>
    <cellStyle name="메모 11 5 2 3" xfId="19183"/>
    <cellStyle name="메모 11 5 3" xfId="14446"/>
    <cellStyle name="메모 11 5 3 2" xfId="31587"/>
    <cellStyle name="메모 11 5 4" xfId="18281"/>
    <cellStyle name="메모 11 6" xfId="1533"/>
    <cellStyle name="메모 11 6 2" xfId="2430"/>
    <cellStyle name="메모 11 6 2 2" xfId="15736"/>
    <cellStyle name="메모 11 6 2 2 2" xfId="32877"/>
    <cellStyle name="메모 11 6 2 3" xfId="19573"/>
    <cellStyle name="메모 11 6 3" xfId="14840"/>
    <cellStyle name="메모 11 6 3 2" xfId="31981"/>
    <cellStyle name="메모 11 6 4" xfId="18676"/>
    <cellStyle name="메모 11 7" xfId="677"/>
    <cellStyle name="메모 11 7 2" xfId="14042"/>
    <cellStyle name="메모 11 7 2 2" xfId="31183"/>
    <cellStyle name="메모 11 7 3" xfId="17820"/>
    <cellStyle name="메모 11 8" xfId="1639"/>
    <cellStyle name="메모 11 8 2" xfId="14945"/>
    <cellStyle name="메모 11 8 2 2" xfId="32086"/>
    <cellStyle name="메모 11 8 3" xfId="18782"/>
    <cellStyle name="메모 11 9" xfId="12944"/>
    <cellStyle name="메모 11 9 2" xfId="16302"/>
    <cellStyle name="메모 11 9 2 2" xfId="33443"/>
    <cellStyle name="메모 11 9 3" xfId="30085"/>
    <cellStyle name="메모 12" xfId="481"/>
    <cellStyle name="메모 12 10" xfId="13076"/>
    <cellStyle name="메모 12 10 2" xfId="16427"/>
    <cellStyle name="메모 12 10 2 2" xfId="33568"/>
    <cellStyle name="메모 12 10 3" xfId="30217"/>
    <cellStyle name="메모 12 11" xfId="13154"/>
    <cellStyle name="메모 12 11 2" xfId="16505"/>
    <cellStyle name="메모 12 11 2 2" xfId="33646"/>
    <cellStyle name="메모 12 11 3" xfId="30295"/>
    <cellStyle name="메모 12 12" xfId="13248"/>
    <cellStyle name="메모 12 12 2" xfId="16599"/>
    <cellStyle name="메모 12 12 2 2" xfId="33740"/>
    <cellStyle name="메모 12 12 3" xfId="30389"/>
    <cellStyle name="메모 12 13" xfId="13334"/>
    <cellStyle name="메모 12 13 2" xfId="16685"/>
    <cellStyle name="메모 12 13 2 2" xfId="33826"/>
    <cellStyle name="메모 12 13 3" xfId="30475"/>
    <cellStyle name="메모 12 14" xfId="13420"/>
    <cellStyle name="메모 12 14 2" xfId="16771"/>
    <cellStyle name="메모 12 14 2 2" xfId="33912"/>
    <cellStyle name="메모 12 14 3" xfId="30561"/>
    <cellStyle name="메모 12 15" xfId="13494"/>
    <cellStyle name="메모 12 15 2" xfId="16845"/>
    <cellStyle name="메모 12 15 2 2" xfId="33986"/>
    <cellStyle name="메모 12 15 3" xfId="30635"/>
    <cellStyle name="메모 12 16" xfId="13556"/>
    <cellStyle name="메모 12 16 2" xfId="16907"/>
    <cellStyle name="메모 12 16 2 2" xfId="34048"/>
    <cellStyle name="메모 12 16 3" xfId="30697"/>
    <cellStyle name="메모 12 17" xfId="13622"/>
    <cellStyle name="메모 12 17 2" xfId="16973"/>
    <cellStyle name="메모 12 17 2 2" xfId="34114"/>
    <cellStyle name="메모 12 17 3" xfId="30763"/>
    <cellStyle name="메모 12 18" xfId="13684"/>
    <cellStyle name="메모 12 18 2" xfId="17035"/>
    <cellStyle name="메모 12 18 2 2" xfId="34176"/>
    <cellStyle name="메모 12 18 3" xfId="30825"/>
    <cellStyle name="메모 12 19" xfId="13829"/>
    <cellStyle name="메모 12 19 2" xfId="17168"/>
    <cellStyle name="메모 12 19 2 2" xfId="34309"/>
    <cellStyle name="메모 12 19 3" xfId="30970"/>
    <cellStyle name="메모 12 2" xfId="946"/>
    <cellStyle name="메모 12 2 2" xfId="1357"/>
    <cellStyle name="메모 12 2 2 2" xfId="2255"/>
    <cellStyle name="메모 12 2 2 2 2" xfId="15561"/>
    <cellStyle name="메모 12 2 2 2 2 2" xfId="32702"/>
    <cellStyle name="메모 12 2 2 2 3" xfId="19398"/>
    <cellStyle name="메모 12 2 2 3" xfId="14665"/>
    <cellStyle name="메모 12 2 2 3 2" xfId="31806"/>
    <cellStyle name="메모 12 2 2 4" xfId="18500"/>
    <cellStyle name="메모 12 2 3" xfId="1860"/>
    <cellStyle name="메모 12 2 3 2" xfId="15166"/>
    <cellStyle name="메모 12 2 3 2 2" xfId="32307"/>
    <cellStyle name="메모 12 2 3 3" xfId="19003"/>
    <cellStyle name="메모 12 2 4" xfId="14261"/>
    <cellStyle name="메모 12 2 4 2" xfId="31402"/>
    <cellStyle name="메모 12 2 5" xfId="18089"/>
    <cellStyle name="메모 12 20" xfId="13947"/>
    <cellStyle name="메모 12 20 2" xfId="31088"/>
    <cellStyle name="메모 12 21" xfId="17624"/>
    <cellStyle name="메모 12 3" xfId="793"/>
    <cellStyle name="메모 12 3 2" xfId="1246"/>
    <cellStyle name="메모 12 3 2 2" xfId="2144"/>
    <cellStyle name="메모 12 3 2 2 2" xfId="15450"/>
    <cellStyle name="메모 12 3 2 2 2 2" xfId="32591"/>
    <cellStyle name="메모 12 3 2 2 3" xfId="19287"/>
    <cellStyle name="메모 12 3 2 3" xfId="14554"/>
    <cellStyle name="메모 12 3 2 3 2" xfId="31695"/>
    <cellStyle name="메모 12 3 2 4" xfId="18389"/>
    <cellStyle name="메모 12 3 3" xfId="1749"/>
    <cellStyle name="메모 12 3 3 2" xfId="15055"/>
    <cellStyle name="메모 12 3 3 2 2" xfId="32196"/>
    <cellStyle name="메모 12 3 3 3" xfId="18892"/>
    <cellStyle name="메모 12 3 4" xfId="14150"/>
    <cellStyle name="메모 12 3 4 2" xfId="31291"/>
    <cellStyle name="메모 12 3 5" xfId="17936"/>
    <cellStyle name="메모 12 4" xfId="1054"/>
    <cellStyle name="메모 12 4 2" xfId="1448"/>
    <cellStyle name="메모 12 4 2 2" xfId="2346"/>
    <cellStyle name="메모 12 4 2 2 2" xfId="15652"/>
    <cellStyle name="메모 12 4 2 2 2 2" xfId="32793"/>
    <cellStyle name="메모 12 4 2 2 3" xfId="19489"/>
    <cellStyle name="메모 12 4 2 3" xfId="14756"/>
    <cellStyle name="메모 12 4 2 3 2" xfId="31897"/>
    <cellStyle name="메모 12 4 2 4" xfId="18591"/>
    <cellStyle name="메모 12 4 3" xfId="1961"/>
    <cellStyle name="메모 12 4 3 2" xfId="15267"/>
    <cellStyle name="메모 12 4 3 2 2" xfId="32408"/>
    <cellStyle name="메모 12 4 3 3" xfId="19104"/>
    <cellStyle name="메모 12 4 4" xfId="14362"/>
    <cellStyle name="메모 12 4 4 2" xfId="31503"/>
    <cellStyle name="메모 12 4 5" xfId="18197"/>
    <cellStyle name="메모 12 5" xfId="1152"/>
    <cellStyle name="메모 12 5 2" xfId="2051"/>
    <cellStyle name="메모 12 5 2 2" xfId="15357"/>
    <cellStyle name="메모 12 5 2 2 2" xfId="32498"/>
    <cellStyle name="메모 12 5 2 3" xfId="19194"/>
    <cellStyle name="메모 12 5 3" xfId="14460"/>
    <cellStyle name="메모 12 5 3 2" xfId="31601"/>
    <cellStyle name="메모 12 5 4" xfId="18295"/>
    <cellStyle name="메모 12 6" xfId="1544"/>
    <cellStyle name="메모 12 6 2" xfId="2441"/>
    <cellStyle name="메모 12 6 2 2" xfId="15747"/>
    <cellStyle name="메모 12 6 2 2 2" xfId="32888"/>
    <cellStyle name="메모 12 6 2 3" xfId="19584"/>
    <cellStyle name="메모 12 6 3" xfId="14851"/>
    <cellStyle name="메모 12 6 3 2" xfId="31992"/>
    <cellStyle name="메모 12 6 4" xfId="18687"/>
    <cellStyle name="메모 12 7" xfId="692"/>
    <cellStyle name="메모 12 7 2" xfId="14056"/>
    <cellStyle name="메모 12 7 2 2" xfId="31197"/>
    <cellStyle name="메모 12 7 3" xfId="17835"/>
    <cellStyle name="메모 12 8" xfId="1655"/>
    <cellStyle name="메모 12 8 2" xfId="14961"/>
    <cellStyle name="메모 12 8 2 2" xfId="32102"/>
    <cellStyle name="메모 12 8 3" xfId="18798"/>
    <cellStyle name="메모 12 9" xfId="12964"/>
    <cellStyle name="메모 12 9 2" xfId="16322"/>
    <cellStyle name="메모 12 9 2 2" xfId="33463"/>
    <cellStyle name="메모 12 9 3" xfId="30105"/>
    <cellStyle name="메모 13" xfId="416"/>
    <cellStyle name="메모 13 10" xfId="13016"/>
    <cellStyle name="메모 13 10 2" xfId="16367"/>
    <cellStyle name="메모 13 10 2 2" xfId="33508"/>
    <cellStyle name="메모 13 10 3" xfId="30157"/>
    <cellStyle name="메모 13 11" xfId="13104"/>
    <cellStyle name="메모 13 11 2" xfId="16455"/>
    <cellStyle name="메모 13 11 2 2" xfId="33596"/>
    <cellStyle name="메모 13 11 3" xfId="30245"/>
    <cellStyle name="메모 13 12" xfId="13189"/>
    <cellStyle name="메모 13 12 2" xfId="16540"/>
    <cellStyle name="메모 13 12 2 2" xfId="33681"/>
    <cellStyle name="메모 13 12 3" xfId="30330"/>
    <cellStyle name="메모 13 13" xfId="13124"/>
    <cellStyle name="메모 13 13 2" xfId="16475"/>
    <cellStyle name="메모 13 13 2 2" xfId="33616"/>
    <cellStyle name="메모 13 13 3" xfId="30265"/>
    <cellStyle name="메모 13 14" xfId="13370"/>
    <cellStyle name="메모 13 14 2" xfId="16721"/>
    <cellStyle name="메모 13 14 2 2" xfId="33862"/>
    <cellStyle name="메모 13 14 3" xfId="30511"/>
    <cellStyle name="메모 13 15" xfId="13444"/>
    <cellStyle name="메모 13 15 2" xfId="16795"/>
    <cellStyle name="메모 13 15 2 2" xfId="33936"/>
    <cellStyle name="메모 13 15 3" xfId="30585"/>
    <cellStyle name="메모 13 16" xfId="13509"/>
    <cellStyle name="메모 13 16 2" xfId="16860"/>
    <cellStyle name="메모 13 16 2 2" xfId="34001"/>
    <cellStyle name="메모 13 16 3" xfId="30650"/>
    <cellStyle name="메모 13 17" xfId="13579"/>
    <cellStyle name="메모 13 17 2" xfId="16930"/>
    <cellStyle name="메모 13 17 2 2" xfId="34071"/>
    <cellStyle name="메모 13 17 3" xfId="30720"/>
    <cellStyle name="메모 13 18" xfId="13642"/>
    <cellStyle name="메모 13 18 2" xfId="16993"/>
    <cellStyle name="메모 13 18 2 2" xfId="34134"/>
    <cellStyle name="메모 13 18 3" xfId="30783"/>
    <cellStyle name="메모 13 19" xfId="13711"/>
    <cellStyle name="메모 13 19 2" xfId="17062"/>
    <cellStyle name="메모 13 19 2 2" xfId="34203"/>
    <cellStyle name="메모 13 19 3" xfId="30852"/>
    <cellStyle name="메모 13 2" xfId="900"/>
    <cellStyle name="메모 13 2 2" xfId="1315"/>
    <cellStyle name="메모 13 2 2 2" xfId="2213"/>
    <cellStyle name="메모 13 2 2 2 2" xfId="15519"/>
    <cellStyle name="메모 13 2 2 2 2 2" xfId="32660"/>
    <cellStyle name="메모 13 2 2 2 3" xfId="19356"/>
    <cellStyle name="메모 13 2 2 3" xfId="14623"/>
    <cellStyle name="메모 13 2 2 3 2" xfId="31764"/>
    <cellStyle name="메모 13 2 2 4" xfId="18458"/>
    <cellStyle name="메모 13 2 3" xfId="1818"/>
    <cellStyle name="메모 13 2 3 2" xfId="15124"/>
    <cellStyle name="메모 13 2 3 2 2" xfId="32265"/>
    <cellStyle name="메모 13 2 3 3" xfId="18961"/>
    <cellStyle name="메모 13 2 4" xfId="14219"/>
    <cellStyle name="메모 13 2 4 2" xfId="31360"/>
    <cellStyle name="메모 13 2 5" xfId="18043"/>
    <cellStyle name="메모 13 20" xfId="13905"/>
    <cellStyle name="메모 13 20 2" xfId="31046"/>
    <cellStyle name="메모 13 21" xfId="17559"/>
    <cellStyle name="메모 13 3" xfId="758"/>
    <cellStyle name="메모 13 3 2" xfId="1211"/>
    <cellStyle name="메모 13 3 2 2" xfId="2109"/>
    <cellStyle name="메모 13 3 2 2 2" xfId="15415"/>
    <cellStyle name="메모 13 3 2 2 2 2" xfId="32556"/>
    <cellStyle name="메모 13 3 2 2 3" xfId="19252"/>
    <cellStyle name="메모 13 3 2 3" xfId="14519"/>
    <cellStyle name="메모 13 3 2 3 2" xfId="31660"/>
    <cellStyle name="메모 13 3 2 4" xfId="18354"/>
    <cellStyle name="메모 13 3 3" xfId="1714"/>
    <cellStyle name="메모 13 3 3 2" xfId="15020"/>
    <cellStyle name="메모 13 3 3 2 2" xfId="32161"/>
    <cellStyle name="메모 13 3 3 3" xfId="18857"/>
    <cellStyle name="메모 13 3 4" xfId="14115"/>
    <cellStyle name="메모 13 3 4 2" xfId="31256"/>
    <cellStyle name="메모 13 3 5" xfId="17901"/>
    <cellStyle name="메모 13 4" xfId="1015"/>
    <cellStyle name="메모 13 4 2" xfId="1413"/>
    <cellStyle name="메모 13 4 2 2" xfId="2311"/>
    <cellStyle name="메모 13 4 2 2 2" xfId="15617"/>
    <cellStyle name="메모 13 4 2 2 2 2" xfId="32758"/>
    <cellStyle name="메모 13 4 2 2 3" xfId="19454"/>
    <cellStyle name="메모 13 4 2 3" xfId="14721"/>
    <cellStyle name="메모 13 4 2 3 2" xfId="31862"/>
    <cellStyle name="메모 13 4 2 4" xfId="18556"/>
    <cellStyle name="메모 13 4 3" xfId="1922"/>
    <cellStyle name="메모 13 4 3 2" xfId="15228"/>
    <cellStyle name="메모 13 4 3 2 2" xfId="32369"/>
    <cellStyle name="메모 13 4 3 3" xfId="19065"/>
    <cellStyle name="메모 13 4 4" xfId="14323"/>
    <cellStyle name="메모 13 4 4 2" xfId="31464"/>
    <cellStyle name="메모 13 4 5" xfId="18158"/>
    <cellStyle name="메모 13 5" xfId="1114"/>
    <cellStyle name="메모 13 5 2" xfId="2016"/>
    <cellStyle name="메모 13 5 2 2" xfId="15322"/>
    <cellStyle name="메모 13 5 2 2 2" xfId="32463"/>
    <cellStyle name="메모 13 5 2 3" xfId="19159"/>
    <cellStyle name="메모 13 5 3" xfId="14422"/>
    <cellStyle name="메모 13 5 3 2" xfId="31563"/>
    <cellStyle name="메모 13 5 4" xfId="18257"/>
    <cellStyle name="메모 13 6" xfId="1509"/>
    <cellStyle name="메모 13 6 2" xfId="2406"/>
    <cellStyle name="메모 13 6 2 2" xfId="15712"/>
    <cellStyle name="메모 13 6 2 2 2" xfId="32853"/>
    <cellStyle name="메모 13 6 2 3" xfId="19549"/>
    <cellStyle name="메모 13 6 3" xfId="14816"/>
    <cellStyle name="메모 13 6 3 2" xfId="31957"/>
    <cellStyle name="메모 13 6 4" xfId="18652"/>
    <cellStyle name="메모 13 7" xfId="648"/>
    <cellStyle name="메모 13 7 2" xfId="14016"/>
    <cellStyle name="메모 13 7 2 2" xfId="31157"/>
    <cellStyle name="메모 13 7 3" xfId="17791"/>
    <cellStyle name="메모 13 8" xfId="1613"/>
    <cellStyle name="메모 13 8 2" xfId="14919"/>
    <cellStyle name="메모 13 8 2 2" xfId="32060"/>
    <cellStyle name="메모 13 8 3" xfId="18756"/>
    <cellStyle name="메모 13 9" xfId="12906"/>
    <cellStyle name="메모 13 9 2" xfId="16264"/>
    <cellStyle name="메모 13 9 2 2" xfId="33405"/>
    <cellStyle name="메모 13 9 3" xfId="30047"/>
    <cellStyle name="메모 14" xfId="534"/>
    <cellStyle name="메모 14 2" xfId="2616"/>
    <cellStyle name="메모 14 2 2" xfId="15826"/>
    <cellStyle name="메모 14 2 2 2" xfId="32967"/>
    <cellStyle name="메모 14 2 3" xfId="19757"/>
    <cellStyle name="메모 14 3" xfId="2617"/>
    <cellStyle name="메모 14 3 2" xfId="15827"/>
    <cellStyle name="메모 14 3 2 2" xfId="32968"/>
    <cellStyle name="메모 14 3 3" xfId="19758"/>
    <cellStyle name="메모 14 4" xfId="17677"/>
    <cellStyle name="메모 15" xfId="2618"/>
    <cellStyle name="메모 15 2" xfId="2619"/>
    <cellStyle name="메모 15 2 2" xfId="15829"/>
    <cellStyle name="메모 15 2 2 2" xfId="32970"/>
    <cellStyle name="메모 15 2 3" xfId="19760"/>
    <cellStyle name="메모 15 3" xfId="2620"/>
    <cellStyle name="메모 15 3 2" xfId="15830"/>
    <cellStyle name="메모 15 3 2 2" xfId="32971"/>
    <cellStyle name="메모 15 3 3" xfId="19761"/>
    <cellStyle name="메모 15 4" xfId="15828"/>
    <cellStyle name="메모 15 4 2" xfId="32969"/>
    <cellStyle name="메모 15 5" xfId="19759"/>
    <cellStyle name="메모 16" xfId="2621"/>
    <cellStyle name="메모 16 2" xfId="2622"/>
    <cellStyle name="메모 16 2 2" xfId="15832"/>
    <cellStyle name="메모 16 2 2 2" xfId="32973"/>
    <cellStyle name="메모 16 2 3" xfId="19763"/>
    <cellStyle name="메모 16 3" xfId="2623"/>
    <cellStyle name="메모 16 3 2" xfId="15833"/>
    <cellStyle name="메모 16 3 2 2" xfId="32974"/>
    <cellStyle name="메모 16 3 3" xfId="19764"/>
    <cellStyle name="메모 16 4" xfId="15831"/>
    <cellStyle name="메모 16 4 2" xfId="32972"/>
    <cellStyle name="메모 16 5" xfId="19762"/>
    <cellStyle name="메모 17" xfId="2624"/>
    <cellStyle name="메모 17 2" xfId="2625"/>
    <cellStyle name="메모 17 2 2" xfId="15835"/>
    <cellStyle name="메모 17 2 2 2" xfId="32976"/>
    <cellStyle name="메모 17 2 3" xfId="19766"/>
    <cellStyle name="메모 17 3" xfId="2626"/>
    <cellStyle name="메모 17 3 2" xfId="15836"/>
    <cellStyle name="메모 17 3 2 2" xfId="32977"/>
    <cellStyle name="메모 17 3 3" xfId="19767"/>
    <cellStyle name="메모 17 4" xfId="15834"/>
    <cellStyle name="메모 17 4 2" xfId="32975"/>
    <cellStyle name="메모 17 5" xfId="19765"/>
    <cellStyle name="메모 18" xfId="2627"/>
    <cellStyle name="메모 18 2" xfId="2628"/>
    <cellStyle name="메모 18 2 2" xfId="15838"/>
    <cellStyle name="메모 18 2 2 2" xfId="32979"/>
    <cellStyle name="메모 18 2 3" xfId="19769"/>
    <cellStyle name="메모 18 3" xfId="2629"/>
    <cellStyle name="메모 18 3 2" xfId="15839"/>
    <cellStyle name="메모 18 3 2 2" xfId="32980"/>
    <cellStyle name="메모 18 3 3" xfId="19770"/>
    <cellStyle name="메모 18 4" xfId="15837"/>
    <cellStyle name="메모 18 4 2" xfId="32978"/>
    <cellStyle name="메모 18 5" xfId="19768"/>
    <cellStyle name="메모 19" xfId="2630"/>
    <cellStyle name="메모 19 2" xfId="2631"/>
    <cellStyle name="메모 19 2 2" xfId="15841"/>
    <cellStyle name="메모 19 2 2 2" xfId="32982"/>
    <cellStyle name="메모 19 2 3" xfId="19772"/>
    <cellStyle name="메모 19 3" xfId="2632"/>
    <cellStyle name="메모 19 3 2" xfId="15842"/>
    <cellStyle name="메모 19 3 2 2" xfId="32983"/>
    <cellStyle name="메모 19 3 3" xfId="19773"/>
    <cellStyle name="메모 19 4" xfId="15840"/>
    <cellStyle name="메모 19 4 2" xfId="32981"/>
    <cellStyle name="메모 19 5" xfId="19771"/>
    <cellStyle name="메모 2" xfId="222"/>
    <cellStyle name="메모 2 10" xfId="12930"/>
    <cellStyle name="메모 2 10 2" xfId="16288"/>
    <cellStyle name="메모 2 10 2 2" xfId="33429"/>
    <cellStyle name="메모 2 10 3" xfId="30071"/>
    <cellStyle name="메모 2 11" xfId="12612"/>
    <cellStyle name="메모 2 11 2" xfId="15975"/>
    <cellStyle name="메모 2 11 2 2" xfId="33116"/>
    <cellStyle name="메모 2 11 3" xfId="29753"/>
    <cellStyle name="메모 2 12" xfId="12825"/>
    <cellStyle name="메모 2 12 2" xfId="16183"/>
    <cellStyle name="메모 2 12 2 2" xfId="33324"/>
    <cellStyle name="메모 2 12 3" xfId="29966"/>
    <cellStyle name="메모 2 13" xfId="13085"/>
    <cellStyle name="메모 2 13 2" xfId="16436"/>
    <cellStyle name="메모 2 13 2 2" xfId="33577"/>
    <cellStyle name="메모 2 13 3" xfId="30226"/>
    <cellStyle name="메모 2 14" xfId="13161"/>
    <cellStyle name="메모 2 14 2" xfId="16512"/>
    <cellStyle name="메모 2 14 2 2" xfId="33653"/>
    <cellStyle name="메모 2 14 3" xfId="30302"/>
    <cellStyle name="메모 2 15" xfId="13211"/>
    <cellStyle name="메모 2 15 2" xfId="16562"/>
    <cellStyle name="메모 2 15 2 2" xfId="33703"/>
    <cellStyle name="메모 2 15 3" xfId="30352"/>
    <cellStyle name="메모 2 16" xfId="13317"/>
    <cellStyle name="메모 2 16 2" xfId="16668"/>
    <cellStyle name="메모 2 16 2 2" xfId="33809"/>
    <cellStyle name="메모 2 16 3" xfId="30458"/>
    <cellStyle name="메모 2 17" xfId="12828"/>
    <cellStyle name="메모 2 17 2" xfId="16186"/>
    <cellStyle name="메모 2 17 2 2" xfId="33327"/>
    <cellStyle name="메모 2 17 3" xfId="29969"/>
    <cellStyle name="메모 2 18" xfId="12613"/>
    <cellStyle name="메모 2 18 2" xfId="15976"/>
    <cellStyle name="메모 2 18 2 2" xfId="33117"/>
    <cellStyle name="메모 2 18 3" xfId="29754"/>
    <cellStyle name="메모 2 19" xfId="12621"/>
    <cellStyle name="메모 2 19 2" xfId="15984"/>
    <cellStyle name="메모 2 19 2 2" xfId="33125"/>
    <cellStyle name="메모 2 19 3" xfId="29762"/>
    <cellStyle name="메모 2 2" xfId="810"/>
    <cellStyle name="메모 2 2 2" xfId="1255"/>
    <cellStyle name="메모 2 2 2 2" xfId="2153"/>
    <cellStyle name="메모 2 2 2 2 2" xfId="15459"/>
    <cellStyle name="메모 2 2 2 2 2 2" xfId="32600"/>
    <cellStyle name="메모 2 2 2 2 3" xfId="19296"/>
    <cellStyle name="메모 2 2 2 3" xfId="14563"/>
    <cellStyle name="메모 2 2 2 3 2" xfId="31704"/>
    <cellStyle name="메모 2 2 2 4" xfId="18398"/>
    <cellStyle name="메모 2 2 3" xfId="1758"/>
    <cellStyle name="메모 2 2 3 2" xfId="15064"/>
    <cellStyle name="메모 2 2 3 2 2" xfId="32205"/>
    <cellStyle name="메모 2 2 3 3" xfId="18901"/>
    <cellStyle name="메모 2 2 4" xfId="14159"/>
    <cellStyle name="메모 2 2 4 2" xfId="31300"/>
    <cellStyle name="메모 2 2 5" xfId="17953"/>
    <cellStyle name="메모 2 20" xfId="13751"/>
    <cellStyle name="메모 2 20 2" xfId="17102"/>
    <cellStyle name="메모 2 20 2 2" xfId="34243"/>
    <cellStyle name="메모 2 20 3" xfId="30892"/>
    <cellStyle name="메모 2 21" xfId="13766"/>
    <cellStyle name="메모 2 21 2" xfId="17115"/>
    <cellStyle name="메모 2 21 2 2" xfId="34256"/>
    <cellStyle name="메모 2 21 3" xfId="30907"/>
    <cellStyle name="메모 2 22" xfId="13845"/>
    <cellStyle name="메모 2 22 2" xfId="30986"/>
    <cellStyle name="메모 2 23" xfId="17365"/>
    <cellStyle name="메모 2 24" xfId="35488"/>
    <cellStyle name="메모 2 3" xfId="708"/>
    <cellStyle name="메모 2 3 2" xfId="1161"/>
    <cellStyle name="메모 2 3 2 2" xfId="2060"/>
    <cellStyle name="메모 2 3 2 2 2" xfId="15366"/>
    <cellStyle name="메모 2 3 2 2 2 2" xfId="32507"/>
    <cellStyle name="메모 2 3 2 2 3" xfId="19203"/>
    <cellStyle name="메모 2 3 2 3" xfId="14469"/>
    <cellStyle name="메모 2 3 2 3 2" xfId="31610"/>
    <cellStyle name="메모 2 3 2 4" xfId="18304"/>
    <cellStyle name="메모 2 3 3" xfId="1664"/>
    <cellStyle name="메모 2 3 3 2" xfId="14970"/>
    <cellStyle name="메모 2 3 3 2 2" xfId="32111"/>
    <cellStyle name="메모 2 3 3 3" xfId="18807"/>
    <cellStyle name="메모 2 3 4" xfId="14065"/>
    <cellStyle name="메모 2 3 4 2" xfId="31206"/>
    <cellStyle name="메모 2 3 5" xfId="17851"/>
    <cellStyle name="메모 2 4" xfId="961"/>
    <cellStyle name="메모 2 4 2" xfId="1365"/>
    <cellStyle name="메모 2 4 2 2" xfId="2263"/>
    <cellStyle name="메모 2 4 2 2 2" xfId="15569"/>
    <cellStyle name="메모 2 4 2 2 2 2" xfId="32710"/>
    <cellStyle name="메모 2 4 2 2 3" xfId="19406"/>
    <cellStyle name="메모 2 4 2 3" xfId="14673"/>
    <cellStyle name="메모 2 4 2 3 2" xfId="31814"/>
    <cellStyle name="메모 2 4 2 4" xfId="18508"/>
    <cellStyle name="메모 2 4 3" xfId="1868"/>
    <cellStyle name="메모 2 4 3 2" xfId="15174"/>
    <cellStyle name="메모 2 4 3 2 2" xfId="32315"/>
    <cellStyle name="메모 2 4 3 3" xfId="19011"/>
    <cellStyle name="메모 2 4 4" xfId="14269"/>
    <cellStyle name="메모 2 4 4 2" xfId="31410"/>
    <cellStyle name="메모 2 4 5" xfId="18104"/>
    <cellStyle name="메모 2 5" xfId="1062"/>
    <cellStyle name="메모 2 5 2" xfId="1969"/>
    <cellStyle name="메모 2 5 2 2" xfId="15275"/>
    <cellStyle name="메모 2 5 2 2 2" xfId="32416"/>
    <cellStyle name="메모 2 5 2 3" xfId="19112"/>
    <cellStyle name="메모 2 5 3" xfId="14370"/>
    <cellStyle name="메모 2 5 3 2" xfId="31511"/>
    <cellStyle name="메모 2 5 4" xfId="18205"/>
    <cellStyle name="메모 2 6" xfId="1462"/>
    <cellStyle name="메모 2 6 2" xfId="2359"/>
    <cellStyle name="메모 2 6 2 2" xfId="15665"/>
    <cellStyle name="메모 2 6 2 2 2" xfId="32806"/>
    <cellStyle name="메모 2 6 2 3" xfId="19502"/>
    <cellStyle name="메모 2 6 3" xfId="14769"/>
    <cellStyle name="메모 2 6 3 2" xfId="31910"/>
    <cellStyle name="메모 2 6 4" xfId="18605"/>
    <cellStyle name="메모 2 7" xfId="558"/>
    <cellStyle name="메모 2 7 2" xfId="13956"/>
    <cellStyle name="메모 2 7 2 2" xfId="31097"/>
    <cellStyle name="메모 2 7 3" xfId="17701"/>
    <cellStyle name="메모 2 8" xfId="1554"/>
    <cellStyle name="메모 2 8 2" xfId="14860"/>
    <cellStyle name="메모 2 8 2 2" xfId="32001"/>
    <cellStyle name="메모 2 8 3" xfId="18697"/>
    <cellStyle name="메모 2 9" xfId="12746"/>
    <cellStyle name="메모 2 9 2" xfId="16109"/>
    <cellStyle name="메모 2 9 2 2" xfId="33250"/>
    <cellStyle name="메모 2 9 3" xfId="29887"/>
    <cellStyle name="메모 20" xfId="2633"/>
    <cellStyle name="메모 20 2" xfId="2634"/>
    <cellStyle name="메모 20 2 2" xfId="15844"/>
    <cellStyle name="메모 20 2 2 2" xfId="32985"/>
    <cellStyle name="메모 20 2 3" xfId="19775"/>
    <cellStyle name="메모 20 3" xfId="2635"/>
    <cellStyle name="메모 20 3 2" xfId="15845"/>
    <cellStyle name="메모 20 3 2 2" xfId="32986"/>
    <cellStyle name="메모 20 3 3" xfId="19776"/>
    <cellStyle name="메모 20 4" xfId="15843"/>
    <cellStyle name="메모 20 4 2" xfId="32984"/>
    <cellStyle name="메모 20 5" xfId="19774"/>
    <cellStyle name="메모 21" xfId="2636"/>
    <cellStyle name="메모 21 2" xfId="2637"/>
    <cellStyle name="메모 21 2 2" xfId="15847"/>
    <cellStyle name="메모 21 2 2 2" xfId="32988"/>
    <cellStyle name="메모 21 2 3" xfId="19778"/>
    <cellStyle name="메모 21 3" xfId="2638"/>
    <cellStyle name="메모 21 3 2" xfId="15848"/>
    <cellStyle name="메모 21 3 2 2" xfId="32989"/>
    <cellStyle name="메모 21 3 3" xfId="19779"/>
    <cellStyle name="메모 21 4" xfId="15846"/>
    <cellStyle name="메모 21 4 2" xfId="32987"/>
    <cellStyle name="메모 21 5" xfId="19777"/>
    <cellStyle name="메모 22" xfId="2639"/>
    <cellStyle name="메모 22 2" xfId="2640"/>
    <cellStyle name="메모 22 2 2" xfId="15850"/>
    <cellStyle name="메모 22 2 2 2" xfId="32991"/>
    <cellStyle name="메모 22 2 3" xfId="19781"/>
    <cellStyle name="메모 22 3" xfId="2641"/>
    <cellStyle name="메모 22 3 2" xfId="15851"/>
    <cellStyle name="메모 22 3 2 2" xfId="32992"/>
    <cellStyle name="메모 22 3 3" xfId="19782"/>
    <cellStyle name="메모 22 4" xfId="15849"/>
    <cellStyle name="메모 22 4 2" xfId="32990"/>
    <cellStyle name="메모 22 5" xfId="19780"/>
    <cellStyle name="메모 23" xfId="2642"/>
    <cellStyle name="메모 23 2" xfId="2643"/>
    <cellStyle name="메모 23 2 2" xfId="15853"/>
    <cellStyle name="메모 23 2 2 2" xfId="32994"/>
    <cellStyle name="메모 23 2 3" xfId="19784"/>
    <cellStyle name="메모 23 3" xfId="2644"/>
    <cellStyle name="메모 23 3 2" xfId="15854"/>
    <cellStyle name="메모 23 3 2 2" xfId="32995"/>
    <cellStyle name="메모 23 3 3" xfId="19785"/>
    <cellStyle name="메모 23 4" xfId="15852"/>
    <cellStyle name="메모 23 4 2" xfId="32993"/>
    <cellStyle name="메모 23 5" xfId="19783"/>
    <cellStyle name="메모 24" xfId="2645"/>
    <cellStyle name="메모 24 2" xfId="2646"/>
    <cellStyle name="메모 24 2 2" xfId="15856"/>
    <cellStyle name="메모 24 2 2 2" xfId="32997"/>
    <cellStyle name="메모 24 2 3" xfId="19787"/>
    <cellStyle name="메모 24 3" xfId="2647"/>
    <cellStyle name="메모 24 3 2" xfId="15857"/>
    <cellStyle name="메모 24 3 2 2" xfId="32998"/>
    <cellStyle name="메모 24 3 3" xfId="19788"/>
    <cellStyle name="메모 24 4" xfId="15855"/>
    <cellStyle name="메모 24 4 2" xfId="32996"/>
    <cellStyle name="메모 24 5" xfId="19786"/>
    <cellStyle name="메모 25" xfId="2648"/>
    <cellStyle name="메모 25 2" xfId="15858"/>
    <cellStyle name="메모 25 2 2" xfId="32999"/>
    <cellStyle name="메모 25 3" xfId="19789"/>
    <cellStyle name="메모 26" xfId="2649"/>
    <cellStyle name="메모 26 2" xfId="15859"/>
    <cellStyle name="메모 26 2 2" xfId="33000"/>
    <cellStyle name="메모 26 3" xfId="19790"/>
    <cellStyle name="메모 27" xfId="2650"/>
    <cellStyle name="메모 27 2" xfId="15860"/>
    <cellStyle name="메모 27 2 2" xfId="33001"/>
    <cellStyle name="메모 27 3" xfId="19791"/>
    <cellStyle name="메모 28" xfId="45"/>
    <cellStyle name="메모 28 2" xfId="17219"/>
    <cellStyle name="메모 3" xfId="327"/>
    <cellStyle name="메모 3 10" xfId="12638"/>
    <cellStyle name="메모 3 10 2" xfId="16001"/>
    <cellStyle name="메모 3 10 2 2" xfId="33142"/>
    <cellStyle name="메모 3 10 3" xfId="29779"/>
    <cellStyle name="메모 3 11" xfId="12705"/>
    <cellStyle name="메모 3 11 2" xfId="16068"/>
    <cellStyle name="메모 3 11 2 2" xfId="33209"/>
    <cellStyle name="메모 3 11 3" xfId="29846"/>
    <cellStyle name="메모 3 12" xfId="12771"/>
    <cellStyle name="메모 3 12 2" xfId="16134"/>
    <cellStyle name="메모 3 12 2 2" xfId="33275"/>
    <cellStyle name="메모 3 12 3" xfId="29912"/>
    <cellStyle name="메모 3 13" xfId="12604"/>
    <cellStyle name="메모 3 13 2" xfId="15967"/>
    <cellStyle name="메모 3 13 2 2" xfId="33108"/>
    <cellStyle name="메모 3 13 3" xfId="29745"/>
    <cellStyle name="메모 3 14" xfId="13296"/>
    <cellStyle name="메모 3 14 2" xfId="16647"/>
    <cellStyle name="메모 3 14 2 2" xfId="33788"/>
    <cellStyle name="메모 3 14 3" xfId="30437"/>
    <cellStyle name="메모 3 15" xfId="12720"/>
    <cellStyle name="메모 3 15 2" xfId="16083"/>
    <cellStyle name="메모 3 15 2 2" xfId="33224"/>
    <cellStyle name="메모 3 15 3" xfId="29861"/>
    <cellStyle name="메모 3 16" xfId="12719"/>
    <cellStyle name="메모 3 16 2" xfId="16082"/>
    <cellStyle name="메모 3 16 2 2" xfId="33223"/>
    <cellStyle name="메모 3 16 3" xfId="29860"/>
    <cellStyle name="메모 3 17" xfId="13379"/>
    <cellStyle name="메모 3 17 2" xfId="16730"/>
    <cellStyle name="메모 3 17 2 2" xfId="33871"/>
    <cellStyle name="메모 3 17 3" xfId="30520"/>
    <cellStyle name="메모 3 18" xfId="12652"/>
    <cellStyle name="메모 3 18 2" xfId="16015"/>
    <cellStyle name="메모 3 18 2 2" xfId="33156"/>
    <cellStyle name="메모 3 18 3" xfId="29793"/>
    <cellStyle name="메모 3 19" xfId="13341"/>
    <cellStyle name="메모 3 19 2" xfId="16692"/>
    <cellStyle name="메모 3 19 2 2" xfId="33833"/>
    <cellStyle name="메모 3 19 3" xfId="30482"/>
    <cellStyle name="메모 3 2" xfId="837"/>
    <cellStyle name="메모 3 2 2" xfId="1269"/>
    <cellStyle name="메모 3 2 2 2" xfId="2167"/>
    <cellStyle name="메모 3 2 2 2 2" xfId="15473"/>
    <cellStyle name="메모 3 2 2 2 2 2" xfId="32614"/>
    <cellStyle name="메모 3 2 2 2 3" xfId="19310"/>
    <cellStyle name="메모 3 2 2 3" xfId="14577"/>
    <cellStyle name="메모 3 2 2 3 2" xfId="31718"/>
    <cellStyle name="메모 3 2 2 4" xfId="18412"/>
    <cellStyle name="메모 3 2 3" xfId="1772"/>
    <cellStyle name="메모 3 2 3 2" xfId="15078"/>
    <cellStyle name="메모 3 2 3 2 2" xfId="32219"/>
    <cellStyle name="메모 3 2 3 3" xfId="18915"/>
    <cellStyle name="메모 3 2 4" xfId="14173"/>
    <cellStyle name="메모 3 2 4 2" xfId="31314"/>
    <cellStyle name="메모 3 2 5" xfId="17980"/>
    <cellStyle name="메모 3 20" xfId="13778"/>
    <cellStyle name="메모 3 20 2" xfId="17124"/>
    <cellStyle name="메모 3 20 2 2" xfId="34265"/>
    <cellStyle name="메모 3 20 3" xfId="30919"/>
    <cellStyle name="메모 3 21" xfId="13783"/>
    <cellStyle name="메모 3 21 2" xfId="17129"/>
    <cellStyle name="메모 3 21 2 2" xfId="34270"/>
    <cellStyle name="메모 3 21 3" xfId="30924"/>
    <cellStyle name="메모 3 22" xfId="13859"/>
    <cellStyle name="메모 3 22 2" xfId="31000"/>
    <cellStyle name="메모 3 23" xfId="17470"/>
    <cellStyle name="메모 3 24" xfId="35489"/>
    <cellStyle name="메모 3 3" xfId="721"/>
    <cellStyle name="메모 3 3 2" xfId="1174"/>
    <cellStyle name="메모 3 3 2 2" xfId="2072"/>
    <cellStyle name="메모 3 3 2 2 2" xfId="15378"/>
    <cellStyle name="메모 3 3 2 2 2 2" xfId="32519"/>
    <cellStyle name="메모 3 3 2 2 3" xfId="19215"/>
    <cellStyle name="메모 3 3 2 3" xfId="14482"/>
    <cellStyle name="메모 3 3 2 3 2" xfId="31623"/>
    <cellStyle name="메모 3 3 2 4" xfId="18317"/>
    <cellStyle name="메모 3 3 3" xfId="1677"/>
    <cellStyle name="메모 3 3 3 2" xfId="14983"/>
    <cellStyle name="메모 3 3 3 2 2" xfId="32124"/>
    <cellStyle name="메모 3 3 3 3" xfId="18820"/>
    <cellStyle name="메모 3 3 4" xfId="14078"/>
    <cellStyle name="메모 3 3 4 2" xfId="31219"/>
    <cellStyle name="메모 3 3 5" xfId="17864"/>
    <cellStyle name="메모 3 4" xfId="973"/>
    <cellStyle name="메모 3 4 2" xfId="1376"/>
    <cellStyle name="메모 3 4 2 2" xfId="2274"/>
    <cellStyle name="메모 3 4 2 2 2" xfId="15580"/>
    <cellStyle name="메모 3 4 2 2 2 2" xfId="32721"/>
    <cellStyle name="메모 3 4 2 2 3" xfId="19417"/>
    <cellStyle name="메모 3 4 2 3" xfId="14684"/>
    <cellStyle name="메모 3 4 2 3 2" xfId="31825"/>
    <cellStyle name="메모 3 4 2 4" xfId="18519"/>
    <cellStyle name="메모 3 4 3" xfId="1880"/>
    <cellStyle name="메모 3 4 3 2" xfId="15186"/>
    <cellStyle name="메모 3 4 3 2 2" xfId="32327"/>
    <cellStyle name="메모 3 4 3 3" xfId="19023"/>
    <cellStyle name="메모 3 4 4" xfId="14281"/>
    <cellStyle name="메모 3 4 4 2" xfId="31422"/>
    <cellStyle name="메모 3 4 5" xfId="18116"/>
    <cellStyle name="메모 3 5" xfId="1073"/>
    <cellStyle name="메모 3 5 2" xfId="1980"/>
    <cellStyle name="메모 3 5 2 2" xfId="15286"/>
    <cellStyle name="메모 3 5 2 2 2" xfId="32427"/>
    <cellStyle name="메모 3 5 2 3" xfId="19123"/>
    <cellStyle name="메모 3 5 3" xfId="14381"/>
    <cellStyle name="메모 3 5 3 2" xfId="31522"/>
    <cellStyle name="메모 3 5 4" xfId="18216"/>
    <cellStyle name="메모 3 6" xfId="1473"/>
    <cellStyle name="메모 3 6 2" xfId="2370"/>
    <cellStyle name="메모 3 6 2 2" xfId="15676"/>
    <cellStyle name="메모 3 6 2 2 2" xfId="32817"/>
    <cellStyle name="메모 3 6 2 3" xfId="19513"/>
    <cellStyle name="메모 3 6 3" xfId="14780"/>
    <cellStyle name="메모 3 6 3 2" xfId="31921"/>
    <cellStyle name="메모 3 6 4" xfId="18616"/>
    <cellStyle name="메모 3 7" xfId="585"/>
    <cellStyle name="메모 3 7 2" xfId="13970"/>
    <cellStyle name="메모 3 7 2 2" xfId="31111"/>
    <cellStyle name="메모 3 7 3" xfId="17728"/>
    <cellStyle name="메모 3 8" xfId="1567"/>
    <cellStyle name="메모 3 8 2" xfId="14873"/>
    <cellStyle name="메모 3 8 2 2" xfId="32014"/>
    <cellStyle name="메모 3 8 3" xfId="18710"/>
    <cellStyle name="메모 3 9" xfId="12827"/>
    <cellStyle name="메모 3 9 2" xfId="16185"/>
    <cellStyle name="메모 3 9 2 2" xfId="33326"/>
    <cellStyle name="메모 3 9 3" xfId="29968"/>
    <cellStyle name="메모 4" xfId="413"/>
    <cellStyle name="메모 4 10" xfId="13013"/>
    <cellStyle name="메모 4 10 2" xfId="16364"/>
    <cellStyle name="메모 4 10 2 2" xfId="33505"/>
    <cellStyle name="메모 4 10 3" xfId="30154"/>
    <cellStyle name="메모 4 11" xfId="13101"/>
    <cellStyle name="메모 4 11 2" xfId="16452"/>
    <cellStyle name="메모 4 11 2 2" xfId="33593"/>
    <cellStyle name="메모 4 11 3" xfId="30242"/>
    <cellStyle name="메모 4 12" xfId="13186"/>
    <cellStyle name="메모 4 12 2" xfId="16537"/>
    <cellStyle name="메모 4 12 2 2" xfId="33678"/>
    <cellStyle name="메모 4 12 3" xfId="30327"/>
    <cellStyle name="메모 4 13" xfId="13267"/>
    <cellStyle name="메모 4 13 2" xfId="16618"/>
    <cellStyle name="메모 4 13 2 2" xfId="33759"/>
    <cellStyle name="메모 4 13 3" xfId="30408"/>
    <cellStyle name="메모 4 14" xfId="12880"/>
    <cellStyle name="메모 4 14 2" xfId="16238"/>
    <cellStyle name="메모 4 14 2 2" xfId="33379"/>
    <cellStyle name="메모 4 14 3" xfId="30021"/>
    <cellStyle name="메모 4 15" xfId="13367"/>
    <cellStyle name="메모 4 15 2" xfId="16718"/>
    <cellStyle name="메모 4 15 2 2" xfId="33859"/>
    <cellStyle name="메모 4 15 3" xfId="30508"/>
    <cellStyle name="메모 4 16" xfId="13506"/>
    <cellStyle name="메모 4 16 2" xfId="16857"/>
    <cellStyle name="메모 4 16 2 2" xfId="33998"/>
    <cellStyle name="메모 4 16 3" xfId="30647"/>
    <cellStyle name="메모 4 17" xfId="13576"/>
    <cellStyle name="메모 4 17 2" xfId="16927"/>
    <cellStyle name="메모 4 17 2 2" xfId="34068"/>
    <cellStyle name="메모 4 17 3" xfId="30717"/>
    <cellStyle name="메모 4 18" xfId="13639"/>
    <cellStyle name="메모 4 18 2" xfId="16990"/>
    <cellStyle name="메모 4 18 2 2" xfId="34131"/>
    <cellStyle name="메모 4 18 3" xfId="30780"/>
    <cellStyle name="메모 4 19" xfId="13730"/>
    <cellStyle name="메모 4 19 2" xfId="17081"/>
    <cellStyle name="메모 4 19 2 2" xfId="34222"/>
    <cellStyle name="메모 4 19 3" xfId="30871"/>
    <cellStyle name="메모 4 2" xfId="897"/>
    <cellStyle name="메모 4 2 2" xfId="1312"/>
    <cellStyle name="메모 4 2 2 2" xfId="2210"/>
    <cellStyle name="메모 4 2 2 2 2" xfId="15516"/>
    <cellStyle name="메모 4 2 2 2 2 2" xfId="32657"/>
    <cellStyle name="메모 4 2 2 2 3" xfId="19353"/>
    <cellStyle name="메모 4 2 2 3" xfId="14620"/>
    <cellStyle name="메모 4 2 2 3 2" xfId="31761"/>
    <cellStyle name="메모 4 2 2 4" xfId="18455"/>
    <cellStyle name="메모 4 2 3" xfId="1815"/>
    <cellStyle name="메모 4 2 3 2" xfId="15121"/>
    <cellStyle name="메모 4 2 3 2 2" xfId="32262"/>
    <cellStyle name="메모 4 2 3 3" xfId="18958"/>
    <cellStyle name="메모 4 2 4" xfId="14216"/>
    <cellStyle name="메모 4 2 4 2" xfId="31357"/>
    <cellStyle name="메모 4 2 5" xfId="18040"/>
    <cellStyle name="메모 4 20" xfId="13902"/>
    <cellStyle name="메모 4 20 2" xfId="31043"/>
    <cellStyle name="메모 4 21" xfId="17556"/>
    <cellStyle name="메모 4 22" xfId="35490"/>
    <cellStyle name="메모 4 3" xfId="755"/>
    <cellStyle name="메모 4 3 2" xfId="1208"/>
    <cellStyle name="메모 4 3 2 2" xfId="2106"/>
    <cellStyle name="메모 4 3 2 2 2" xfId="15412"/>
    <cellStyle name="메모 4 3 2 2 2 2" xfId="32553"/>
    <cellStyle name="메모 4 3 2 2 3" xfId="19249"/>
    <cellStyle name="메모 4 3 2 3" xfId="14516"/>
    <cellStyle name="메모 4 3 2 3 2" xfId="31657"/>
    <cellStyle name="메모 4 3 2 4" xfId="18351"/>
    <cellStyle name="메모 4 3 3" xfId="1711"/>
    <cellStyle name="메모 4 3 3 2" xfId="15017"/>
    <cellStyle name="메모 4 3 3 2 2" xfId="32158"/>
    <cellStyle name="메모 4 3 3 3" xfId="18854"/>
    <cellStyle name="메모 4 3 4" xfId="14112"/>
    <cellStyle name="메모 4 3 4 2" xfId="31253"/>
    <cellStyle name="메모 4 3 5" xfId="17898"/>
    <cellStyle name="메모 4 4" xfId="1012"/>
    <cellStyle name="메모 4 4 2" xfId="1410"/>
    <cellStyle name="메모 4 4 2 2" xfId="2308"/>
    <cellStyle name="메모 4 4 2 2 2" xfId="15614"/>
    <cellStyle name="메모 4 4 2 2 2 2" xfId="32755"/>
    <cellStyle name="메모 4 4 2 2 3" xfId="19451"/>
    <cellStyle name="메모 4 4 2 3" xfId="14718"/>
    <cellStyle name="메모 4 4 2 3 2" xfId="31859"/>
    <cellStyle name="메모 4 4 2 4" xfId="18553"/>
    <cellStyle name="메모 4 4 3" xfId="1919"/>
    <cellStyle name="메모 4 4 3 2" xfId="15225"/>
    <cellStyle name="메모 4 4 3 2 2" xfId="32366"/>
    <cellStyle name="메모 4 4 3 3" xfId="19062"/>
    <cellStyle name="메모 4 4 4" xfId="14320"/>
    <cellStyle name="메모 4 4 4 2" xfId="31461"/>
    <cellStyle name="메모 4 4 5" xfId="18155"/>
    <cellStyle name="메모 4 5" xfId="1111"/>
    <cellStyle name="메모 4 5 2" xfId="2013"/>
    <cellStyle name="메모 4 5 2 2" xfId="15319"/>
    <cellStyle name="메모 4 5 2 2 2" xfId="32460"/>
    <cellStyle name="메모 4 5 2 3" xfId="19156"/>
    <cellStyle name="메모 4 5 3" xfId="14419"/>
    <cellStyle name="메모 4 5 3 2" xfId="31560"/>
    <cellStyle name="메모 4 5 4" xfId="18254"/>
    <cellStyle name="메모 4 6" xfId="1506"/>
    <cellStyle name="메모 4 6 2" xfId="2403"/>
    <cellStyle name="메모 4 6 2 2" xfId="15709"/>
    <cellStyle name="메모 4 6 2 2 2" xfId="32850"/>
    <cellStyle name="메모 4 6 2 3" xfId="19546"/>
    <cellStyle name="메모 4 6 3" xfId="14813"/>
    <cellStyle name="메모 4 6 3 2" xfId="31954"/>
    <cellStyle name="메모 4 6 4" xfId="18649"/>
    <cellStyle name="메모 4 7" xfId="645"/>
    <cellStyle name="메모 4 7 2" xfId="14013"/>
    <cellStyle name="메모 4 7 2 2" xfId="31154"/>
    <cellStyle name="메모 4 7 3" xfId="17788"/>
    <cellStyle name="메모 4 8" xfId="1610"/>
    <cellStyle name="메모 4 8 2" xfId="14916"/>
    <cellStyle name="메모 4 8 2 2" xfId="32057"/>
    <cellStyle name="메모 4 8 3" xfId="18753"/>
    <cellStyle name="메모 4 9" xfId="12903"/>
    <cellStyle name="메모 4 9 2" xfId="16261"/>
    <cellStyle name="메모 4 9 2 2" xfId="33402"/>
    <cellStyle name="메모 4 9 3" xfId="30044"/>
    <cellStyle name="메모 5" xfId="344"/>
    <cellStyle name="메모 5 10" xfId="12591"/>
    <cellStyle name="메모 5 10 2" xfId="15954"/>
    <cellStyle name="메모 5 10 2 2" xfId="33095"/>
    <cellStyle name="메모 5 10 3" xfId="29732"/>
    <cellStyle name="메모 5 11" xfId="12918"/>
    <cellStyle name="메모 5 11 2" xfId="16276"/>
    <cellStyle name="메모 5 11 2 2" xfId="33417"/>
    <cellStyle name="메모 5 11 3" xfId="30059"/>
    <cellStyle name="메모 5 12" xfId="12713"/>
    <cellStyle name="메모 5 12 2" xfId="16076"/>
    <cellStyle name="메모 5 12 2 2" xfId="33217"/>
    <cellStyle name="메모 5 12 3" xfId="29854"/>
    <cellStyle name="메모 5 13" xfId="12603"/>
    <cellStyle name="메모 5 13 2" xfId="15966"/>
    <cellStyle name="메모 5 13 2 2" xfId="33107"/>
    <cellStyle name="메모 5 13 3" xfId="29744"/>
    <cellStyle name="메모 5 14" xfId="12679"/>
    <cellStyle name="메모 5 14 2" xfId="16042"/>
    <cellStyle name="메모 5 14 2 2" xfId="33183"/>
    <cellStyle name="메모 5 14 3" xfId="29820"/>
    <cellStyle name="메모 5 15" xfId="12706"/>
    <cellStyle name="메모 5 15 2" xfId="16069"/>
    <cellStyle name="메모 5 15 2 2" xfId="33210"/>
    <cellStyle name="메모 5 15 3" xfId="29847"/>
    <cellStyle name="메모 5 16" xfId="12884"/>
    <cellStyle name="메모 5 16 2" xfId="16242"/>
    <cellStyle name="메모 5 16 2 2" xfId="33383"/>
    <cellStyle name="메모 5 16 3" xfId="30025"/>
    <cellStyle name="메모 5 17" xfId="12868"/>
    <cellStyle name="메모 5 17 2" xfId="16226"/>
    <cellStyle name="메모 5 17 2 2" xfId="33367"/>
    <cellStyle name="메모 5 17 3" xfId="30009"/>
    <cellStyle name="메모 5 18" xfId="13519"/>
    <cellStyle name="메모 5 18 2" xfId="16870"/>
    <cellStyle name="메모 5 18 2 2" xfId="34011"/>
    <cellStyle name="메모 5 18 3" xfId="30660"/>
    <cellStyle name="메모 5 19" xfId="13735"/>
    <cellStyle name="메모 5 19 2" xfId="17086"/>
    <cellStyle name="메모 5 19 2 2" xfId="34227"/>
    <cellStyle name="메모 5 19 3" xfId="30876"/>
    <cellStyle name="메모 5 2" xfId="852"/>
    <cellStyle name="메모 5 2 2" xfId="1278"/>
    <cellStyle name="메모 5 2 2 2" xfId="2176"/>
    <cellStyle name="메모 5 2 2 2 2" xfId="15482"/>
    <cellStyle name="메모 5 2 2 2 2 2" xfId="32623"/>
    <cellStyle name="메모 5 2 2 2 3" xfId="19319"/>
    <cellStyle name="메모 5 2 2 3" xfId="14586"/>
    <cellStyle name="메모 5 2 2 3 2" xfId="31727"/>
    <cellStyle name="메모 5 2 2 4" xfId="18421"/>
    <cellStyle name="메모 5 2 3" xfId="1781"/>
    <cellStyle name="메모 5 2 3 2" xfId="15087"/>
    <cellStyle name="메모 5 2 3 2 2" xfId="32228"/>
    <cellStyle name="메모 5 2 3 3" xfId="18924"/>
    <cellStyle name="메모 5 2 4" xfId="14182"/>
    <cellStyle name="메모 5 2 4 2" xfId="31323"/>
    <cellStyle name="메모 5 2 5" xfId="17995"/>
    <cellStyle name="메모 5 20" xfId="13868"/>
    <cellStyle name="메모 5 20 2" xfId="31009"/>
    <cellStyle name="메모 5 21" xfId="17487"/>
    <cellStyle name="메모 5 3" xfId="728"/>
    <cellStyle name="메모 5 3 2" xfId="1181"/>
    <cellStyle name="메모 5 3 2 2" xfId="2079"/>
    <cellStyle name="메모 5 3 2 2 2" xfId="15385"/>
    <cellStyle name="메모 5 3 2 2 2 2" xfId="32526"/>
    <cellStyle name="메모 5 3 2 2 3" xfId="19222"/>
    <cellStyle name="메모 5 3 2 3" xfId="14489"/>
    <cellStyle name="메모 5 3 2 3 2" xfId="31630"/>
    <cellStyle name="메모 5 3 2 4" xfId="18324"/>
    <cellStyle name="메모 5 3 3" xfId="1684"/>
    <cellStyle name="메모 5 3 3 2" xfId="14990"/>
    <cellStyle name="메모 5 3 3 2 2" xfId="32131"/>
    <cellStyle name="메모 5 3 3 3" xfId="18827"/>
    <cellStyle name="메모 5 3 4" xfId="14085"/>
    <cellStyle name="메모 5 3 4 2" xfId="31226"/>
    <cellStyle name="메모 5 3 5" xfId="17871"/>
    <cellStyle name="메모 5 4" xfId="981"/>
    <cellStyle name="메모 5 4 2" xfId="1383"/>
    <cellStyle name="메모 5 4 2 2" xfId="2281"/>
    <cellStyle name="메모 5 4 2 2 2" xfId="15587"/>
    <cellStyle name="메모 5 4 2 2 2 2" xfId="32728"/>
    <cellStyle name="메모 5 4 2 2 3" xfId="19424"/>
    <cellStyle name="메모 5 4 2 3" xfId="14691"/>
    <cellStyle name="메모 5 4 2 3 2" xfId="31832"/>
    <cellStyle name="메모 5 4 2 4" xfId="18526"/>
    <cellStyle name="메모 5 4 3" xfId="1888"/>
    <cellStyle name="메모 5 4 3 2" xfId="15194"/>
    <cellStyle name="메모 5 4 3 2 2" xfId="32335"/>
    <cellStyle name="메모 5 4 3 3" xfId="19031"/>
    <cellStyle name="메모 5 4 4" xfId="14289"/>
    <cellStyle name="메모 5 4 4 2" xfId="31430"/>
    <cellStyle name="메모 5 4 5" xfId="18124"/>
    <cellStyle name="메모 5 5" xfId="1081"/>
    <cellStyle name="메모 5 5 2" xfId="1987"/>
    <cellStyle name="메모 5 5 2 2" xfId="15293"/>
    <cellStyle name="메모 5 5 2 2 2" xfId="32434"/>
    <cellStyle name="메모 5 5 2 3" xfId="19130"/>
    <cellStyle name="메모 5 5 3" xfId="14389"/>
    <cellStyle name="메모 5 5 3 2" xfId="31530"/>
    <cellStyle name="메모 5 5 4" xfId="18224"/>
    <cellStyle name="메모 5 6" xfId="1480"/>
    <cellStyle name="메모 5 6 2" xfId="2377"/>
    <cellStyle name="메모 5 6 2 2" xfId="15683"/>
    <cellStyle name="메모 5 6 2 2 2" xfId="32824"/>
    <cellStyle name="메모 5 6 2 3" xfId="19520"/>
    <cellStyle name="메모 5 6 3" xfId="14787"/>
    <cellStyle name="메모 5 6 3 2" xfId="31928"/>
    <cellStyle name="메모 5 6 4" xfId="18623"/>
    <cellStyle name="메모 5 7" xfId="600"/>
    <cellStyle name="메모 5 7 2" xfId="13979"/>
    <cellStyle name="메모 5 7 2 2" xfId="31120"/>
    <cellStyle name="메모 5 7 3" xfId="17743"/>
    <cellStyle name="메모 5 8" xfId="1576"/>
    <cellStyle name="메모 5 8 2" xfId="14882"/>
    <cellStyle name="메모 5 8 2 2" xfId="32023"/>
    <cellStyle name="메모 5 8 3" xfId="18719"/>
    <cellStyle name="메모 5 9" xfId="12842"/>
    <cellStyle name="메모 5 9 2" xfId="16200"/>
    <cellStyle name="메모 5 9 2 2" xfId="33341"/>
    <cellStyle name="메모 5 9 3" xfId="29983"/>
    <cellStyle name="메모 6" xfId="423"/>
    <cellStyle name="메모 6 10" xfId="13023"/>
    <cellStyle name="메모 6 10 2" xfId="16374"/>
    <cellStyle name="메모 6 10 2 2" xfId="33515"/>
    <cellStyle name="메모 6 10 3" xfId="30164"/>
    <cellStyle name="메모 6 11" xfId="13110"/>
    <cellStyle name="메모 6 11 2" xfId="16461"/>
    <cellStyle name="메모 6 11 2 2" xfId="33602"/>
    <cellStyle name="메모 6 11 3" xfId="30251"/>
    <cellStyle name="메모 6 12" xfId="13196"/>
    <cellStyle name="메모 6 12 2" xfId="16547"/>
    <cellStyle name="메모 6 12 2 2" xfId="33688"/>
    <cellStyle name="메모 6 12 3" xfId="30337"/>
    <cellStyle name="메모 6 13" xfId="13089"/>
    <cellStyle name="메모 6 13 2" xfId="16440"/>
    <cellStyle name="메모 6 13 2 2" xfId="33581"/>
    <cellStyle name="메모 6 13 3" xfId="30230"/>
    <cellStyle name="메모 6 14" xfId="13376"/>
    <cellStyle name="메모 6 14 2" xfId="16727"/>
    <cellStyle name="메모 6 14 2 2" xfId="33868"/>
    <cellStyle name="메모 6 14 3" xfId="30517"/>
    <cellStyle name="메모 6 15" xfId="13450"/>
    <cellStyle name="메모 6 15 2" xfId="16801"/>
    <cellStyle name="메모 6 15 2 2" xfId="33942"/>
    <cellStyle name="메모 6 15 3" xfId="30591"/>
    <cellStyle name="메모 6 16" xfId="13516"/>
    <cellStyle name="메모 6 16 2" xfId="16867"/>
    <cellStyle name="메모 6 16 2 2" xfId="34008"/>
    <cellStyle name="메모 6 16 3" xfId="30657"/>
    <cellStyle name="메모 6 17" xfId="13585"/>
    <cellStyle name="메모 6 17 2" xfId="16936"/>
    <cellStyle name="메모 6 17 2 2" xfId="34077"/>
    <cellStyle name="메모 6 17 3" xfId="30726"/>
    <cellStyle name="메모 6 18" xfId="13648"/>
    <cellStyle name="메모 6 18 2" xfId="16999"/>
    <cellStyle name="메모 6 18 2 2" xfId="34140"/>
    <cellStyle name="메모 6 18 3" xfId="30789"/>
    <cellStyle name="메모 6 19" xfId="13748"/>
    <cellStyle name="메모 6 19 2" xfId="17099"/>
    <cellStyle name="메모 6 19 2 2" xfId="34240"/>
    <cellStyle name="메모 6 19 3" xfId="30889"/>
    <cellStyle name="메모 6 2" xfId="907"/>
    <cellStyle name="메모 6 2 2" xfId="1321"/>
    <cellStyle name="메모 6 2 2 2" xfId="2219"/>
    <cellStyle name="메모 6 2 2 2 2" xfId="15525"/>
    <cellStyle name="메모 6 2 2 2 2 2" xfId="32666"/>
    <cellStyle name="메모 6 2 2 2 3" xfId="19362"/>
    <cellStyle name="메모 6 2 2 3" xfId="14629"/>
    <cellStyle name="메모 6 2 2 3 2" xfId="31770"/>
    <cellStyle name="메모 6 2 2 4" xfId="18464"/>
    <cellStyle name="메모 6 2 3" xfId="1824"/>
    <cellStyle name="메모 6 2 3 2" xfId="15130"/>
    <cellStyle name="메모 6 2 3 2 2" xfId="32271"/>
    <cellStyle name="메모 6 2 3 3" xfId="18967"/>
    <cellStyle name="메모 6 2 4" xfId="14225"/>
    <cellStyle name="메모 6 2 4 2" xfId="31366"/>
    <cellStyle name="메모 6 2 5" xfId="18050"/>
    <cellStyle name="메모 6 20" xfId="13911"/>
    <cellStyle name="메모 6 20 2" xfId="31052"/>
    <cellStyle name="메모 6 21" xfId="17566"/>
    <cellStyle name="메모 6 3" xfId="763"/>
    <cellStyle name="메모 6 3 2" xfId="1216"/>
    <cellStyle name="메모 6 3 2 2" xfId="2114"/>
    <cellStyle name="메모 6 3 2 2 2" xfId="15420"/>
    <cellStyle name="메모 6 3 2 2 2 2" xfId="32561"/>
    <cellStyle name="메모 6 3 2 2 3" xfId="19257"/>
    <cellStyle name="메모 6 3 2 3" xfId="14524"/>
    <cellStyle name="메모 6 3 2 3 2" xfId="31665"/>
    <cellStyle name="메모 6 3 2 4" xfId="18359"/>
    <cellStyle name="메모 6 3 3" xfId="1719"/>
    <cellStyle name="메모 6 3 3 2" xfId="15025"/>
    <cellStyle name="메모 6 3 3 2 2" xfId="32166"/>
    <cellStyle name="메모 6 3 3 3" xfId="18862"/>
    <cellStyle name="메모 6 3 4" xfId="14120"/>
    <cellStyle name="메모 6 3 4 2" xfId="31261"/>
    <cellStyle name="메모 6 3 5" xfId="17906"/>
    <cellStyle name="메모 6 4" xfId="1021"/>
    <cellStyle name="메모 6 4 2" xfId="1418"/>
    <cellStyle name="메모 6 4 2 2" xfId="2316"/>
    <cellStyle name="메모 6 4 2 2 2" xfId="15622"/>
    <cellStyle name="메모 6 4 2 2 2 2" xfId="32763"/>
    <cellStyle name="메모 6 4 2 2 3" xfId="19459"/>
    <cellStyle name="메모 6 4 2 3" xfId="14726"/>
    <cellStyle name="메모 6 4 2 3 2" xfId="31867"/>
    <cellStyle name="메모 6 4 2 4" xfId="18561"/>
    <cellStyle name="메모 6 4 3" xfId="1928"/>
    <cellStyle name="메모 6 4 3 2" xfId="15234"/>
    <cellStyle name="메모 6 4 3 2 2" xfId="32375"/>
    <cellStyle name="메모 6 4 3 3" xfId="19071"/>
    <cellStyle name="메모 6 4 4" xfId="14329"/>
    <cellStyle name="메모 6 4 4 2" xfId="31470"/>
    <cellStyle name="메모 6 4 5" xfId="18164"/>
    <cellStyle name="메모 6 5" xfId="1119"/>
    <cellStyle name="메모 6 5 2" xfId="2021"/>
    <cellStyle name="메모 6 5 2 2" xfId="15327"/>
    <cellStyle name="메모 6 5 2 2 2" xfId="32468"/>
    <cellStyle name="메모 6 5 2 3" xfId="19164"/>
    <cellStyle name="메모 6 5 3" xfId="14427"/>
    <cellStyle name="메모 6 5 3 2" xfId="31568"/>
    <cellStyle name="메모 6 5 4" xfId="18262"/>
    <cellStyle name="메모 6 6" xfId="1514"/>
    <cellStyle name="메모 6 6 2" xfId="2411"/>
    <cellStyle name="메모 6 6 2 2" xfId="15717"/>
    <cellStyle name="메모 6 6 2 2 2" xfId="32858"/>
    <cellStyle name="메모 6 6 2 3" xfId="19554"/>
    <cellStyle name="메모 6 6 3" xfId="14821"/>
    <cellStyle name="메모 6 6 3 2" xfId="31962"/>
    <cellStyle name="메모 6 6 4" xfId="18657"/>
    <cellStyle name="메모 6 7" xfId="655"/>
    <cellStyle name="메모 6 7 2" xfId="14022"/>
    <cellStyle name="메모 6 7 2 2" xfId="31163"/>
    <cellStyle name="메모 6 7 3" xfId="17798"/>
    <cellStyle name="메모 6 8" xfId="1619"/>
    <cellStyle name="메모 6 8 2" xfId="14925"/>
    <cellStyle name="메모 6 8 2 2" xfId="32066"/>
    <cellStyle name="메모 6 8 3" xfId="18762"/>
    <cellStyle name="메모 6 9" xfId="12913"/>
    <cellStyle name="메모 6 9 2" xfId="16271"/>
    <cellStyle name="메모 6 9 2 2" xfId="33412"/>
    <cellStyle name="메모 6 9 3" xfId="30054"/>
    <cellStyle name="메모 7" xfId="438"/>
    <cellStyle name="메모 7 10" xfId="13037"/>
    <cellStyle name="메모 7 10 2" xfId="16388"/>
    <cellStyle name="메모 7 10 2 2" xfId="33529"/>
    <cellStyle name="메모 7 10 3" xfId="30178"/>
    <cellStyle name="메모 7 11" xfId="13121"/>
    <cellStyle name="메모 7 11 2" xfId="16472"/>
    <cellStyle name="메모 7 11 2 2" xfId="33613"/>
    <cellStyle name="메모 7 11 3" xfId="30262"/>
    <cellStyle name="메모 7 12" xfId="13210"/>
    <cellStyle name="메모 7 12 2" xfId="16561"/>
    <cellStyle name="메모 7 12 2 2" xfId="33702"/>
    <cellStyle name="메모 7 12 3" xfId="30351"/>
    <cellStyle name="메모 7 13" xfId="13170"/>
    <cellStyle name="메모 7 13 2" xfId="16521"/>
    <cellStyle name="메모 7 13 2 2" xfId="33662"/>
    <cellStyle name="메모 7 13 3" xfId="30311"/>
    <cellStyle name="메모 7 14" xfId="13388"/>
    <cellStyle name="메모 7 14 2" xfId="16739"/>
    <cellStyle name="메모 7 14 2 2" xfId="33880"/>
    <cellStyle name="메모 7 14 3" xfId="30529"/>
    <cellStyle name="메모 7 15" xfId="13463"/>
    <cellStyle name="메모 7 15 2" xfId="16814"/>
    <cellStyle name="메모 7 15 2 2" xfId="33955"/>
    <cellStyle name="메모 7 15 3" xfId="30604"/>
    <cellStyle name="메모 7 16" xfId="13526"/>
    <cellStyle name="메모 7 16 2" xfId="16877"/>
    <cellStyle name="메모 7 16 2 2" xfId="34018"/>
    <cellStyle name="메모 7 16 3" xfId="30667"/>
    <cellStyle name="메모 7 17" xfId="13594"/>
    <cellStyle name="메모 7 17 2" xfId="16945"/>
    <cellStyle name="메모 7 17 2 2" xfId="34086"/>
    <cellStyle name="메모 7 17 3" xfId="30735"/>
    <cellStyle name="메모 7 18" xfId="13657"/>
    <cellStyle name="메모 7 18 2" xfId="17008"/>
    <cellStyle name="메모 7 18 2 2" xfId="34149"/>
    <cellStyle name="메모 7 18 3" xfId="30798"/>
    <cellStyle name="메모 7 19" xfId="13700"/>
    <cellStyle name="메모 7 19 2" xfId="17051"/>
    <cellStyle name="메모 7 19 2 2" xfId="34192"/>
    <cellStyle name="메모 7 19 3" xfId="30841"/>
    <cellStyle name="메모 7 2" xfId="916"/>
    <cellStyle name="메모 7 2 2" xfId="1330"/>
    <cellStyle name="메모 7 2 2 2" xfId="2228"/>
    <cellStyle name="메모 7 2 2 2 2" xfId="15534"/>
    <cellStyle name="메모 7 2 2 2 2 2" xfId="32675"/>
    <cellStyle name="메모 7 2 2 2 3" xfId="19371"/>
    <cellStyle name="메모 7 2 2 3" xfId="14638"/>
    <cellStyle name="메모 7 2 2 3 2" xfId="31779"/>
    <cellStyle name="메모 7 2 2 4" xfId="18473"/>
    <cellStyle name="메모 7 2 3" xfId="1833"/>
    <cellStyle name="메모 7 2 3 2" xfId="15139"/>
    <cellStyle name="메모 7 2 3 2 2" xfId="32280"/>
    <cellStyle name="메모 7 2 3 3" xfId="18976"/>
    <cellStyle name="메모 7 2 4" xfId="14234"/>
    <cellStyle name="메모 7 2 4 2" xfId="31375"/>
    <cellStyle name="메모 7 2 5" xfId="18059"/>
    <cellStyle name="메모 7 20" xfId="13920"/>
    <cellStyle name="메모 7 20 2" xfId="31061"/>
    <cellStyle name="메모 7 21" xfId="17581"/>
    <cellStyle name="메모 7 3" xfId="771"/>
    <cellStyle name="메모 7 3 2" xfId="1224"/>
    <cellStyle name="메모 7 3 2 2" xfId="2122"/>
    <cellStyle name="메모 7 3 2 2 2" xfId="15428"/>
    <cellStyle name="메모 7 3 2 2 2 2" xfId="32569"/>
    <cellStyle name="메모 7 3 2 2 3" xfId="19265"/>
    <cellStyle name="메모 7 3 2 3" xfId="14532"/>
    <cellStyle name="메모 7 3 2 3 2" xfId="31673"/>
    <cellStyle name="메모 7 3 2 4" xfId="18367"/>
    <cellStyle name="메모 7 3 3" xfId="1727"/>
    <cellStyle name="메모 7 3 3 2" xfId="15033"/>
    <cellStyle name="메모 7 3 3 2 2" xfId="32174"/>
    <cellStyle name="메모 7 3 3 3" xfId="18870"/>
    <cellStyle name="메모 7 3 4" xfId="14128"/>
    <cellStyle name="메모 7 3 4 2" xfId="31269"/>
    <cellStyle name="메모 7 3 5" xfId="17914"/>
    <cellStyle name="메모 7 4" xfId="1030"/>
    <cellStyle name="메모 7 4 2" xfId="1426"/>
    <cellStyle name="메모 7 4 2 2" xfId="2324"/>
    <cellStyle name="메모 7 4 2 2 2" xfId="15630"/>
    <cellStyle name="메모 7 4 2 2 2 2" xfId="32771"/>
    <cellStyle name="메모 7 4 2 2 3" xfId="19467"/>
    <cellStyle name="메모 7 4 2 3" xfId="14734"/>
    <cellStyle name="메모 7 4 2 3 2" xfId="31875"/>
    <cellStyle name="메모 7 4 2 4" xfId="18569"/>
    <cellStyle name="메모 7 4 3" xfId="1937"/>
    <cellStyle name="메모 7 4 3 2" xfId="15243"/>
    <cellStyle name="메모 7 4 3 2 2" xfId="32384"/>
    <cellStyle name="메모 7 4 3 3" xfId="19080"/>
    <cellStyle name="메모 7 4 4" xfId="14338"/>
    <cellStyle name="메모 7 4 4 2" xfId="31479"/>
    <cellStyle name="메모 7 4 5" xfId="18173"/>
    <cellStyle name="메모 7 5" xfId="1127"/>
    <cellStyle name="메모 7 5 2" xfId="2029"/>
    <cellStyle name="메모 7 5 2 2" xfId="15335"/>
    <cellStyle name="메모 7 5 2 2 2" xfId="32476"/>
    <cellStyle name="메모 7 5 2 3" xfId="19172"/>
    <cellStyle name="메모 7 5 3" xfId="14435"/>
    <cellStyle name="메모 7 5 3 2" xfId="31576"/>
    <cellStyle name="메모 7 5 4" xfId="18270"/>
    <cellStyle name="메모 7 6" xfId="1522"/>
    <cellStyle name="메모 7 6 2" xfId="2419"/>
    <cellStyle name="메모 7 6 2 2" xfId="15725"/>
    <cellStyle name="메모 7 6 2 2 2" xfId="32866"/>
    <cellStyle name="메모 7 6 2 3" xfId="19562"/>
    <cellStyle name="메모 7 6 3" xfId="14829"/>
    <cellStyle name="메모 7 6 3 2" xfId="31970"/>
    <cellStyle name="메모 7 6 4" xfId="18665"/>
    <cellStyle name="메모 7 7" xfId="664"/>
    <cellStyle name="메모 7 7 2" xfId="14031"/>
    <cellStyle name="메모 7 7 2 2" xfId="31172"/>
    <cellStyle name="메모 7 7 3" xfId="17807"/>
    <cellStyle name="메모 7 8" xfId="1628"/>
    <cellStyle name="메모 7 8 2" xfId="14934"/>
    <cellStyle name="메모 7 8 2 2" xfId="32075"/>
    <cellStyle name="메모 7 8 3" xfId="18771"/>
    <cellStyle name="메모 7 9" xfId="12925"/>
    <cellStyle name="메모 7 9 2" xfId="16283"/>
    <cellStyle name="메모 7 9 2 2" xfId="33424"/>
    <cellStyle name="메모 7 9 3" xfId="30066"/>
    <cellStyle name="메모 8" xfId="449"/>
    <cellStyle name="메모 8 10" xfId="13048"/>
    <cellStyle name="메모 8 10 2" xfId="16399"/>
    <cellStyle name="메모 8 10 2 2" xfId="33540"/>
    <cellStyle name="메모 8 10 3" xfId="30189"/>
    <cellStyle name="메모 8 11" xfId="13131"/>
    <cellStyle name="메모 8 11 2" xfId="16482"/>
    <cellStyle name="메모 8 11 2 2" xfId="33623"/>
    <cellStyle name="메모 8 11 3" xfId="30272"/>
    <cellStyle name="메모 8 12" xfId="13219"/>
    <cellStyle name="메모 8 12 2" xfId="16570"/>
    <cellStyle name="메모 8 12 2 2" xfId="33711"/>
    <cellStyle name="메모 8 12 3" xfId="30360"/>
    <cellStyle name="메모 8 13" xfId="12769"/>
    <cellStyle name="메모 8 13 2" xfId="16132"/>
    <cellStyle name="메모 8 13 2 2" xfId="33273"/>
    <cellStyle name="메모 8 13 3" xfId="29910"/>
    <cellStyle name="메모 8 14" xfId="13396"/>
    <cellStyle name="메모 8 14 2" xfId="16747"/>
    <cellStyle name="메모 8 14 2 2" xfId="33888"/>
    <cellStyle name="메모 8 14 3" xfId="30537"/>
    <cellStyle name="메모 8 15" xfId="13472"/>
    <cellStyle name="메모 8 15 2" xfId="16823"/>
    <cellStyle name="메모 8 15 2 2" xfId="33964"/>
    <cellStyle name="메모 8 15 3" xfId="30613"/>
    <cellStyle name="메모 8 16" xfId="13533"/>
    <cellStyle name="메모 8 16 2" xfId="16884"/>
    <cellStyle name="메모 8 16 2 2" xfId="34025"/>
    <cellStyle name="메모 8 16 3" xfId="30674"/>
    <cellStyle name="메모 8 17" xfId="13601"/>
    <cellStyle name="메모 8 17 2" xfId="16952"/>
    <cellStyle name="메모 8 17 2 2" xfId="34093"/>
    <cellStyle name="메모 8 17 3" xfId="30742"/>
    <cellStyle name="메모 8 18" xfId="13664"/>
    <cellStyle name="메모 8 18 2" xfId="17015"/>
    <cellStyle name="메모 8 18 2 2" xfId="34156"/>
    <cellStyle name="메모 8 18 3" xfId="30805"/>
    <cellStyle name="메모 8 19" xfId="13744"/>
    <cellStyle name="메모 8 19 2" xfId="17095"/>
    <cellStyle name="메모 8 19 2 2" xfId="34236"/>
    <cellStyle name="메모 8 19 3" xfId="30885"/>
    <cellStyle name="메모 8 2" xfId="925"/>
    <cellStyle name="메모 8 2 2" xfId="1337"/>
    <cellStyle name="메모 8 2 2 2" xfId="2235"/>
    <cellStyle name="메모 8 2 2 2 2" xfId="15541"/>
    <cellStyle name="메모 8 2 2 2 2 2" xfId="32682"/>
    <cellStyle name="메모 8 2 2 2 3" xfId="19378"/>
    <cellStyle name="메모 8 2 2 3" xfId="14645"/>
    <cellStyle name="메모 8 2 2 3 2" xfId="31786"/>
    <cellStyle name="메모 8 2 2 4" xfId="18480"/>
    <cellStyle name="메모 8 2 3" xfId="1840"/>
    <cellStyle name="메모 8 2 3 2" xfId="15146"/>
    <cellStyle name="메모 8 2 3 2 2" xfId="32287"/>
    <cellStyle name="메모 8 2 3 3" xfId="18983"/>
    <cellStyle name="메모 8 2 4" xfId="14241"/>
    <cellStyle name="메모 8 2 4 2" xfId="31382"/>
    <cellStyle name="메모 8 2 5" xfId="18068"/>
    <cellStyle name="메모 8 20" xfId="13927"/>
    <cellStyle name="메모 8 20 2" xfId="31068"/>
    <cellStyle name="메모 8 21" xfId="17592"/>
    <cellStyle name="메모 8 3" xfId="778"/>
    <cellStyle name="메모 8 3 2" xfId="1231"/>
    <cellStyle name="메모 8 3 2 2" xfId="2129"/>
    <cellStyle name="메모 8 3 2 2 2" xfId="15435"/>
    <cellStyle name="메모 8 3 2 2 2 2" xfId="32576"/>
    <cellStyle name="메모 8 3 2 2 3" xfId="19272"/>
    <cellStyle name="메모 8 3 2 3" xfId="14539"/>
    <cellStyle name="메모 8 3 2 3 2" xfId="31680"/>
    <cellStyle name="메모 8 3 2 4" xfId="18374"/>
    <cellStyle name="메모 8 3 3" xfId="1734"/>
    <cellStyle name="메모 8 3 3 2" xfId="15040"/>
    <cellStyle name="메모 8 3 3 2 2" xfId="32181"/>
    <cellStyle name="메모 8 3 3 3" xfId="18877"/>
    <cellStyle name="메모 8 3 4" xfId="14135"/>
    <cellStyle name="메모 8 3 4 2" xfId="31276"/>
    <cellStyle name="메모 8 3 5" xfId="17921"/>
    <cellStyle name="메모 8 4" xfId="1037"/>
    <cellStyle name="메모 8 4 2" xfId="1433"/>
    <cellStyle name="메모 8 4 2 2" xfId="2331"/>
    <cellStyle name="메모 8 4 2 2 2" xfId="15637"/>
    <cellStyle name="메모 8 4 2 2 2 2" xfId="32778"/>
    <cellStyle name="메모 8 4 2 2 3" xfId="19474"/>
    <cellStyle name="메모 8 4 2 3" xfId="14741"/>
    <cellStyle name="메모 8 4 2 3 2" xfId="31882"/>
    <cellStyle name="메모 8 4 2 4" xfId="18576"/>
    <cellStyle name="메모 8 4 3" xfId="1944"/>
    <cellStyle name="메모 8 4 3 2" xfId="15250"/>
    <cellStyle name="메모 8 4 3 2 2" xfId="32391"/>
    <cellStyle name="메모 8 4 3 3" xfId="19087"/>
    <cellStyle name="메모 8 4 4" xfId="14345"/>
    <cellStyle name="메모 8 4 4 2" xfId="31486"/>
    <cellStyle name="메모 8 4 5" xfId="18180"/>
    <cellStyle name="메모 8 5" xfId="1134"/>
    <cellStyle name="메모 8 5 2" xfId="2036"/>
    <cellStyle name="메모 8 5 2 2" xfId="15342"/>
    <cellStyle name="메모 8 5 2 2 2" xfId="32483"/>
    <cellStyle name="메모 8 5 2 3" xfId="19179"/>
    <cellStyle name="메모 8 5 3" xfId="14442"/>
    <cellStyle name="메모 8 5 3 2" xfId="31583"/>
    <cellStyle name="메모 8 5 4" xfId="18277"/>
    <cellStyle name="메모 8 6" xfId="1529"/>
    <cellStyle name="메모 8 6 2" xfId="2426"/>
    <cellStyle name="메모 8 6 2 2" xfId="15732"/>
    <cellStyle name="메모 8 6 2 2 2" xfId="32873"/>
    <cellStyle name="메모 8 6 2 3" xfId="19569"/>
    <cellStyle name="메모 8 6 3" xfId="14836"/>
    <cellStyle name="메모 8 6 3 2" xfId="31977"/>
    <cellStyle name="메모 8 6 4" xfId="18672"/>
    <cellStyle name="메모 8 7" xfId="673"/>
    <cellStyle name="메모 8 7 2" xfId="14038"/>
    <cellStyle name="메모 8 7 2 2" xfId="31179"/>
    <cellStyle name="메모 8 7 3" xfId="17816"/>
    <cellStyle name="메모 8 8" xfId="1635"/>
    <cellStyle name="메모 8 8 2" xfId="14941"/>
    <cellStyle name="메모 8 8 2 2" xfId="32082"/>
    <cellStyle name="메모 8 8 3" xfId="18778"/>
    <cellStyle name="메모 8 9" xfId="12935"/>
    <cellStyle name="메모 8 9 2" xfId="16293"/>
    <cellStyle name="메모 8 9 2 2" xfId="33434"/>
    <cellStyle name="메모 8 9 3" xfId="30076"/>
    <cellStyle name="메모 9" xfId="394"/>
    <cellStyle name="메모 9 10" xfId="12997"/>
    <cellStyle name="메모 9 10 2" xfId="16348"/>
    <cellStyle name="메모 9 10 2 2" xfId="33489"/>
    <cellStyle name="메모 9 10 3" xfId="30138"/>
    <cellStyle name="메모 9 11" xfId="12784"/>
    <cellStyle name="메모 9 11 2" xfId="16147"/>
    <cellStyle name="메모 9 11 2 2" xfId="33288"/>
    <cellStyle name="메모 9 11 3" xfId="29925"/>
    <cellStyle name="메모 9 12" xfId="13168"/>
    <cellStyle name="메모 9 12 2" xfId="16519"/>
    <cellStyle name="메모 9 12 2 2" xfId="33660"/>
    <cellStyle name="메모 9 12 3" xfId="30309"/>
    <cellStyle name="메모 9 13" xfId="12674"/>
    <cellStyle name="메모 9 13 2" xfId="16037"/>
    <cellStyle name="메모 9 13 2 2" xfId="33178"/>
    <cellStyle name="메모 9 13 3" xfId="29815"/>
    <cellStyle name="메모 9 14" xfId="13352"/>
    <cellStyle name="메모 9 14 2" xfId="16703"/>
    <cellStyle name="메모 9 14 2 2" xfId="33844"/>
    <cellStyle name="메모 9 14 3" xfId="30493"/>
    <cellStyle name="메모 9 15" xfId="12988"/>
    <cellStyle name="메모 9 15 2" xfId="16339"/>
    <cellStyle name="메모 9 15 2 2" xfId="33480"/>
    <cellStyle name="메모 9 15 3" xfId="30129"/>
    <cellStyle name="메모 9 16" xfId="13041"/>
    <cellStyle name="메모 9 16 2" xfId="16392"/>
    <cellStyle name="메모 9 16 2 2" xfId="33533"/>
    <cellStyle name="메모 9 16 3" xfId="30182"/>
    <cellStyle name="메모 9 17" xfId="13565"/>
    <cellStyle name="메모 9 17 2" xfId="16916"/>
    <cellStyle name="메모 9 17 2 2" xfId="34057"/>
    <cellStyle name="메모 9 17 3" xfId="30706"/>
    <cellStyle name="메모 9 18" xfId="13629"/>
    <cellStyle name="메모 9 18 2" xfId="16980"/>
    <cellStyle name="메모 9 18 2 2" xfId="34121"/>
    <cellStyle name="메모 9 18 3" xfId="30770"/>
    <cellStyle name="메모 9 19" xfId="13756"/>
    <cellStyle name="메모 9 19 2" xfId="17107"/>
    <cellStyle name="메모 9 19 2 2" xfId="34248"/>
    <cellStyle name="메모 9 19 3" xfId="30897"/>
    <cellStyle name="메모 9 2" xfId="885"/>
    <cellStyle name="메모 9 2 2" xfId="1302"/>
    <cellStyle name="메모 9 2 2 2" xfId="2200"/>
    <cellStyle name="메모 9 2 2 2 2" xfId="15506"/>
    <cellStyle name="메모 9 2 2 2 2 2" xfId="32647"/>
    <cellStyle name="메모 9 2 2 2 3" xfId="19343"/>
    <cellStyle name="메모 9 2 2 3" xfId="14610"/>
    <cellStyle name="메모 9 2 2 3 2" xfId="31751"/>
    <cellStyle name="메모 9 2 2 4" xfId="18445"/>
    <cellStyle name="메모 9 2 3" xfId="1805"/>
    <cellStyle name="메모 9 2 3 2" xfId="15111"/>
    <cellStyle name="메모 9 2 3 2 2" xfId="32252"/>
    <cellStyle name="메모 9 2 3 3" xfId="18948"/>
    <cellStyle name="메모 9 2 4" xfId="14206"/>
    <cellStyle name="메모 9 2 4 2" xfId="31347"/>
    <cellStyle name="메모 9 2 5" xfId="18028"/>
    <cellStyle name="메모 9 20" xfId="13892"/>
    <cellStyle name="메모 9 20 2" xfId="31033"/>
    <cellStyle name="메모 9 21" xfId="17537"/>
    <cellStyle name="메모 9 3" xfId="746"/>
    <cellStyle name="메모 9 3 2" xfId="1199"/>
    <cellStyle name="메모 9 3 2 2" xfId="2097"/>
    <cellStyle name="메모 9 3 2 2 2" xfId="15403"/>
    <cellStyle name="메모 9 3 2 2 2 2" xfId="32544"/>
    <cellStyle name="메모 9 3 2 2 3" xfId="19240"/>
    <cellStyle name="메모 9 3 2 3" xfId="14507"/>
    <cellStyle name="메모 9 3 2 3 2" xfId="31648"/>
    <cellStyle name="메모 9 3 2 4" xfId="18342"/>
    <cellStyle name="메모 9 3 3" xfId="1702"/>
    <cellStyle name="메모 9 3 3 2" xfId="15008"/>
    <cellStyle name="메모 9 3 3 2 2" xfId="32149"/>
    <cellStyle name="메모 9 3 3 3" xfId="18845"/>
    <cellStyle name="메모 9 3 4" xfId="14103"/>
    <cellStyle name="메모 9 3 4 2" xfId="31244"/>
    <cellStyle name="메모 9 3 5" xfId="17889"/>
    <cellStyle name="메모 9 4" xfId="1002"/>
    <cellStyle name="메모 9 4 2" xfId="1401"/>
    <cellStyle name="메모 9 4 2 2" xfId="2299"/>
    <cellStyle name="메모 9 4 2 2 2" xfId="15605"/>
    <cellStyle name="메모 9 4 2 2 2 2" xfId="32746"/>
    <cellStyle name="메모 9 4 2 2 3" xfId="19442"/>
    <cellStyle name="메모 9 4 2 3" xfId="14709"/>
    <cellStyle name="메모 9 4 2 3 2" xfId="31850"/>
    <cellStyle name="메모 9 4 2 4" xfId="18544"/>
    <cellStyle name="메모 9 4 3" xfId="1909"/>
    <cellStyle name="메모 9 4 3 2" xfId="15215"/>
    <cellStyle name="메모 9 4 3 2 2" xfId="32356"/>
    <cellStyle name="메모 9 4 3 3" xfId="19052"/>
    <cellStyle name="메모 9 4 4" xfId="14310"/>
    <cellStyle name="메모 9 4 4 2" xfId="31451"/>
    <cellStyle name="메모 9 4 5" xfId="18145"/>
    <cellStyle name="메모 9 5" xfId="1102"/>
    <cellStyle name="메모 9 5 2" xfId="2004"/>
    <cellStyle name="메모 9 5 2 2" xfId="15310"/>
    <cellStyle name="메모 9 5 2 2 2" xfId="32451"/>
    <cellStyle name="메모 9 5 2 3" xfId="19147"/>
    <cellStyle name="메모 9 5 3" xfId="14410"/>
    <cellStyle name="메모 9 5 3 2" xfId="31551"/>
    <cellStyle name="메모 9 5 4" xfId="18245"/>
    <cellStyle name="메모 9 6" xfId="1497"/>
    <cellStyle name="메모 9 6 2" xfId="2394"/>
    <cellStyle name="메모 9 6 2 2" xfId="15700"/>
    <cellStyle name="메모 9 6 2 2 2" xfId="32841"/>
    <cellStyle name="메모 9 6 2 3" xfId="19537"/>
    <cellStyle name="메모 9 6 3" xfId="14804"/>
    <cellStyle name="메모 9 6 3 2" xfId="31945"/>
    <cellStyle name="메모 9 6 4" xfId="18640"/>
    <cellStyle name="메모 9 7" xfId="633"/>
    <cellStyle name="메모 9 7 2" xfId="14003"/>
    <cellStyle name="메모 9 7 2 2" xfId="31144"/>
    <cellStyle name="메모 9 7 3" xfId="17776"/>
    <cellStyle name="메모 9 8" xfId="1600"/>
    <cellStyle name="메모 9 8 2" xfId="14906"/>
    <cellStyle name="메모 9 8 2 2" xfId="32047"/>
    <cellStyle name="메모 9 8 3" xfId="18743"/>
    <cellStyle name="메모 9 9" xfId="12886"/>
    <cellStyle name="메모 9 9 2" xfId="16244"/>
    <cellStyle name="메모 9 9 2 2" xfId="33385"/>
    <cellStyle name="메모 9 9 3" xfId="30027"/>
    <cellStyle name="메시지" xfId="36822"/>
    <cellStyle name="믅됞 [0.00]_PRODUCT DETAIL Q1" xfId="46"/>
    <cellStyle name="믅됞_PRODUCT DETAIL Q1" xfId="47"/>
    <cellStyle name="백만" xfId="36823"/>
    <cellStyle name="백만원" xfId="36824"/>
    <cellStyle name="백분율" xfId="1" builtinId="5"/>
    <cellStyle name="백분율 [0]" xfId="35491"/>
    <cellStyle name="백분율 [2]" xfId="35492"/>
    <cellStyle name="백분율 10" xfId="185"/>
    <cellStyle name="백분율 10 2" xfId="17328"/>
    <cellStyle name="백분율 10 2 2" xfId="34331"/>
    <cellStyle name="백분율 10 2 3" xfId="34330"/>
    <cellStyle name="백분율 10 3" xfId="34332"/>
    <cellStyle name="백분율 10 4" xfId="34329"/>
    <cellStyle name="백분율 11" xfId="17178"/>
    <cellStyle name="백분율 11 2" xfId="34334"/>
    <cellStyle name="백분율 11 2 2" xfId="34335"/>
    <cellStyle name="백분율 11 3" xfId="34336"/>
    <cellStyle name="백분율 11 4" xfId="34333"/>
    <cellStyle name="백분율 12" xfId="34317"/>
    <cellStyle name="백분율 12 2" xfId="34338"/>
    <cellStyle name="백분율 12 2 2" xfId="34339"/>
    <cellStyle name="백분율 12 3" xfId="34340"/>
    <cellStyle name="백분율 12 4" xfId="34337"/>
    <cellStyle name="백분율 13" xfId="34341"/>
    <cellStyle name="백분율 13 2" xfId="34342"/>
    <cellStyle name="백분율 13 2 2" xfId="34343"/>
    <cellStyle name="백분율 13 3" xfId="34344"/>
    <cellStyle name="백분율 14" xfId="34345"/>
    <cellStyle name="백분율 14 2" xfId="34346"/>
    <cellStyle name="백분율 14 2 2" xfId="34347"/>
    <cellStyle name="백분율 14 3" xfId="34348"/>
    <cellStyle name="백분율 15" xfId="34349"/>
    <cellStyle name="백분율 15 2" xfId="34350"/>
    <cellStyle name="백분율 15 2 2" xfId="34351"/>
    <cellStyle name="백분율 15 3" xfId="34352"/>
    <cellStyle name="백분율 16" xfId="34353"/>
    <cellStyle name="백분율 16 2" xfId="34354"/>
    <cellStyle name="백분율 16 2 2" xfId="34355"/>
    <cellStyle name="백분율 16 3" xfId="34356"/>
    <cellStyle name="백분율 17" xfId="34357"/>
    <cellStyle name="백분율 17 2" xfId="34358"/>
    <cellStyle name="백분율 17 2 2" xfId="34359"/>
    <cellStyle name="백분율 17 3" xfId="34360"/>
    <cellStyle name="백분율 18" xfId="34361"/>
    <cellStyle name="백분율 18 2" xfId="34362"/>
    <cellStyle name="백분율 18 2 2" xfId="34363"/>
    <cellStyle name="백분율 18 3" xfId="34364"/>
    <cellStyle name="백분율 19" xfId="34365"/>
    <cellStyle name="백분율 19 2" xfId="34366"/>
    <cellStyle name="백분율 19 2 2" xfId="34367"/>
    <cellStyle name="백분율 19 3" xfId="34368"/>
    <cellStyle name="백분율 2" xfId="147"/>
    <cellStyle name="백분율 2 10" xfId="35493"/>
    <cellStyle name="백분율 2 11" xfId="17179"/>
    <cellStyle name="백분율 2 11 2" xfId="35863"/>
    <cellStyle name="백분율 2 12" xfId="34369"/>
    <cellStyle name="백분율 2 13" xfId="36921"/>
    <cellStyle name="백분율 2 2" xfId="157"/>
    <cellStyle name="백분율 2 2 2" xfId="17302"/>
    <cellStyle name="백분율 2 2 3" xfId="35494"/>
    <cellStyle name="백분율 2 3" xfId="554"/>
    <cellStyle name="백분율 2 3 2" xfId="17697"/>
    <cellStyle name="백분율 2 3 2 2" xfId="35496"/>
    <cellStyle name="백분율 2 3 3" xfId="35497"/>
    <cellStyle name="백분율 2 3 4" xfId="35498"/>
    <cellStyle name="백분율 2 3 5" xfId="35495"/>
    <cellStyle name="백분율 2 30" xfId="34370"/>
    <cellStyle name="백분율 2 4" xfId="158"/>
    <cellStyle name="백분율 2 4 2" xfId="301"/>
    <cellStyle name="백분율 2 4 2 2" xfId="17444"/>
    <cellStyle name="백분율 2 4 3" xfId="17303"/>
    <cellStyle name="백분율 2 4 4" xfId="35499"/>
    <cellStyle name="백분율 2 5" xfId="805"/>
    <cellStyle name="백분율 2 5 2" xfId="17948"/>
    <cellStyle name="백분율 2 5 3" xfId="35500"/>
    <cellStyle name="백분율 2 6" xfId="504"/>
    <cellStyle name="백분율 2 6 2" xfId="17647"/>
    <cellStyle name="백분율 2 6 3" xfId="35501"/>
    <cellStyle name="백분율 2 7" xfId="17292"/>
    <cellStyle name="백분율 2 7 2" xfId="35502"/>
    <cellStyle name="백분율 2 8" xfId="35503"/>
    <cellStyle name="백분율 2 9" xfId="35504"/>
    <cellStyle name="백분율 20" xfId="34371"/>
    <cellStyle name="백분율 21" xfId="34322"/>
    <cellStyle name="백분율 22" xfId="34372"/>
    <cellStyle name="백분율 22 2" xfId="34373"/>
    <cellStyle name="백분율 22 2 2" xfId="34374"/>
    <cellStyle name="백분율 22 3" xfId="34375"/>
    <cellStyle name="백분율 23" xfId="34376"/>
    <cellStyle name="백분율 23 2" xfId="34377"/>
    <cellStyle name="백분율 23 2 2" xfId="34378"/>
    <cellStyle name="백분율 23 3" xfId="34379"/>
    <cellStyle name="백분율 24" xfId="34380"/>
    <cellStyle name="백분율 25" xfId="34381"/>
    <cellStyle name="백분율 25 2" xfId="34382"/>
    <cellStyle name="백분율 25 2 2" xfId="34383"/>
    <cellStyle name="백분율 25 3" xfId="34384"/>
    <cellStyle name="백분율 25 3 2" xfId="13839"/>
    <cellStyle name="백분율 25 3 2 2" xfId="30980"/>
    <cellStyle name="백분율 26" xfId="35872"/>
    <cellStyle name="백분율 27" xfId="34385"/>
    <cellStyle name="백분율 27 2" xfId="34386"/>
    <cellStyle name="백분율 27 2 2" xfId="34387"/>
    <cellStyle name="백분율 27 3" xfId="34388"/>
    <cellStyle name="백분율 28" xfId="34389"/>
    <cellStyle name="백분율 29" xfId="34390"/>
    <cellStyle name="백분율 29 2" xfId="34391"/>
    <cellStyle name="백분율 29 2 2" xfId="34392"/>
    <cellStyle name="백분율 29 3" xfId="34393"/>
    <cellStyle name="백분율 3" xfId="159"/>
    <cellStyle name="백분율 3 2" xfId="160"/>
    <cellStyle name="백분율 3 2 2" xfId="17305"/>
    <cellStyle name="백분율 3 3" xfId="302"/>
    <cellStyle name="백분율 3 3 2" xfId="17445"/>
    <cellStyle name="백분율 3 4" xfId="17304"/>
    <cellStyle name="백분율 3 5" xfId="35022"/>
    <cellStyle name="백분율 30" xfId="36922"/>
    <cellStyle name="백분율 31" xfId="34394"/>
    <cellStyle name="백분율 31 2" xfId="34395"/>
    <cellStyle name="백분율 31 2 2" xfId="34396"/>
    <cellStyle name="백분율 31 3" xfId="34397"/>
    <cellStyle name="백분율 32" xfId="34398"/>
    <cellStyle name="백분율 33" xfId="34399"/>
    <cellStyle name="백분율 33 2" xfId="34400"/>
    <cellStyle name="백분율 33 2 2" xfId="34401"/>
    <cellStyle name="백분율 33 3" xfId="34402"/>
    <cellStyle name="백분율 34" xfId="36923"/>
    <cellStyle name="백분율 35" xfId="34403"/>
    <cellStyle name="백분율 35 2" xfId="34404"/>
    <cellStyle name="백분율 35 2 2" xfId="34405"/>
    <cellStyle name="백분율 35 3" xfId="34406"/>
    <cellStyle name="백분율 36" xfId="34407"/>
    <cellStyle name="백분율 37" xfId="34408"/>
    <cellStyle name="백분율 37 2" xfId="34409"/>
    <cellStyle name="백분율 37 2 2" xfId="34410"/>
    <cellStyle name="백분율 37 3" xfId="34411"/>
    <cellStyle name="백분율 39" xfId="34412"/>
    <cellStyle name="백분율 39 2" xfId="34413"/>
    <cellStyle name="백분율 39 2 2" xfId="34414"/>
    <cellStyle name="백분율 39 3" xfId="34415"/>
    <cellStyle name="백분율 4" xfId="161"/>
    <cellStyle name="백분율 4 2" xfId="303"/>
    <cellStyle name="백분율 4 2 2" xfId="17446"/>
    <cellStyle name="백분율 4 3" xfId="17306"/>
    <cellStyle name="백분율 4 4" xfId="35021"/>
    <cellStyle name="백분율 40" xfId="34416"/>
    <cellStyle name="백분율 41" xfId="34417"/>
    <cellStyle name="백분율 41 2" xfId="34418"/>
    <cellStyle name="백분율 41 2 2" xfId="34419"/>
    <cellStyle name="백분율 41 3" xfId="34420"/>
    <cellStyle name="백분율 42" xfId="34421"/>
    <cellStyle name="백분율 42 2" xfId="34422"/>
    <cellStyle name="백분율 42 2 2" xfId="34423"/>
    <cellStyle name="백분율 42 3" xfId="34424"/>
    <cellStyle name="백분율 43" xfId="34425"/>
    <cellStyle name="백분율 44" xfId="34426"/>
    <cellStyle name="백분율 44 2" xfId="34427"/>
    <cellStyle name="백분율 44 2 2" xfId="34428"/>
    <cellStyle name="백분율 44 3" xfId="34429"/>
    <cellStyle name="백분율 46" xfId="34430"/>
    <cellStyle name="백분율 46 2" xfId="34431"/>
    <cellStyle name="백분율 46 2 2" xfId="34432"/>
    <cellStyle name="백분율 46 3" xfId="34433"/>
    <cellStyle name="백분율 47" xfId="34434"/>
    <cellStyle name="백분율 48" xfId="34435"/>
    <cellStyle name="백분율 48 2" xfId="34436"/>
    <cellStyle name="백분율 48 2 2" xfId="34437"/>
    <cellStyle name="백분율 48 3" xfId="34438"/>
    <cellStyle name="백분율 49" xfId="34439"/>
    <cellStyle name="백분율 49 2" xfId="34440"/>
    <cellStyle name="백분율 49 2 2" xfId="34441"/>
    <cellStyle name="백분율 49 3" xfId="34442"/>
    <cellStyle name="백분율 5" xfId="535"/>
    <cellStyle name="백분율 5 2" xfId="13842"/>
    <cellStyle name="백분율 5 2 2" xfId="30983"/>
    <cellStyle name="백분율 5 2 2 2" xfId="34445"/>
    <cellStyle name="백분율 5 2 3" xfId="34444"/>
    <cellStyle name="백분율 5 3" xfId="17678"/>
    <cellStyle name="백분율 5 3 2" xfId="34446"/>
    <cellStyle name="백분율 5 4" xfId="34443"/>
    <cellStyle name="백분율 50" xfId="34447"/>
    <cellStyle name="백분율 51" xfId="34448"/>
    <cellStyle name="백분율 51 2" xfId="34449"/>
    <cellStyle name="백분율 51 2 2" xfId="34450"/>
    <cellStyle name="백분율 51 3" xfId="34451"/>
    <cellStyle name="백분율 52" xfId="34452"/>
    <cellStyle name="백분율 52 2" xfId="34453"/>
    <cellStyle name="백분율 52 2 2" xfId="34454"/>
    <cellStyle name="백분율 52 3" xfId="34455"/>
    <cellStyle name="백분율 53" xfId="34456"/>
    <cellStyle name="백분율 54" xfId="34457"/>
    <cellStyle name="백분율 54 2" xfId="34458"/>
    <cellStyle name="백분율 54 2 2" xfId="34459"/>
    <cellStyle name="백분율 54 3" xfId="34460"/>
    <cellStyle name="백분율 55" xfId="34461"/>
    <cellStyle name="백분율 55 2" xfId="34462"/>
    <cellStyle name="백분율 55 2 2" xfId="34463"/>
    <cellStyle name="백분율 55 3" xfId="34464"/>
    <cellStyle name="백분율 56" xfId="34465"/>
    <cellStyle name="백분율 57" xfId="34466"/>
    <cellStyle name="백분율 57 2" xfId="34467"/>
    <cellStyle name="백분율 57 2 2" xfId="34468"/>
    <cellStyle name="백분율 57 3" xfId="34469"/>
    <cellStyle name="백분율 58" xfId="34470"/>
    <cellStyle name="백분율 58 2" xfId="34471"/>
    <cellStyle name="백분율 58 2 2" xfId="34472"/>
    <cellStyle name="백분율 58 3" xfId="34473"/>
    <cellStyle name="백분율 59" xfId="34474"/>
    <cellStyle name="백분율 6" xfId="5"/>
    <cellStyle name="백분율 6 2" xfId="17944"/>
    <cellStyle name="백분율 6 2 2" xfId="34477"/>
    <cellStyle name="백분율 6 2 3" xfId="34476"/>
    <cellStyle name="백분율 6 3" xfId="34478"/>
    <cellStyle name="백분율 6 4" xfId="34475"/>
    <cellStyle name="백분율 6 5" xfId="801"/>
    <cellStyle name="백분율 60" xfId="34479"/>
    <cellStyle name="백분율 60 2" xfId="34480"/>
    <cellStyle name="백분율 60 2 2" xfId="34481"/>
    <cellStyle name="백분율 60 3" xfId="34482"/>
    <cellStyle name="백분율 61" xfId="34483"/>
    <cellStyle name="백분율 61 2" xfId="34484"/>
    <cellStyle name="백분율 61 2 2" xfId="34485"/>
    <cellStyle name="백분율 61 3" xfId="34486"/>
    <cellStyle name="백분율 62" xfId="34487"/>
    <cellStyle name="백분율 63" xfId="34488"/>
    <cellStyle name="백분율 63 2" xfId="34489"/>
    <cellStyle name="백분율 63 2 2" xfId="34490"/>
    <cellStyle name="백분율 63 3" xfId="34491"/>
    <cellStyle name="백분율 64" xfId="34492"/>
    <cellStyle name="백분율 64 2" xfId="34493"/>
    <cellStyle name="백분율 64 2 2" xfId="34494"/>
    <cellStyle name="백분율 64 3" xfId="34495"/>
    <cellStyle name="백분율 65" xfId="34496"/>
    <cellStyle name="백분율 66" xfId="34497"/>
    <cellStyle name="백분율 66 2" xfId="34498"/>
    <cellStyle name="백분율 66 2 2" xfId="34499"/>
    <cellStyle name="백분율 66 3" xfId="34500"/>
    <cellStyle name="백분율 67" xfId="34501"/>
    <cellStyle name="백분율 67 2" xfId="34502"/>
    <cellStyle name="백분율 67 2 2" xfId="34503"/>
    <cellStyle name="백분율 67 3" xfId="34504"/>
    <cellStyle name="백분율 68" xfId="34505"/>
    <cellStyle name="백분율 69" xfId="34506"/>
    <cellStyle name="백분율 69 2" xfId="34507"/>
    <cellStyle name="백분율 69 2 2" xfId="34508"/>
    <cellStyle name="백분율 69 3" xfId="34509"/>
    <cellStyle name="백분율 7" xfId="500"/>
    <cellStyle name="백분율 7 2" xfId="17643"/>
    <cellStyle name="백분율 7 2 2" xfId="34512"/>
    <cellStyle name="백분율 7 2 3" xfId="34511"/>
    <cellStyle name="백분율 7 3" xfId="34513"/>
    <cellStyle name="백분율 7 4" xfId="34510"/>
    <cellStyle name="백분율 70" xfId="34514"/>
    <cellStyle name="백분율 70 2" xfId="34515"/>
    <cellStyle name="백분율 70 2 2" xfId="34516"/>
    <cellStyle name="백분율 70 3" xfId="34517"/>
    <cellStyle name="백분율 71" xfId="34518"/>
    <cellStyle name="백분율 8" xfId="2651"/>
    <cellStyle name="백분율 8 2" xfId="19792"/>
    <cellStyle name="백분율 8 2 2" xfId="34521"/>
    <cellStyle name="백분율 8 2 3" xfId="34520"/>
    <cellStyle name="백분율 8 3" xfId="34522"/>
    <cellStyle name="백분율 8 4" xfId="34519"/>
    <cellStyle name="백분율 9" xfId="48"/>
    <cellStyle name="백분율 9 2" xfId="17220"/>
    <cellStyle name="백분율 9 2 2" xfId="34525"/>
    <cellStyle name="백분율 9 2 3" xfId="34524"/>
    <cellStyle name="백분율 9 3" xfId="34526"/>
    <cellStyle name="백분율 9 4" xfId="34523"/>
    <cellStyle name="백분율[2]" xfId="36825"/>
    <cellStyle name="보통 2" xfId="223"/>
    <cellStyle name="보통 2 2" xfId="17366"/>
    <cellStyle name="보통 2 3" xfId="35505"/>
    <cellStyle name="보통 3" xfId="491"/>
    <cellStyle name="보통 3 2" xfId="17634"/>
    <cellStyle name="보통 3 3" xfId="35506"/>
    <cellStyle name="보통 4" xfId="536"/>
    <cellStyle name="보통 4 2" xfId="17679"/>
    <cellStyle name="보통 4 3" xfId="35507"/>
    <cellStyle name="보통 5" xfId="49"/>
    <cellStyle name="보통 5 2" xfId="17221"/>
    <cellStyle name="뷭?" xfId="36826"/>
    <cellStyle name="삼일-금지" xfId="36827"/>
    <cellStyle name="삼일-입력" xfId="36828"/>
    <cellStyle name="常规_Book1" xfId="162"/>
    <cellStyle name="새귑[0]_롤痰삠悧 " xfId="36829"/>
    <cellStyle name="새귑_롤痰삠悧 " xfId="36830"/>
    <cellStyle name="선택영역" xfId="36831"/>
    <cellStyle name="선택영역 가운데" xfId="36832"/>
    <cellStyle name="선택영역의 가운데" xfId="36833"/>
    <cellStyle name="선택영영" xfId="36834"/>
    <cellStyle name="설계서-내용" xfId="36835"/>
    <cellStyle name="설계서-내용-소수점" xfId="36836"/>
    <cellStyle name="설계서-내용-우" xfId="36837"/>
    <cellStyle name="설계서-내용-좌" xfId="36838"/>
    <cellStyle name="설계서-소제목" xfId="36839"/>
    <cellStyle name="설계서-타이틀" xfId="36840"/>
    <cellStyle name="설계서-항목" xfId="36841"/>
    <cellStyle name="설명 텍스트 2" xfId="224"/>
    <cellStyle name="설명 텍스트 2 2" xfId="17367"/>
    <cellStyle name="설명 텍스트 2 3" xfId="35508"/>
    <cellStyle name="설명 텍스트 3" xfId="537"/>
    <cellStyle name="설명 텍스트 3 2" xfId="17680"/>
    <cellStyle name="설명 텍스트 3 3" xfId="35509"/>
    <cellStyle name="설명 텍스트 4" xfId="2652"/>
    <cellStyle name="설명 텍스트 4 2" xfId="19793"/>
    <cellStyle name="설명 텍스트 4 3" xfId="35510"/>
    <cellStyle name="설명 텍스트 5" xfId="50"/>
    <cellStyle name="설명 텍스트 5 2" xfId="17222"/>
    <cellStyle name="셀 확인 2" xfId="225"/>
    <cellStyle name="셀 확인 2 10" xfId="17368"/>
    <cellStyle name="셀 확인 2 11" xfId="35511"/>
    <cellStyle name="셀 확인 2 2" xfId="811"/>
    <cellStyle name="셀 확인 2 2 2" xfId="17954"/>
    <cellStyle name="셀 확인 2 3" xfId="559"/>
    <cellStyle name="셀 확인 2 3 2" xfId="17702"/>
    <cellStyle name="셀 확인 2 4" xfId="12685"/>
    <cellStyle name="셀 확인 2 4 2" xfId="16048"/>
    <cellStyle name="셀 확인 2 4 2 2" xfId="33189"/>
    <cellStyle name="셀 확인 2 4 3" xfId="29826"/>
    <cellStyle name="셀 확인 2 5" xfId="12628"/>
    <cellStyle name="셀 확인 2 5 2" xfId="15991"/>
    <cellStyle name="셀 확인 2 5 2 2" xfId="33132"/>
    <cellStyle name="셀 확인 2 5 3" xfId="29769"/>
    <cellStyle name="셀 확인 2 6" xfId="13246"/>
    <cellStyle name="셀 확인 2 6 2" xfId="16597"/>
    <cellStyle name="셀 확인 2 6 2 2" xfId="33738"/>
    <cellStyle name="셀 확인 2 6 3" xfId="30387"/>
    <cellStyle name="셀 확인 2 7" xfId="13033"/>
    <cellStyle name="셀 확인 2 7 2" xfId="16384"/>
    <cellStyle name="셀 확인 2 7 2 2" xfId="33525"/>
    <cellStyle name="셀 확인 2 7 3" xfId="30174"/>
    <cellStyle name="셀 확인 2 8" xfId="12645"/>
    <cellStyle name="셀 확인 2 8 2" xfId="16008"/>
    <cellStyle name="셀 확인 2 8 2 2" xfId="33149"/>
    <cellStyle name="셀 확인 2 8 3" xfId="29786"/>
    <cellStyle name="셀 확인 2 9" xfId="13740"/>
    <cellStyle name="셀 확인 2 9 2" xfId="17091"/>
    <cellStyle name="셀 확인 2 9 2 2" xfId="34232"/>
    <cellStyle name="셀 확인 2 9 3" xfId="30881"/>
    <cellStyle name="셀 확인 3" xfId="376"/>
    <cellStyle name="셀 확인 3 10" xfId="35512"/>
    <cellStyle name="셀 확인 3 2" xfId="876"/>
    <cellStyle name="셀 확인 3 2 2" xfId="18019"/>
    <cellStyle name="셀 확인 3 3" xfId="624"/>
    <cellStyle name="셀 확인 3 3 2" xfId="17767"/>
    <cellStyle name="셀 확인 3 4" xfId="12634"/>
    <cellStyle name="셀 확인 3 4 2" xfId="15997"/>
    <cellStyle name="셀 확인 3 4 2 2" xfId="33138"/>
    <cellStyle name="셀 확인 3 4 3" xfId="29775"/>
    <cellStyle name="셀 확인 3 5" xfId="12698"/>
    <cellStyle name="셀 확인 3 5 2" xfId="16061"/>
    <cellStyle name="셀 확인 3 5 2 2" xfId="33202"/>
    <cellStyle name="셀 확인 3 5 3" xfId="29839"/>
    <cellStyle name="셀 확인 3 6" xfId="12835"/>
    <cellStyle name="셀 확인 3 6 2" xfId="16193"/>
    <cellStyle name="셀 확인 3 6 2 2" xfId="33334"/>
    <cellStyle name="셀 확인 3 6 3" xfId="29976"/>
    <cellStyle name="셀 확인 3 7" xfId="12599"/>
    <cellStyle name="셀 확인 3 7 2" xfId="15962"/>
    <cellStyle name="셀 확인 3 7 2 2" xfId="33103"/>
    <cellStyle name="셀 확인 3 7 3" xfId="29740"/>
    <cellStyle name="셀 확인 3 8" xfId="13787"/>
    <cellStyle name="셀 확인 3 8 2" xfId="17133"/>
    <cellStyle name="셀 확인 3 8 2 2" xfId="34274"/>
    <cellStyle name="셀 확인 3 8 3" xfId="30928"/>
    <cellStyle name="셀 확인 3 9" xfId="17519"/>
    <cellStyle name="셀 확인 4" xfId="378"/>
    <cellStyle name="셀 확인 4 2" xfId="12699"/>
    <cellStyle name="셀 확인 4 2 2" xfId="16062"/>
    <cellStyle name="셀 확인 4 2 2 2" xfId="33203"/>
    <cellStyle name="셀 확인 4 2 3" xfId="29840"/>
    <cellStyle name="셀 확인 4 3" xfId="12715"/>
    <cellStyle name="셀 확인 4 3 2" xfId="16078"/>
    <cellStyle name="셀 확인 4 3 2 2" xfId="33219"/>
    <cellStyle name="셀 확인 4 3 3" xfId="29856"/>
    <cellStyle name="셀 확인 4 4" xfId="13260"/>
    <cellStyle name="셀 확인 4 4 2" xfId="16611"/>
    <cellStyle name="셀 확인 4 4 2 2" xfId="33752"/>
    <cellStyle name="셀 확인 4 4 3" xfId="30401"/>
    <cellStyle name="셀 확인 4 5" xfId="12752"/>
    <cellStyle name="셀 확인 4 5 2" xfId="16115"/>
    <cellStyle name="셀 확인 4 5 2 2" xfId="33256"/>
    <cellStyle name="셀 확인 4 5 3" xfId="29893"/>
    <cellStyle name="셀 확인 4 6" xfId="13789"/>
    <cellStyle name="셀 확인 4 6 2" xfId="17135"/>
    <cellStyle name="셀 확인 4 6 2 2" xfId="34276"/>
    <cellStyle name="셀 확인 4 6 3" xfId="30930"/>
    <cellStyle name="셀 확인 4 7" xfId="17521"/>
    <cellStyle name="셀 확인 4 8" xfId="35513"/>
    <cellStyle name="셀 확인 5" xfId="538"/>
    <cellStyle name="셀 확인 5 2" xfId="17681"/>
    <cellStyle name="셀 확인 6" xfId="51"/>
    <cellStyle name="셀 확인 6 2" xfId="17223"/>
    <cellStyle name="셈迷?XLS!check_filesche|_x0005_" xfId="36842"/>
    <cellStyle name="소숫점0" xfId="36843"/>
    <cellStyle name="소숫점3" xfId="36844"/>
    <cellStyle name="소유자별 현황" xfId="163"/>
    <cellStyle name="소유자별 현황 2" xfId="304"/>
    <cellStyle name="소유자별 현황 2 2" xfId="17447"/>
    <cellStyle name="소유자별 현황 3" xfId="17307"/>
    <cellStyle name="소제목" xfId="36845"/>
    <cellStyle name="숫자" xfId="36846"/>
    <cellStyle name="숫자 2" xfId="36847"/>
    <cellStyle name="숫자(R)" xfId="52"/>
    <cellStyle name="숫자(R) 2" xfId="226"/>
    <cellStyle name="숫자(R) 2 2" xfId="17369"/>
    <cellStyle name="숫자(R) 3" xfId="17224"/>
    <cellStyle name="숫자[1]" xfId="36848"/>
    <cellStyle name="숫자_자본비용" xfId="36849"/>
    <cellStyle name="숫자1" xfId="36850"/>
    <cellStyle name="숫자3" xfId="36851"/>
    <cellStyle name="숫자3R" xfId="36852"/>
    <cellStyle name="숫자3자리" xfId="36853"/>
    <cellStyle name="쉼표 [0]" xfId="2" builtinId="6"/>
    <cellStyle name="쉼표 [0] 10" xfId="539"/>
    <cellStyle name="쉼표 [0] 10 2" xfId="1551"/>
    <cellStyle name="쉼표 [0] 10 2 2" xfId="18694"/>
    <cellStyle name="쉼표 [0] 10 3" xfId="17682"/>
    <cellStyle name="쉼표 [0] 10 4" xfId="35514"/>
    <cellStyle name="쉼표 [0] 11" xfId="804"/>
    <cellStyle name="쉼표 [0] 11 2" xfId="1460"/>
    <cellStyle name="쉼표 [0] 11 2 2" xfId="18603"/>
    <cellStyle name="쉼표 [0] 11 3" xfId="17947"/>
    <cellStyle name="쉼표 [0] 11 4" xfId="35515"/>
    <cellStyle name="쉼표 [0] 12" xfId="503"/>
    <cellStyle name="쉼표 [0] 12 2" xfId="17646"/>
    <cellStyle name="쉼표 [0] 12 3" xfId="35516"/>
    <cellStyle name="쉼표 [0] 13" xfId="2448"/>
    <cellStyle name="쉼표 [0] 13 2" xfId="19591"/>
    <cellStyle name="쉼표 [0] 13 2 2" xfId="34528"/>
    <cellStyle name="쉼표 [0] 13 2 3" xfId="34527"/>
    <cellStyle name="쉼표 [0] 13 3" xfId="34529"/>
    <cellStyle name="쉼표 [0] 13 4" xfId="34327"/>
    <cellStyle name="쉼표 [0] 14" xfId="53"/>
    <cellStyle name="쉼표 [0] 14 2" xfId="17225"/>
    <cellStyle name="쉼표 [0] 14 3" xfId="35517"/>
    <cellStyle name="쉼표 [0] 15" xfId="184"/>
    <cellStyle name="쉼표 [0] 15 2" xfId="17327"/>
    <cellStyle name="쉼표 [0] 15 2 2" xfId="34532"/>
    <cellStyle name="쉼표 [0] 15 2 3" xfId="34531"/>
    <cellStyle name="쉼표 [0] 15 3" xfId="34533"/>
    <cellStyle name="쉼표 [0] 15 4" xfId="34530"/>
    <cellStyle name="쉼표 [0] 16" xfId="34316"/>
    <cellStyle name="쉼표 [0] 16 2" xfId="34534"/>
    <cellStyle name="쉼표 [0] 17" xfId="35518"/>
    <cellStyle name="쉼표 [0] 18" xfId="34535"/>
    <cellStyle name="쉼표 [0] 18 2" xfId="34536"/>
    <cellStyle name="쉼표 [0] 18 2 2" xfId="34537"/>
    <cellStyle name="쉼표 [0] 18 3" xfId="34538"/>
    <cellStyle name="쉼표 [0] 19" xfId="34539"/>
    <cellStyle name="쉼표 [0] 19 2" xfId="34540"/>
    <cellStyle name="쉼표 [0] 19 2 2" xfId="34541"/>
    <cellStyle name="쉼표 [0] 19 3" xfId="34542"/>
    <cellStyle name="쉼표 [0] 2" xfId="54"/>
    <cellStyle name="쉼표 [0] 2 10" xfId="34543"/>
    <cellStyle name="쉼표 [0] 2 10 2" xfId="17180"/>
    <cellStyle name="쉼표 [0] 2 10 2 2" xfId="34545"/>
    <cellStyle name="쉼표 [0] 2 10 2 3" xfId="34546"/>
    <cellStyle name="쉼표 [0] 2 10 2 4" xfId="34544"/>
    <cellStyle name="쉼표 [0] 2 11" xfId="34547"/>
    <cellStyle name="쉼표 [0] 2 11 2" xfId="34548"/>
    <cellStyle name="쉼표 [0] 2 11 2 2" xfId="34549"/>
    <cellStyle name="쉼표 [0] 2 11 2 3" xfId="34550"/>
    <cellStyle name="쉼표 [0] 2 11 3" xfId="34551"/>
    <cellStyle name="쉼표 [0] 2 11 4" xfId="34552"/>
    <cellStyle name="쉼표 [0] 2 11 5" xfId="35866"/>
    <cellStyle name="쉼표 [0] 2 12" xfId="34553"/>
    <cellStyle name="쉼표 [0] 2 12 2" xfId="34554"/>
    <cellStyle name="쉼표 [0] 2 12 3" xfId="34555"/>
    <cellStyle name="쉼표 [0] 2 13" xfId="34556"/>
    <cellStyle name="쉼표 [0] 2 13 2" xfId="34557"/>
    <cellStyle name="쉼표 [0] 2 13 3" xfId="34558"/>
    <cellStyle name="쉼표 [0] 2 14" xfId="34559"/>
    <cellStyle name="쉼표 [0] 2 14 2" xfId="34560"/>
    <cellStyle name="쉼표 [0] 2 14 3" xfId="34561"/>
    <cellStyle name="쉼표 [0] 2 15" xfId="34562"/>
    <cellStyle name="쉼표 [0] 2 15 2" xfId="34563"/>
    <cellStyle name="쉼표 [0] 2 15 3" xfId="34564"/>
    <cellStyle name="쉼표 [0] 2 16" xfId="34565"/>
    <cellStyle name="쉼표 [0] 2 16 2" xfId="34566"/>
    <cellStyle name="쉼표 [0] 2 16 3" xfId="34567"/>
    <cellStyle name="쉼표 [0] 2 17" xfId="34568"/>
    <cellStyle name="쉼표 [0] 2 17 2" xfId="34569"/>
    <cellStyle name="쉼표 [0] 2 17 3" xfId="34570"/>
    <cellStyle name="쉼표 [0] 2 18" xfId="34571"/>
    <cellStyle name="쉼표 [0] 2 18 2" xfId="34572"/>
    <cellStyle name="쉼표 [0] 2 18 3" xfId="34573"/>
    <cellStyle name="쉼표 [0] 2 19" xfId="34574"/>
    <cellStyle name="쉼표 [0] 2 19 2" xfId="34575"/>
    <cellStyle name="쉼표 [0] 2 19 3" xfId="34576"/>
    <cellStyle name="쉼표 [0] 2 2" xfId="55"/>
    <cellStyle name="쉼표 [0] 2 2 10" xfId="35519"/>
    <cellStyle name="쉼표 [0] 2 2 11" xfId="34577"/>
    <cellStyle name="쉼표 [0] 2 2 2" xfId="17227"/>
    <cellStyle name="쉼표 [0] 2 2 2 10" xfId="35521"/>
    <cellStyle name="쉼표 [0] 2 2 2 11" xfId="35520"/>
    <cellStyle name="쉼표 [0] 2 2 2 2" xfId="35522"/>
    <cellStyle name="쉼표 [0] 2 2 2 2 2" xfId="35523"/>
    <cellStyle name="쉼표 [0] 2 2 2 3" xfId="35524"/>
    <cellStyle name="쉼표 [0] 2 2 2 4" xfId="35525"/>
    <cellStyle name="쉼표 [0] 2 2 2 5" xfId="35526"/>
    <cellStyle name="쉼표 [0] 2 2 2 6" xfId="35527"/>
    <cellStyle name="쉼표 [0] 2 2 2 7" xfId="35528"/>
    <cellStyle name="쉼표 [0] 2 2 2 8" xfId="35529"/>
    <cellStyle name="쉼표 [0] 2 2 2 9" xfId="35530"/>
    <cellStyle name="쉼표 [0] 2 2 3" xfId="35531"/>
    <cellStyle name="쉼표 [0] 2 2 3 2" xfId="35532"/>
    <cellStyle name="쉼표 [0] 2 2 4" xfId="35533"/>
    <cellStyle name="쉼표 [0] 2 2 5" xfId="35534"/>
    <cellStyle name="쉼표 [0] 2 2 6" xfId="35535"/>
    <cellStyle name="쉼표 [0] 2 2 7" xfId="35536"/>
    <cellStyle name="쉼표 [0] 2 2 8" xfId="35537"/>
    <cellStyle name="쉼표 [0] 2 2 9" xfId="35538"/>
    <cellStyle name="쉼표 [0] 2 20" xfId="34578"/>
    <cellStyle name="쉼표 [0] 2 20 2" xfId="34579"/>
    <cellStyle name="쉼표 [0] 2 20 3" xfId="34580"/>
    <cellStyle name="쉼표 [0] 2 21" xfId="34581"/>
    <cellStyle name="쉼표 [0] 2 21 2" xfId="34582"/>
    <cellStyle name="쉼표 [0] 2 21 3" xfId="34583"/>
    <cellStyle name="쉼표 [0] 2 22" xfId="34584"/>
    <cellStyle name="쉼표 [0] 2 22 2" xfId="34585"/>
    <cellStyle name="쉼표 [0] 2 23" xfId="34586"/>
    <cellStyle name="쉼표 [0] 2 24" xfId="34587"/>
    <cellStyle name="쉼표 [0] 2 25" xfId="34588"/>
    <cellStyle name="쉼표 [0] 2 26" xfId="34589"/>
    <cellStyle name="쉼표 [0] 2 27" xfId="34590"/>
    <cellStyle name="쉼표 [0] 2 28" xfId="34591"/>
    <cellStyle name="쉼표 [0] 2 29" xfId="34592"/>
    <cellStyle name="쉼표 [0] 2 3" xfId="56"/>
    <cellStyle name="쉼표 [0] 2 3 2" xfId="17228"/>
    <cellStyle name="쉼표 [0] 2 3 2 2" xfId="34595"/>
    <cellStyle name="쉼표 [0] 2 3 2 3" xfId="34596"/>
    <cellStyle name="쉼표 [0] 2 3 2 4" xfId="34594"/>
    <cellStyle name="쉼표 [0] 2 3 3" xfId="34593"/>
    <cellStyle name="쉼표 [0] 2 30" xfId="35018"/>
    <cellStyle name="쉼표 [0] 2 30 2" xfId="35867"/>
    <cellStyle name="쉼표 [0] 2 31" xfId="35539"/>
    <cellStyle name="쉼표 [0] 2 32" xfId="35540"/>
    <cellStyle name="쉼표 [0] 2 33" xfId="35541"/>
    <cellStyle name="쉼표 [0] 2 34" xfId="35542"/>
    <cellStyle name="쉼표 [0] 2 35" xfId="35543"/>
    <cellStyle name="쉼표 [0] 2 36" xfId="35544"/>
    <cellStyle name="쉼표 [0] 2 37" xfId="35545"/>
    <cellStyle name="쉼표 [0] 2 38" xfId="35546"/>
    <cellStyle name="쉼표 [0] 2 39" xfId="35547"/>
    <cellStyle name="쉼표 [0] 2 4" xfId="180"/>
    <cellStyle name="쉼표 [0] 2 4 2" xfId="316"/>
    <cellStyle name="쉼표 [0] 2 4 2 2" xfId="17459"/>
    <cellStyle name="쉼표 [0] 2 4 2 2 2" xfId="34599"/>
    <cellStyle name="쉼표 [0] 2 4 2 3" xfId="34600"/>
    <cellStyle name="쉼표 [0] 2 4 2 4" xfId="34598"/>
    <cellStyle name="쉼표 [0] 2 4 3" xfId="17323"/>
    <cellStyle name="쉼표 [0] 2 4 3 2" xfId="34601"/>
    <cellStyle name="쉼표 [0] 2 4 4" xfId="34602"/>
    <cellStyle name="쉼표 [0] 2 4 5" xfId="35548"/>
    <cellStyle name="쉼표 [0] 2 4 6" xfId="35549"/>
    <cellStyle name="쉼표 [0] 2 4 7" xfId="35550"/>
    <cellStyle name="쉼표 [0] 2 4 8" xfId="35551"/>
    <cellStyle name="쉼표 [0] 2 4 9" xfId="34597"/>
    <cellStyle name="쉼표 [0] 2 40" xfId="35552"/>
    <cellStyle name="쉼표 [0] 2 41" xfId="35553"/>
    <cellStyle name="쉼표 [0] 2 42" xfId="35554"/>
    <cellStyle name="쉼표 [0] 2 43" xfId="35555"/>
    <cellStyle name="쉼표 [0] 2 44" xfId="35556"/>
    <cellStyle name="쉼표 [0] 2 45" xfId="35557"/>
    <cellStyle name="쉼표 [0] 2 46" xfId="34328"/>
    <cellStyle name="쉼표 [0] 2 47" xfId="36924"/>
    <cellStyle name="쉼표 [0] 2 5" xfId="227"/>
    <cellStyle name="쉼표 [0] 2 5 2" xfId="17370"/>
    <cellStyle name="쉼표 [0] 2 5 2 2" xfId="34605"/>
    <cellStyle name="쉼표 [0] 2 5 2 3" xfId="34606"/>
    <cellStyle name="쉼표 [0] 2 5 2 4" xfId="34604"/>
    <cellStyle name="쉼표 [0] 2 5 3" xfId="34603"/>
    <cellStyle name="쉼표 [0] 2 6" xfId="540"/>
    <cellStyle name="쉼표 [0] 2 6 2" xfId="17683"/>
    <cellStyle name="쉼표 [0] 2 6 2 2" xfId="34609"/>
    <cellStyle name="쉼표 [0] 2 6 2 3" xfId="34610"/>
    <cellStyle name="쉼표 [0] 2 6 2 4" xfId="34608"/>
    <cellStyle name="쉼표 [0] 2 6 3" xfId="34607"/>
    <cellStyle name="쉼표 [0] 2 7" xfId="803"/>
    <cellStyle name="쉼표 [0] 2 7 2" xfId="17946"/>
    <cellStyle name="쉼표 [0] 2 7 2 2" xfId="34613"/>
    <cellStyle name="쉼표 [0] 2 7 2 3" xfId="34614"/>
    <cellStyle name="쉼표 [0] 2 7 2 4" xfId="34612"/>
    <cellStyle name="쉼표 [0] 2 7 3" xfId="34611"/>
    <cellStyle name="쉼표 [0] 2 8" xfId="502"/>
    <cellStyle name="쉼표 [0] 2 8 2" xfId="17645"/>
    <cellStyle name="쉼표 [0] 2 8 2 2" xfId="34617"/>
    <cellStyle name="쉼표 [0] 2 8 2 3" xfId="34618"/>
    <cellStyle name="쉼표 [0] 2 8 2 4" xfId="34616"/>
    <cellStyle name="쉼표 [0] 2 8 3" xfId="34615"/>
    <cellStyle name="쉼표 [0] 2 9" xfId="17226"/>
    <cellStyle name="쉼표 [0] 2 9 2" xfId="34620"/>
    <cellStyle name="쉼표 [0] 2 9 2 2" xfId="34621"/>
    <cellStyle name="쉼표 [0] 2 9 2 3" xfId="34622"/>
    <cellStyle name="쉼표 [0] 2 9 3" xfId="34619"/>
    <cellStyle name="쉼표 [0] 20" xfId="34623"/>
    <cellStyle name="쉼표 [0] 21" xfId="34624"/>
    <cellStyle name="쉼표 [0] 21 2" xfId="34625"/>
    <cellStyle name="쉼표 [0] 21 2 2" xfId="34626"/>
    <cellStyle name="쉼표 [0] 21 3" xfId="34627"/>
    <cellStyle name="쉼표 [0] 22" xfId="34628"/>
    <cellStyle name="쉼표 [0] 22 2" xfId="34629"/>
    <cellStyle name="쉼표 [0] 22 2 2" xfId="34630"/>
    <cellStyle name="쉼표 [0] 22 2 3" xfId="34631"/>
    <cellStyle name="쉼표 [0] 22 3" xfId="34632"/>
    <cellStyle name="쉼표 [0] 22 4" xfId="34633"/>
    <cellStyle name="쉼표 [0] 23" xfId="34634"/>
    <cellStyle name="쉼표 [0] 23 2" xfId="34635"/>
    <cellStyle name="쉼표 [0] 23 2 2" xfId="34636"/>
    <cellStyle name="쉼표 [0] 23 3" xfId="34637"/>
    <cellStyle name="쉼표 [0] 24" xfId="34638"/>
    <cellStyle name="쉼표 [0] 25" xfId="34639"/>
    <cellStyle name="쉼표 [0] 25 2" xfId="34640"/>
    <cellStyle name="쉼표 [0] 25 2 2" xfId="34641"/>
    <cellStyle name="쉼표 [0] 25 3" xfId="34642"/>
    <cellStyle name="쉼표 [0] 26" xfId="34643"/>
    <cellStyle name="쉼표 [0] 26 2" xfId="34644"/>
    <cellStyle name="쉼표 [0] 26 2 2" xfId="34645"/>
    <cellStyle name="쉼표 [0] 26 2 3" xfId="34646"/>
    <cellStyle name="쉼표 [0] 26 3" xfId="34647"/>
    <cellStyle name="쉼표 [0] 26 4" xfId="34648"/>
    <cellStyle name="쉼표 [0] 27" xfId="34649"/>
    <cellStyle name="쉼표 [0] 27 2" xfId="34650"/>
    <cellStyle name="쉼표 [0] 27 2 2" xfId="34651"/>
    <cellStyle name="쉼표 [0] 27 3" xfId="34652"/>
    <cellStyle name="쉼표 [0] 28" xfId="34653"/>
    <cellStyle name="쉼표 [0] 29" xfId="34654"/>
    <cellStyle name="쉼표 [0] 29 2" xfId="34655"/>
    <cellStyle name="쉼표 [0] 29 2 2" xfId="34656"/>
    <cellStyle name="쉼표 [0] 29 3" xfId="34657"/>
    <cellStyle name="쉼표 [0] 3" xfId="135"/>
    <cellStyle name="쉼표 [0] 3 10" xfId="34659"/>
    <cellStyle name="쉼표 [0] 3 11" xfId="34660"/>
    <cellStyle name="쉼표 [0] 3 12" xfId="34661"/>
    <cellStyle name="쉼표 [0] 3 13" xfId="35558"/>
    <cellStyle name="쉼표 [0] 3 14" xfId="35559"/>
    <cellStyle name="쉼표 [0] 3 15" xfId="35560"/>
    <cellStyle name="쉼표 [0] 3 16" xfId="35561"/>
    <cellStyle name="쉼표 [0] 3 17" xfId="35562"/>
    <cellStyle name="쉼표 [0] 3 18" xfId="34658"/>
    <cellStyle name="쉼표 [0] 3 2" xfId="164"/>
    <cellStyle name="쉼표 [0] 3 2 2" xfId="17308"/>
    <cellStyle name="쉼표 [0] 3 2 2 2" xfId="35563"/>
    <cellStyle name="쉼표 [0] 3 2 2 3" xfId="35564"/>
    <cellStyle name="쉼표 [0] 3 2 2 4" xfId="35565"/>
    <cellStyle name="쉼표 [0] 3 2 2 5" xfId="34663"/>
    <cellStyle name="쉼표 [0] 3 2 3" xfId="34664"/>
    <cellStyle name="쉼표 [0] 3 2 4" xfId="35566"/>
    <cellStyle name="쉼표 [0] 3 2 5" xfId="34662"/>
    <cellStyle name="쉼표 [0] 3 3" xfId="281"/>
    <cellStyle name="쉼표 [0] 3 3 2" xfId="17424"/>
    <cellStyle name="쉼표 [0] 3 3 3" xfId="34665"/>
    <cellStyle name="쉼표 [0] 3 4" xfId="552"/>
    <cellStyle name="쉼표 [0] 3 4 2" xfId="17695"/>
    <cellStyle name="쉼표 [0] 3 4 3" xfId="34666"/>
    <cellStyle name="쉼표 [0] 3 5" xfId="806"/>
    <cellStyle name="쉼표 [0] 3 5 2" xfId="17949"/>
    <cellStyle name="쉼표 [0] 3 5 3" xfId="34667"/>
    <cellStyle name="쉼표 [0] 3 6" xfId="505"/>
    <cellStyle name="쉼표 [0] 3 6 2" xfId="17648"/>
    <cellStyle name="쉼표 [0] 3 6 3" xfId="34668"/>
    <cellStyle name="쉼표 [0] 3 7" xfId="17282"/>
    <cellStyle name="쉼표 [0] 3 7 2" xfId="34669"/>
    <cellStyle name="쉼표 [0] 3 8" xfId="34670"/>
    <cellStyle name="쉼표 [0] 3 9" xfId="34671"/>
    <cellStyle name="쉼표 [0] 30" xfId="35567"/>
    <cellStyle name="쉼표 [0] 31" xfId="34672"/>
    <cellStyle name="쉼표 [0] 31 2" xfId="34673"/>
    <cellStyle name="쉼표 [0] 31 2 2" xfId="34674"/>
    <cellStyle name="쉼표 [0] 31 3" xfId="34675"/>
    <cellStyle name="쉼표 [0] 32" xfId="34676"/>
    <cellStyle name="쉼표 [0] 33" xfId="34677"/>
    <cellStyle name="쉼표 [0] 33 2" xfId="34678"/>
    <cellStyle name="쉼표 [0] 33 2 2" xfId="34679"/>
    <cellStyle name="쉼표 [0] 33 3" xfId="34680"/>
    <cellStyle name="쉼표 [0] 34" xfId="34681"/>
    <cellStyle name="쉼표 [0] 34 2" xfId="34682"/>
    <cellStyle name="쉼표 [0] 34 2 2" xfId="34683"/>
    <cellStyle name="쉼표 [0] 34 2 3" xfId="34684"/>
    <cellStyle name="쉼표 [0] 34 3" xfId="34685"/>
    <cellStyle name="쉼표 [0] 34 4" xfId="34686"/>
    <cellStyle name="쉼표 [0] 35" xfId="34687"/>
    <cellStyle name="쉼표 [0] 35 2" xfId="34688"/>
    <cellStyle name="쉼표 [0] 35 2 2" xfId="34689"/>
    <cellStyle name="쉼표 [0] 35 3" xfId="34690"/>
    <cellStyle name="쉼표 [0] 36" xfId="34691"/>
    <cellStyle name="쉼표 [0] 37" xfId="34692"/>
    <cellStyle name="쉼표 [0] 37 2" xfId="34693"/>
    <cellStyle name="쉼표 [0] 37 2 2" xfId="34694"/>
    <cellStyle name="쉼표 [0] 37 3" xfId="34695"/>
    <cellStyle name="쉼표 [0] 38" xfId="34696"/>
    <cellStyle name="쉼표 [0] 38 2" xfId="34697"/>
    <cellStyle name="쉼표 [0] 38 2 2" xfId="34698"/>
    <cellStyle name="쉼표 [0] 38 3" xfId="34699"/>
    <cellStyle name="쉼표 [0] 39" xfId="34700"/>
    <cellStyle name="쉼표 [0] 4" xfId="144"/>
    <cellStyle name="쉼표 [0] 4 10" xfId="35568"/>
    <cellStyle name="쉼표 [0] 4 11" xfId="35569"/>
    <cellStyle name="쉼표 [0] 4 12" xfId="35570"/>
    <cellStyle name="쉼표 [0] 4 13" xfId="35571"/>
    <cellStyle name="쉼표 [0] 4 14" xfId="34701"/>
    <cellStyle name="쉼표 [0] 4 2" xfId="288"/>
    <cellStyle name="쉼표 [0] 4 2 2" xfId="17431"/>
    <cellStyle name="쉼표 [0] 4 2 2 2" xfId="35572"/>
    <cellStyle name="쉼표 [0] 4 2 2 3" xfId="35573"/>
    <cellStyle name="쉼표 [0] 4 2 2 4" xfId="35574"/>
    <cellStyle name="쉼표 [0] 4 2 2 5" xfId="34703"/>
    <cellStyle name="쉼표 [0] 4 2 3" xfId="35575"/>
    <cellStyle name="쉼표 [0] 4 2 4" xfId="35576"/>
    <cellStyle name="쉼표 [0] 4 2 5" xfId="34702"/>
    <cellStyle name="쉼표 [0] 4 3" xfId="17289"/>
    <cellStyle name="쉼표 [0] 4 3 2" xfId="34704"/>
    <cellStyle name="쉼표 [0] 4 4" xfId="34705"/>
    <cellStyle name="쉼표 [0] 4 5" xfId="35577"/>
    <cellStyle name="쉼표 [0] 4 6" xfId="13836"/>
    <cellStyle name="쉼표 [0] 4 6 2" xfId="30977"/>
    <cellStyle name="쉼표 [0] 4 6 3" xfId="35578"/>
    <cellStyle name="쉼표 [0] 4 7" xfId="35579"/>
    <cellStyle name="쉼표 [0] 4 8" xfId="35580"/>
    <cellStyle name="쉼표 [0] 4 9" xfId="35581"/>
    <cellStyle name="쉼표 [0] 40" xfId="34706"/>
    <cellStyle name="쉼표 [0] 40 2" xfId="34707"/>
    <cellStyle name="쉼표 [0] 40 2 2" xfId="34708"/>
    <cellStyle name="쉼표 [0] 40 3" xfId="34709"/>
    <cellStyle name="쉼표 [0] 41" xfId="35582"/>
    <cellStyle name="쉼표 [0] 42" xfId="34710"/>
    <cellStyle name="쉼표 [0] 42 2" xfId="34711"/>
    <cellStyle name="쉼표 [0] 42 2 2" xfId="34712"/>
    <cellStyle name="쉼표 [0] 42 3" xfId="34713"/>
    <cellStyle name="쉼표 [0] 43" xfId="34714"/>
    <cellStyle name="쉼표 [0] 44" xfId="34715"/>
    <cellStyle name="쉼표 [0] 44 2" xfId="34716"/>
    <cellStyle name="쉼표 [0] 44 2 2" xfId="34717"/>
    <cellStyle name="쉼표 [0] 44 3" xfId="34718"/>
    <cellStyle name="쉼표 [0] 45" xfId="34719"/>
    <cellStyle name="쉼표 [0] 45 2" xfId="34720"/>
    <cellStyle name="쉼표 [0] 45 2 2" xfId="34721"/>
    <cellStyle name="쉼표 [0] 45 3" xfId="34722"/>
    <cellStyle name="쉼표 [0] 46" xfId="34723"/>
    <cellStyle name="쉼표 [0] 47" xfId="34724"/>
    <cellStyle name="쉼표 [0] 47 2" xfId="34725"/>
    <cellStyle name="쉼표 [0] 47 2 2" xfId="34726"/>
    <cellStyle name="쉼표 [0] 47 3" xfId="34727"/>
    <cellStyle name="쉼표 [0] 48" xfId="34728"/>
    <cellStyle name="쉼표 [0] 48 2" xfId="34729"/>
    <cellStyle name="쉼표 [0] 48 2 2" xfId="34730"/>
    <cellStyle name="쉼표 [0] 48 3" xfId="34731"/>
    <cellStyle name="쉼표 [0] 49" xfId="34732"/>
    <cellStyle name="쉼표 [0] 5" xfId="165"/>
    <cellStyle name="쉼표 [0] 5 2" xfId="305"/>
    <cellStyle name="쉼표 [0] 5 2 2" xfId="17448"/>
    <cellStyle name="쉼표 [0] 5 2 2 2" xfId="34735"/>
    <cellStyle name="쉼표 [0] 5 2 3" xfId="34734"/>
    <cellStyle name="쉼표 [0] 5 3" xfId="17309"/>
    <cellStyle name="쉼표 [0] 5 4" xfId="34733"/>
    <cellStyle name="쉼표 [0] 50" xfId="34736"/>
    <cellStyle name="쉼표 [0] 50 2" xfId="34737"/>
    <cellStyle name="쉼표 [0] 50 2 2" xfId="34738"/>
    <cellStyle name="쉼표 [0] 50 3" xfId="34739"/>
    <cellStyle name="쉼표 [0] 51" xfId="34740"/>
    <cellStyle name="쉼표 [0] 51 2" xfId="34741"/>
    <cellStyle name="쉼표 [0] 51 2 2" xfId="34742"/>
    <cellStyle name="쉼표 [0] 51 3" xfId="34743"/>
    <cellStyle name="쉼표 [0] 52" xfId="34744"/>
    <cellStyle name="쉼표 [0] 53" xfId="34745"/>
    <cellStyle name="쉼표 [0] 53 2" xfId="34746"/>
    <cellStyle name="쉼표 [0] 53 2 2" xfId="34747"/>
    <cellStyle name="쉼표 [0] 53 3" xfId="34748"/>
    <cellStyle name="쉼표 [0] 54" xfId="34749"/>
    <cellStyle name="쉼표 [0] 54 2" xfId="34750"/>
    <cellStyle name="쉼표 [0] 54 2 2" xfId="34751"/>
    <cellStyle name="쉼표 [0] 54 3" xfId="34752"/>
    <cellStyle name="쉼표 [0] 55" xfId="34753"/>
    <cellStyle name="쉼표 [0] 56" xfId="34754"/>
    <cellStyle name="쉼표 [0] 56 2" xfId="34755"/>
    <cellStyle name="쉼표 [0] 56 2 2" xfId="34756"/>
    <cellStyle name="쉼표 [0] 56 3" xfId="34757"/>
    <cellStyle name="쉼표 [0] 57" xfId="34758"/>
    <cellStyle name="쉼표 [0] 57 2" xfId="34759"/>
    <cellStyle name="쉼표 [0] 57 2 2" xfId="34760"/>
    <cellStyle name="쉼표 [0] 57 3" xfId="34761"/>
    <cellStyle name="쉼표 [0] 58" xfId="34762"/>
    <cellStyle name="쉼표 [0] 59" xfId="34763"/>
    <cellStyle name="쉼표 [0] 59 2" xfId="34764"/>
    <cellStyle name="쉼표 [0] 59 2 2" xfId="34765"/>
    <cellStyle name="쉼표 [0] 59 3" xfId="34766"/>
    <cellStyle name="쉼표 [0] 6" xfId="166"/>
    <cellStyle name="쉼표 [0] 6 2" xfId="306"/>
    <cellStyle name="쉼표 [0] 6 2 2" xfId="17449"/>
    <cellStyle name="쉼표 [0] 6 2 2 2" xfId="34769"/>
    <cellStyle name="쉼표 [0] 6 2 2 3 2" xfId="13838"/>
    <cellStyle name="쉼표 [0] 6 2 2 3 2 2" xfId="30979"/>
    <cellStyle name="쉼표 [0] 6 2 3" xfId="34768"/>
    <cellStyle name="쉼표 [0] 6 3" xfId="17176"/>
    <cellStyle name="쉼표 [0] 6 3 2" xfId="35020"/>
    <cellStyle name="쉼표 [0] 6 4" xfId="17310"/>
    <cellStyle name="쉼표 [0] 6 5" xfId="34767"/>
    <cellStyle name="쉼표 [0] 60" xfId="34770"/>
    <cellStyle name="쉼표 [0] 60 2" xfId="34771"/>
    <cellStyle name="쉼표 [0] 60 2 2" xfId="34772"/>
    <cellStyle name="쉼표 [0] 60 3" xfId="34773"/>
    <cellStyle name="쉼표 [0] 61" xfId="34774"/>
    <cellStyle name="쉼표 [0] 62" xfId="34775"/>
    <cellStyle name="쉼표 [0] 62 2" xfId="34776"/>
    <cellStyle name="쉼표 [0] 62 2 2" xfId="34777"/>
    <cellStyle name="쉼표 [0] 62 3" xfId="34778"/>
    <cellStyle name="쉼표 [0] 63" xfId="34779"/>
    <cellStyle name="쉼표 [0] 63 2" xfId="34780"/>
    <cellStyle name="쉼표 [0] 63 2 2" xfId="34781"/>
    <cellStyle name="쉼표 [0] 63 3" xfId="34782"/>
    <cellStyle name="쉼표 [0] 64" xfId="34783"/>
    <cellStyle name="쉼표 [0] 65" xfId="34784"/>
    <cellStyle name="쉼표 [0] 65 2" xfId="34785"/>
    <cellStyle name="쉼표 [0] 65 2 2" xfId="34786"/>
    <cellStyle name="쉼표 [0] 65 3" xfId="34787"/>
    <cellStyle name="쉼표 [0] 66" xfId="34788"/>
    <cellStyle name="쉼표 [0] 66 2" xfId="34789"/>
    <cellStyle name="쉼표 [0] 66 2 2" xfId="34790"/>
    <cellStyle name="쉼표 [0] 66 3" xfId="34791"/>
    <cellStyle name="쉼표 [0] 67" xfId="34792"/>
    <cellStyle name="쉼표 [0] 68" xfId="35583"/>
    <cellStyle name="쉼표 [0] 69" xfId="35584"/>
    <cellStyle name="쉼표 [0] 7" xfId="182"/>
    <cellStyle name="쉼표 [0] 7 13" xfId="34794"/>
    <cellStyle name="쉼표 [0] 7 13 2" xfId="34795"/>
    <cellStyle name="쉼표 [0] 7 13 2 2" xfId="34796"/>
    <cellStyle name="쉼표 [0] 7 2" xfId="318"/>
    <cellStyle name="쉼표 [0] 7 2 2" xfId="830"/>
    <cellStyle name="쉼표 [0] 7 2 2 2" xfId="17973"/>
    <cellStyle name="쉼표 [0] 7 2 3" xfId="578"/>
    <cellStyle name="쉼표 [0] 7 2 3 2" xfId="17721"/>
    <cellStyle name="쉼표 [0] 7 2 4" xfId="12818"/>
    <cellStyle name="쉼표 [0] 7 2 4 2" xfId="29959"/>
    <cellStyle name="쉼표 [0] 7 2 5" xfId="13773"/>
    <cellStyle name="쉼표 [0] 7 2 5 2" xfId="30914"/>
    <cellStyle name="쉼표 [0] 7 2 6" xfId="17461"/>
    <cellStyle name="쉼표 [0] 7 2 7" xfId="34797"/>
    <cellStyle name="쉼표 [0] 7 3" xfId="494"/>
    <cellStyle name="쉼표 [0] 7 3 2" xfId="955"/>
    <cellStyle name="쉼표 [0] 7 3 2 2" xfId="18098"/>
    <cellStyle name="쉼표 [0] 7 3 3" xfId="701"/>
    <cellStyle name="쉼표 [0] 7 3 3 2" xfId="17844"/>
    <cellStyle name="쉼표 [0] 7 3 4" xfId="12975"/>
    <cellStyle name="쉼표 [0] 7 3 4 2" xfId="30116"/>
    <cellStyle name="쉼표 [0] 7 3 5" xfId="13814"/>
    <cellStyle name="쉼표 [0] 7 3 5 2" xfId="30955"/>
    <cellStyle name="쉼표 [0] 7 3 6" xfId="17637"/>
    <cellStyle name="쉼표 [0] 7 3 7" xfId="34798"/>
    <cellStyle name="쉼표 [0] 7 4" xfId="2653"/>
    <cellStyle name="쉼표 [0] 7 4 2" xfId="19794"/>
    <cellStyle name="쉼표 [0] 7 4 3" xfId="35868"/>
    <cellStyle name="쉼표 [0] 7 5" xfId="17325"/>
    <cellStyle name="쉼표 [0] 7 6" xfId="34793"/>
    <cellStyle name="쉼표 [0] 70" xfId="35585"/>
    <cellStyle name="쉼표 [0] 71" xfId="35586"/>
    <cellStyle name="쉼표 [0] 71 2" xfId="35587"/>
    <cellStyle name="쉼표 [0] 71 3" xfId="35588"/>
    <cellStyle name="쉼표 [0] 72" xfId="35589"/>
    <cellStyle name="쉼표 [0] 73" xfId="35590"/>
    <cellStyle name="쉼표 [0] 74" xfId="35862"/>
    <cellStyle name="쉼표 [0] 75" xfId="35591"/>
    <cellStyle name="쉼표 [0] 75 2" xfId="35592"/>
    <cellStyle name="쉼표 [0] 75 3" xfId="35593"/>
    <cellStyle name="쉼표 [0] 76" xfId="35865"/>
    <cellStyle name="쉼표 [0] 77" xfId="34323"/>
    <cellStyle name="쉼표 [0] 78" xfId="34320"/>
    <cellStyle name="쉼표 [0] 79" xfId="35594"/>
    <cellStyle name="쉼표 [0] 79 2" xfId="35595"/>
    <cellStyle name="쉼표 [0] 79 3" xfId="35596"/>
    <cellStyle name="쉼표 [0] 8" xfId="496"/>
    <cellStyle name="쉼표 [0] 8 2" xfId="957"/>
    <cellStyle name="쉼표 [0] 8 2 2" xfId="18100"/>
    <cellStyle name="쉼표 [0] 8 3" xfId="703"/>
    <cellStyle name="쉼표 [0] 8 3 2" xfId="17846"/>
    <cellStyle name="쉼표 [0] 8 4" xfId="12977"/>
    <cellStyle name="쉼표 [0] 8 4 2" xfId="30118"/>
    <cellStyle name="쉼표 [0] 8 5" xfId="13816"/>
    <cellStyle name="쉼표 [0] 8 5 2" xfId="30957"/>
    <cellStyle name="쉼표 [0] 8 6" xfId="17639"/>
    <cellStyle name="쉼표 [0] 8 7" xfId="34799"/>
    <cellStyle name="쉼표 [0] 80" xfId="34318"/>
    <cellStyle name="쉼표 [0] 81" xfId="35874"/>
    <cellStyle name="쉼표 [0] 82" xfId="35876"/>
    <cellStyle name="쉼표 [0] 83" xfId="35878"/>
    <cellStyle name="쉼표 [0] 84" xfId="35597"/>
    <cellStyle name="쉼표 [0] 85" xfId="36915"/>
    <cellStyle name="쉼표 [0] 86" xfId="36918"/>
    <cellStyle name="쉼표 [0] 86 2" xfId="36920"/>
    <cellStyle name="쉼표 [0] 87" xfId="36925"/>
    <cellStyle name="쉼표 [0] 88" xfId="36926"/>
    <cellStyle name="쉼표 [0] 89" xfId="36927"/>
    <cellStyle name="쉼표 [0] 9" xfId="498"/>
    <cellStyle name="쉼표 [0] 9 2" xfId="959"/>
    <cellStyle name="쉼표 [0] 9 2 2" xfId="18102"/>
    <cellStyle name="쉼표 [0] 9 3" xfId="705"/>
    <cellStyle name="쉼표 [0] 9 3 2" xfId="17848"/>
    <cellStyle name="쉼표 [0] 9 4" xfId="12979"/>
    <cellStyle name="쉼표 [0] 9 4 2" xfId="30120"/>
    <cellStyle name="쉼표 [0] 9 5" xfId="13818"/>
    <cellStyle name="쉼표 [0] 9 5 2" xfId="30959"/>
    <cellStyle name="쉼표 [0] 9 6" xfId="17641"/>
    <cellStyle name="쉼표 [0] 9 7" xfId="34800"/>
    <cellStyle name="쉼표 [0] 90" xfId="36934"/>
    <cellStyle name="쉼표 [0] 91" xfId="35598"/>
    <cellStyle name="쉼표 [0] 93" xfId="35599"/>
    <cellStyle name="쉼표 2" xfId="35871"/>
    <cellStyle name="스타일 1" xfId="34801"/>
    <cellStyle name="스타일 1 2" xfId="36854"/>
    <cellStyle name="스타일 1 3" xfId="36855"/>
    <cellStyle name="스타일 10" xfId="36856"/>
    <cellStyle name="스타일 11" xfId="36857"/>
    <cellStyle name="스타일 12" xfId="36858"/>
    <cellStyle name="스타일 13" xfId="36859"/>
    <cellStyle name="스타일 14" xfId="36860"/>
    <cellStyle name="스타일 15" xfId="36861"/>
    <cellStyle name="스타일 16" xfId="36862"/>
    <cellStyle name="스타일 17" xfId="36863"/>
    <cellStyle name="스타일 18" xfId="36864"/>
    <cellStyle name="스타일 19" xfId="36865"/>
    <cellStyle name="스타일 2" xfId="34802"/>
    <cellStyle name="스타일 2 2" xfId="36866"/>
    <cellStyle name="스타일 20" xfId="36867"/>
    <cellStyle name="스타일 3" xfId="36868"/>
    <cellStyle name="스타일 3 2" xfId="36869"/>
    <cellStyle name="스타일 4" xfId="36870"/>
    <cellStyle name="스타일 4 2" xfId="36871"/>
    <cellStyle name="스타일 5" xfId="36872"/>
    <cellStyle name="스타일 5 2" xfId="36873"/>
    <cellStyle name="스타일 6" xfId="36874"/>
    <cellStyle name="스타일 6 2" xfId="36875"/>
    <cellStyle name="스타일 7" xfId="36876"/>
    <cellStyle name="스타일 7 2" xfId="36877"/>
    <cellStyle name="스타일 8" xfId="36878"/>
    <cellStyle name="스타일 8 2" xfId="36879"/>
    <cellStyle name="스타일 9" xfId="36880"/>
    <cellStyle name="안건회계법인" xfId="57"/>
    <cellStyle name="안건회계법인 10" xfId="35601"/>
    <cellStyle name="안건회계법인 11" xfId="35602"/>
    <cellStyle name="안건회계법인 12" xfId="35603"/>
    <cellStyle name="안건회계법인 13" xfId="35604"/>
    <cellStyle name="안건회계법인 14" xfId="35605"/>
    <cellStyle name="안건회계법인 15" xfId="35606"/>
    <cellStyle name="안건회계법인 16" xfId="35607"/>
    <cellStyle name="안건회계법인 17" xfId="35608"/>
    <cellStyle name="안건회계법인 18" xfId="35609"/>
    <cellStyle name="안건회계법인 19" xfId="35610"/>
    <cellStyle name="안건회계법인 2" xfId="229"/>
    <cellStyle name="안건회계법인 2 2" xfId="17372"/>
    <cellStyle name="안건회계법인 2 3" xfId="35611"/>
    <cellStyle name="안건회계법인 20" xfId="35612"/>
    <cellStyle name="안건회계법인 21" xfId="35613"/>
    <cellStyle name="안건회계법인 22" xfId="35614"/>
    <cellStyle name="안건회계법인 23" xfId="35615"/>
    <cellStyle name="안건회계법인 24" xfId="35616"/>
    <cellStyle name="안건회계법인 25" xfId="35617"/>
    <cellStyle name="안건회계법인 26" xfId="35618"/>
    <cellStyle name="안건회계법인 27" xfId="35619"/>
    <cellStyle name="안건회계법인 28" xfId="35620"/>
    <cellStyle name="안건회계법인 29" xfId="35621"/>
    <cellStyle name="안건회계법인 3" xfId="17229"/>
    <cellStyle name="안건회계법인 3 2" xfId="35622"/>
    <cellStyle name="안건회계법인 30" xfId="35623"/>
    <cellStyle name="안건회계법인 31" xfId="35624"/>
    <cellStyle name="안건회계법인 32" xfId="35625"/>
    <cellStyle name="안건회계법인 33" xfId="35626"/>
    <cellStyle name="안건회계법인 34" xfId="35627"/>
    <cellStyle name="안건회계법인 35" xfId="35628"/>
    <cellStyle name="안건회계법인 36" xfId="35629"/>
    <cellStyle name="안건회계법인 37" xfId="35630"/>
    <cellStyle name="안건회계법인 38" xfId="35631"/>
    <cellStyle name="안건회계법인 39" xfId="35632"/>
    <cellStyle name="안건회계법인 4" xfId="35633"/>
    <cellStyle name="안건회계법인 40" xfId="35634"/>
    <cellStyle name="안건회계법인 41" xfId="35635"/>
    <cellStyle name="안건회계법인 42" xfId="35636"/>
    <cellStyle name="안건회계법인 43" xfId="35637"/>
    <cellStyle name="안건회계법인 44" xfId="35638"/>
    <cellStyle name="안건회계법인 45" xfId="35639"/>
    <cellStyle name="안건회계법인 46" xfId="35640"/>
    <cellStyle name="안건회계법인 47" xfId="35641"/>
    <cellStyle name="안건회계법인 48" xfId="35642"/>
    <cellStyle name="안건회계법인 49" xfId="35643"/>
    <cellStyle name="안건회계법인 5" xfId="35644"/>
    <cellStyle name="안건회계법인 50" xfId="35645"/>
    <cellStyle name="안건회계법인 51" xfId="35646"/>
    <cellStyle name="안건회계법인 52" xfId="35647"/>
    <cellStyle name="안건회계법인 53" xfId="35648"/>
    <cellStyle name="안건회계법인 54" xfId="35649"/>
    <cellStyle name="안건회계법인 55" xfId="35650"/>
    <cellStyle name="안건회계법인 56" xfId="35651"/>
    <cellStyle name="안건회계법인 57" xfId="35652"/>
    <cellStyle name="안건회계법인 58" xfId="35653"/>
    <cellStyle name="안건회계법인 59" xfId="35654"/>
    <cellStyle name="안건회계법인 6" xfId="35655"/>
    <cellStyle name="안건회계법인 60" xfId="35656"/>
    <cellStyle name="안건회계법인 61" xfId="35657"/>
    <cellStyle name="안건회계법인 62" xfId="35658"/>
    <cellStyle name="안건회계법인 63" xfId="35659"/>
    <cellStyle name="안건회계법인 64" xfId="35660"/>
    <cellStyle name="안건회계법인 65" xfId="35661"/>
    <cellStyle name="안건회계법인 66" xfId="35662"/>
    <cellStyle name="안건회계법인 67" xfId="35663"/>
    <cellStyle name="안건회계법인 68" xfId="35664"/>
    <cellStyle name="안건회계법인 69" xfId="35665"/>
    <cellStyle name="안건회계법인 7" xfId="35666"/>
    <cellStyle name="안건회계법인 70" xfId="35667"/>
    <cellStyle name="안건회계법인 71" xfId="35668"/>
    <cellStyle name="안건회계법인 72" xfId="35669"/>
    <cellStyle name="안건회계법인 73" xfId="35600"/>
    <cellStyle name="안건회계법인 8" xfId="35670"/>
    <cellStyle name="안건회계법인 9" xfId="35671"/>
    <cellStyle name="연결된 셀 10" xfId="330"/>
    <cellStyle name="연결된 셀 10 10" xfId="2654"/>
    <cellStyle name="연결된 셀 10 10 2" xfId="2655"/>
    <cellStyle name="연결된 셀 10 10 2 2" xfId="2656"/>
    <cellStyle name="연결된 셀 10 10 2 2 2" xfId="19797"/>
    <cellStyle name="연결된 셀 10 10 2 3" xfId="2657"/>
    <cellStyle name="연결된 셀 10 10 2 3 2" xfId="19798"/>
    <cellStyle name="연결된 셀 10 10 2 4" xfId="2658"/>
    <cellStyle name="연결된 셀 10 10 2 4 2" xfId="19799"/>
    <cellStyle name="연결된 셀 10 10 2 5" xfId="19796"/>
    <cellStyle name="연결된 셀 10 10 3" xfId="2659"/>
    <cellStyle name="연결된 셀 10 10 3 2" xfId="2660"/>
    <cellStyle name="연결된 셀 10 10 3 2 2" xfId="19801"/>
    <cellStyle name="연결된 셀 10 10 3 3" xfId="2661"/>
    <cellStyle name="연결된 셀 10 10 3 3 2" xfId="19802"/>
    <cellStyle name="연결된 셀 10 10 3 4" xfId="2662"/>
    <cellStyle name="연결된 셀 10 10 3 4 2" xfId="19803"/>
    <cellStyle name="연결된 셀 10 10 3 5" xfId="19800"/>
    <cellStyle name="연결된 셀 10 10 4" xfId="2663"/>
    <cellStyle name="연결된 셀 10 10 4 2" xfId="2664"/>
    <cellStyle name="연결된 셀 10 10 4 2 2" xfId="19805"/>
    <cellStyle name="연결된 셀 10 10 4 3" xfId="2665"/>
    <cellStyle name="연결된 셀 10 10 4 3 2" xfId="19806"/>
    <cellStyle name="연결된 셀 10 10 4 4" xfId="2666"/>
    <cellStyle name="연결된 셀 10 10 4 4 2" xfId="19807"/>
    <cellStyle name="연결된 셀 10 10 4 5" xfId="19804"/>
    <cellStyle name="연결된 셀 10 10 5" xfId="2667"/>
    <cellStyle name="연결된 셀 10 10 5 2" xfId="19808"/>
    <cellStyle name="연결된 셀 10 10 6" xfId="2668"/>
    <cellStyle name="연결된 셀 10 10 6 2" xfId="19809"/>
    <cellStyle name="연결된 셀 10 10 7" xfId="2669"/>
    <cellStyle name="연결된 셀 10 10 7 2" xfId="19810"/>
    <cellStyle name="연결된 셀 10 10 8" xfId="19795"/>
    <cellStyle name="연결된 셀 10 11" xfId="2670"/>
    <cellStyle name="연결된 셀 10 11 2" xfId="2671"/>
    <cellStyle name="연결된 셀 10 11 2 2" xfId="2672"/>
    <cellStyle name="연결된 셀 10 11 2 2 2" xfId="19813"/>
    <cellStyle name="연결된 셀 10 11 2 3" xfId="2673"/>
    <cellStyle name="연결된 셀 10 11 2 3 2" xfId="19814"/>
    <cellStyle name="연결된 셀 10 11 2 4" xfId="2674"/>
    <cellStyle name="연결된 셀 10 11 2 4 2" xfId="19815"/>
    <cellStyle name="연결된 셀 10 11 2 5" xfId="19812"/>
    <cellStyle name="연결된 셀 10 11 3" xfId="2675"/>
    <cellStyle name="연결된 셀 10 11 3 2" xfId="2676"/>
    <cellStyle name="연결된 셀 10 11 3 2 2" xfId="19817"/>
    <cellStyle name="연결된 셀 10 11 3 3" xfId="2677"/>
    <cellStyle name="연결된 셀 10 11 3 3 2" xfId="19818"/>
    <cellStyle name="연결된 셀 10 11 3 4" xfId="2678"/>
    <cellStyle name="연결된 셀 10 11 3 4 2" xfId="19819"/>
    <cellStyle name="연결된 셀 10 11 3 5" xfId="19816"/>
    <cellStyle name="연결된 셀 10 11 4" xfId="2679"/>
    <cellStyle name="연결된 셀 10 11 4 2" xfId="2680"/>
    <cellStyle name="연결된 셀 10 11 4 2 2" xfId="19821"/>
    <cellStyle name="연결된 셀 10 11 4 3" xfId="2681"/>
    <cellStyle name="연결된 셀 10 11 4 3 2" xfId="19822"/>
    <cellStyle name="연결된 셀 10 11 4 4" xfId="2682"/>
    <cellStyle name="연결된 셀 10 11 4 4 2" xfId="19823"/>
    <cellStyle name="연결된 셀 10 11 4 5" xfId="19820"/>
    <cellStyle name="연결된 셀 10 11 5" xfId="2683"/>
    <cellStyle name="연결된 셀 10 11 5 2" xfId="19824"/>
    <cellStyle name="연결된 셀 10 11 6" xfId="2684"/>
    <cellStyle name="연결된 셀 10 11 6 2" xfId="19825"/>
    <cellStyle name="연결된 셀 10 11 7" xfId="2685"/>
    <cellStyle name="연결된 셀 10 11 7 2" xfId="19826"/>
    <cellStyle name="연결된 셀 10 11 8" xfId="19811"/>
    <cellStyle name="연결된 셀 10 12" xfId="2686"/>
    <cellStyle name="연결된 셀 10 12 2" xfId="2687"/>
    <cellStyle name="연결된 셀 10 12 2 2" xfId="2688"/>
    <cellStyle name="연결된 셀 10 12 2 2 2" xfId="19829"/>
    <cellStyle name="연결된 셀 10 12 2 3" xfId="2689"/>
    <cellStyle name="연결된 셀 10 12 2 3 2" xfId="19830"/>
    <cellStyle name="연결된 셀 10 12 2 4" xfId="2690"/>
    <cellStyle name="연결된 셀 10 12 2 4 2" xfId="19831"/>
    <cellStyle name="연결된 셀 10 12 2 5" xfId="19828"/>
    <cellStyle name="연결된 셀 10 12 3" xfId="2691"/>
    <cellStyle name="연결된 셀 10 12 3 2" xfId="2692"/>
    <cellStyle name="연결된 셀 10 12 3 2 2" xfId="19833"/>
    <cellStyle name="연결된 셀 10 12 3 3" xfId="2693"/>
    <cellStyle name="연결된 셀 10 12 3 3 2" xfId="19834"/>
    <cellStyle name="연결된 셀 10 12 3 4" xfId="2694"/>
    <cellStyle name="연결된 셀 10 12 3 4 2" xfId="19835"/>
    <cellStyle name="연결된 셀 10 12 3 5" xfId="19832"/>
    <cellStyle name="연결된 셀 10 12 4" xfId="2695"/>
    <cellStyle name="연결된 셀 10 12 4 2" xfId="2696"/>
    <cellStyle name="연결된 셀 10 12 4 2 2" xfId="19837"/>
    <cellStyle name="연결된 셀 10 12 4 3" xfId="2697"/>
    <cellStyle name="연결된 셀 10 12 4 3 2" xfId="19838"/>
    <cellStyle name="연결된 셀 10 12 4 4" xfId="2698"/>
    <cellStyle name="연결된 셀 10 12 4 4 2" xfId="19839"/>
    <cellStyle name="연결된 셀 10 12 4 5" xfId="19836"/>
    <cellStyle name="연결된 셀 10 12 5" xfId="2699"/>
    <cellStyle name="연결된 셀 10 12 5 2" xfId="19840"/>
    <cellStyle name="연결된 셀 10 12 6" xfId="2700"/>
    <cellStyle name="연결된 셀 10 12 6 2" xfId="19841"/>
    <cellStyle name="연결된 셀 10 12 7" xfId="2701"/>
    <cellStyle name="연결된 셀 10 12 7 2" xfId="19842"/>
    <cellStyle name="연결된 셀 10 12 8" xfId="19827"/>
    <cellStyle name="연결된 셀 10 13" xfId="2702"/>
    <cellStyle name="연결된 셀 10 13 2" xfId="2703"/>
    <cellStyle name="연결된 셀 10 13 2 2" xfId="19844"/>
    <cellStyle name="연결된 셀 10 13 3" xfId="2704"/>
    <cellStyle name="연결된 셀 10 13 3 2" xfId="19845"/>
    <cellStyle name="연결된 셀 10 13 4" xfId="2705"/>
    <cellStyle name="연결된 셀 10 13 4 2" xfId="19846"/>
    <cellStyle name="연결된 셀 10 13 5" xfId="19843"/>
    <cellStyle name="연결된 셀 10 14" xfId="2706"/>
    <cellStyle name="연결된 셀 10 14 2" xfId="19847"/>
    <cellStyle name="연결된 셀 10 15" xfId="2707"/>
    <cellStyle name="연결된 셀 10 15 2" xfId="19848"/>
    <cellStyle name="연결된 셀 10 16" xfId="2708"/>
    <cellStyle name="연결된 셀 10 16 2" xfId="19849"/>
    <cellStyle name="연결된 셀 10 17" xfId="17473"/>
    <cellStyle name="연결된 셀 10 2" xfId="839"/>
    <cellStyle name="연결된 셀 10 2 10" xfId="2709"/>
    <cellStyle name="연결된 셀 10 2 10 2" xfId="2710"/>
    <cellStyle name="연결된 셀 10 2 10 2 2" xfId="2711"/>
    <cellStyle name="연결된 셀 10 2 10 2 2 2" xfId="19852"/>
    <cellStyle name="연결된 셀 10 2 10 2 3" xfId="2712"/>
    <cellStyle name="연결된 셀 10 2 10 2 3 2" xfId="19853"/>
    <cellStyle name="연결된 셀 10 2 10 2 4" xfId="2713"/>
    <cellStyle name="연결된 셀 10 2 10 2 4 2" xfId="19854"/>
    <cellStyle name="연결된 셀 10 2 10 2 5" xfId="19851"/>
    <cellStyle name="연결된 셀 10 2 10 3" xfId="2714"/>
    <cellStyle name="연결된 셀 10 2 10 3 2" xfId="2715"/>
    <cellStyle name="연결된 셀 10 2 10 3 2 2" xfId="19856"/>
    <cellStyle name="연결된 셀 10 2 10 3 3" xfId="2716"/>
    <cellStyle name="연결된 셀 10 2 10 3 3 2" xfId="19857"/>
    <cellStyle name="연결된 셀 10 2 10 3 4" xfId="2717"/>
    <cellStyle name="연결된 셀 10 2 10 3 4 2" xfId="19858"/>
    <cellStyle name="연결된 셀 10 2 10 3 5" xfId="19855"/>
    <cellStyle name="연결된 셀 10 2 10 4" xfId="2718"/>
    <cellStyle name="연결된 셀 10 2 10 4 2" xfId="2719"/>
    <cellStyle name="연결된 셀 10 2 10 4 2 2" xfId="19860"/>
    <cellStyle name="연결된 셀 10 2 10 4 3" xfId="2720"/>
    <cellStyle name="연결된 셀 10 2 10 4 3 2" xfId="19861"/>
    <cellStyle name="연결된 셀 10 2 10 4 4" xfId="2721"/>
    <cellStyle name="연결된 셀 10 2 10 4 4 2" xfId="19862"/>
    <cellStyle name="연결된 셀 10 2 10 4 5" xfId="19859"/>
    <cellStyle name="연결된 셀 10 2 10 5" xfId="2722"/>
    <cellStyle name="연결된 셀 10 2 10 5 2" xfId="19863"/>
    <cellStyle name="연결된 셀 10 2 10 6" xfId="2723"/>
    <cellStyle name="연결된 셀 10 2 10 6 2" xfId="19864"/>
    <cellStyle name="연결된 셀 10 2 10 7" xfId="2724"/>
    <cellStyle name="연결된 셀 10 2 10 7 2" xfId="19865"/>
    <cellStyle name="연결된 셀 10 2 10 8" xfId="19850"/>
    <cellStyle name="연결된 셀 10 2 11" xfId="2725"/>
    <cellStyle name="연결된 셀 10 2 11 2" xfId="2726"/>
    <cellStyle name="연결된 셀 10 2 11 2 2" xfId="2727"/>
    <cellStyle name="연결된 셀 10 2 11 2 2 2" xfId="19868"/>
    <cellStyle name="연결된 셀 10 2 11 2 3" xfId="2728"/>
    <cellStyle name="연결된 셀 10 2 11 2 3 2" xfId="19869"/>
    <cellStyle name="연결된 셀 10 2 11 2 4" xfId="2729"/>
    <cellStyle name="연결된 셀 10 2 11 2 4 2" xfId="19870"/>
    <cellStyle name="연결된 셀 10 2 11 2 5" xfId="19867"/>
    <cellStyle name="연결된 셀 10 2 11 3" xfId="2730"/>
    <cellStyle name="연결된 셀 10 2 11 3 2" xfId="2731"/>
    <cellStyle name="연결된 셀 10 2 11 3 2 2" xfId="19872"/>
    <cellStyle name="연결된 셀 10 2 11 3 3" xfId="2732"/>
    <cellStyle name="연결된 셀 10 2 11 3 3 2" xfId="19873"/>
    <cellStyle name="연결된 셀 10 2 11 3 4" xfId="2733"/>
    <cellStyle name="연결된 셀 10 2 11 3 4 2" xfId="19874"/>
    <cellStyle name="연결된 셀 10 2 11 3 5" xfId="19871"/>
    <cellStyle name="연결된 셀 10 2 11 4" xfId="2734"/>
    <cellStyle name="연결된 셀 10 2 11 4 2" xfId="2735"/>
    <cellStyle name="연결된 셀 10 2 11 4 2 2" xfId="19876"/>
    <cellStyle name="연결된 셀 10 2 11 4 3" xfId="2736"/>
    <cellStyle name="연결된 셀 10 2 11 4 3 2" xfId="19877"/>
    <cellStyle name="연결된 셀 10 2 11 4 4" xfId="2737"/>
    <cellStyle name="연결된 셀 10 2 11 4 4 2" xfId="19878"/>
    <cellStyle name="연결된 셀 10 2 11 4 5" xfId="19875"/>
    <cellStyle name="연결된 셀 10 2 11 5" xfId="2738"/>
    <cellStyle name="연결된 셀 10 2 11 5 2" xfId="19879"/>
    <cellStyle name="연결된 셀 10 2 11 6" xfId="2739"/>
    <cellStyle name="연결된 셀 10 2 11 6 2" xfId="19880"/>
    <cellStyle name="연결된 셀 10 2 11 7" xfId="2740"/>
    <cellStyle name="연결된 셀 10 2 11 7 2" xfId="19881"/>
    <cellStyle name="연결된 셀 10 2 11 8" xfId="19866"/>
    <cellStyle name="연결된 셀 10 2 12" xfId="2741"/>
    <cellStyle name="연결된 셀 10 2 12 2" xfId="2742"/>
    <cellStyle name="연결된 셀 10 2 12 2 2" xfId="19883"/>
    <cellStyle name="연결된 셀 10 2 12 3" xfId="2743"/>
    <cellStyle name="연결된 셀 10 2 12 3 2" xfId="19884"/>
    <cellStyle name="연결된 셀 10 2 12 4" xfId="2744"/>
    <cellStyle name="연결된 셀 10 2 12 4 2" xfId="19885"/>
    <cellStyle name="연결된 셀 10 2 12 5" xfId="19882"/>
    <cellStyle name="연결된 셀 10 2 13" xfId="2745"/>
    <cellStyle name="연결된 셀 10 2 13 2" xfId="19886"/>
    <cellStyle name="연결된 셀 10 2 14" xfId="2746"/>
    <cellStyle name="연결된 셀 10 2 14 2" xfId="19887"/>
    <cellStyle name="연결된 셀 10 2 15" xfId="2747"/>
    <cellStyle name="연결된 셀 10 2 15 2" xfId="19888"/>
    <cellStyle name="연결된 셀 10 2 16" xfId="17982"/>
    <cellStyle name="연결된 셀 10 2 2" xfId="2748"/>
    <cellStyle name="연결된 셀 10 2 2 2" xfId="2749"/>
    <cellStyle name="연결된 셀 10 2 2 2 2" xfId="2750"/>
    <cellStyle name="연결된 셀 10 2 2 2 2 2" xfId="19891"/>
    <cellStyle name="연결된 셀 10 2 2 2 3" xfId="2751"/>
    <cellStyle name="연결된 셀 10 2 2 2 3 2" xfId="19892"/>
    <cellStyle name="연결된 셀 10 2 2 2 4" xfId="2752"/>
    <cellStyle name="연결된 셀 10 2 2 2 4 2" xfId="19893"/>
    <cellStyle name="연결된 셀 10 2 2 2 5" xfId="19890"/>
    <cellStyle name="연결된 셀 10 2 2 3" xfId="2753"/>
    <cellStyle name="연결된 셀 10 2 2 3 2" xfId="2754"/>
    <cellStyle name="연결된 셀 10 2 2 3 2 2" xfId="19895"/>
    <cellStyle name="연결된 셀 10 2 2 3 3" xfId="2755"/>
    <cellStyle name="연결된 셀 10 2 2 3 3 2" xfId="19896"/>
    <cellStyle name="연결된 셀 10 2 2 3 4" xfId="2756"/>
    <cellStyle name="연결된 셀 10 2 2 3 4 2" xfId="19897"/>
    <cellStyle name="연결된 셀 10 2 2 3 5" xfId="19894"/>
    <cellStyle name="연결된 셀 10 2 2 4" xfId="2757"/>
    <cellStyle name="연결된 셀 10 2 2 4 2" xfId="2758"/>
    <cellStyle name="연결된 셀 10 2 2 4 2 2" xfId="19899"/>
    <cellStyle name="연결된 셀 10 2 2 4 3" xfId="2759"/>
    <cellStyle name="연결된 셀 10 2 2 4 3 2" xfId="19900"/>
    <cellStyle name="연결된 셀 10 2 2 4 4" xfId="2760"/>
    <cellStyle name="연결된 셀 10 2 2 4 4 2" xfId="19901"/>
    <cellStyle name="연결된 셀 10 2 2 4 5" xfId="19898"/>
    <cellStyle name="연결된 셀 10 2 2 5" xfId="2761"/>
    <cellStyle name="연결된 셀 10 2 2 5 2" xfId="19902"/>
    <cellStyle name="연결된 셀 10 2 2 6" xfId="2762"/>
    <cellStyle name="연결된 셀 10 2 2 6 2" xfId="19903"/>
    <cellStyle name="연결된 셀 10 2 2 7" xfId="2763"/>
    <cellStyle name="연결된 셀 10 2 2 7 2" xfId="19904"/>
    <cellStyle name="연결된 셀 10 2 2 8" xfId="19889"/>
    <cellStyle name="연결된 셀 10 2 3" xfId="2764"/>
    <cellStyle name="연결된 셀 10 2 3 2" xfId="2765"/>
    <cellStyle name="연결된 셀 10 2 3 2 2" xfId="2766"/>
    <cellStyle name="연결된 셀 10 2 3 2 2 2" xfId="19907"/>
    <cellStyle name="연결된 셀 10 2 3 2 3" xfId="2767"/>
    <cellStyle name="연결된 셀 10 2 3 2 3 2" xfId="19908"/>
    <cellStyle name="연결된 셀 10 2 3 2 4" xfId="2768"/>
    <cellStyle name="연결된 셀 10 2 3 2 4 2" xfId="19909"/>
    <cellStyle name="연결된 셀 10 2 3 2 5" xfId="19906"/>
    <cellStyle name="연결된 셀 10 2 3 3" xfId="2769"/>
    <cellStyle name="연결된 셀 10 2 3 3 2" xfId="2770"/>
    <cellStyle name="연결된 셀 10 2 3 3 2 2" xfId="19911"/>
    <cellStyle name="연결된 셀 10 2 3 3 3" xfId="2771"/>
    <cellStyle name="연결된 셀 10 2 3 3 3 2" xfId="19912"/>
    <cellStyle name="연결된 셀 10 2 3 3 4" xfId="2772"/>
    <cellStyle name="연결된 셀 10 2 3 3 4 2" xfId="19913"/>
    <cellStyle name="연결된 셀 10 2 3 3 5" xfId="19910"/>
    <cellStyle name="연결된 셀 10 2 3 4" xfId="2773"/>
    <cellStyle name="연결된 셀 10 2 3 4 2" xfId="2774"/>
    <cellStyle name="연결된 셀 10 2 3 4 2 2" xfId="19915"/>
    <cellStyle name="연결된 셀 10 2 3 4 3" xfId="2775"/>
    <cellStyle name="연결된 셀 10 2 3 4 3 2" xfId="19916"/>
    <cellStyle name="연결된 셀 10 2 3 4 4" xfId="2776"/>
    <cellStyle name="연결된 셀 10 2 3 4 4 2" xfId="19917"/>
    <cellStyle name="연결된 셀 10 2 3 4 5" xfId="19914"/>
    <cellStyle name="연결된 셀 10 2 3 5" xfId="2777"/>
    <cellStyle name="연결된 셀 10 2 3 5 2" xfId="19918"/>
    <cellStyle name="연결된 셀 10 2 3 6" xfId="2778"/>
    <cellStyle name="연결된 셀 10 2 3 6 2" xfId="19919"/>
    <cellStyle name="연결된 셀 10 2 3 7" xfId="2779"/>
    <cellStyle name="연결된 셀 10 2 3 7 2" xfId="19920"/>
    <cellStyle name="연결된 셀 10 2 3 8" xfId="19905"/>
    <cellStyle name="연결된 셀 10 2 4" xfId="2780"/>
    <cellStyle name="연결된 셀 10 2 4 2" xfId="2781"/>
    <cellStyle name="연결된 셀 10 2 4 2 2" xfId="2782"/>
    <cellStyle name="연결된 셀 10 2 4 2 2 2" xfId="19923"/>
    <cellStyle name="연결된 셀 10 2 4 2 3" xfId="2783"/>
    <cellStyle name="연결된 셀 10 2 4 2 3 2" xfId="19924"/>
    <cellStyle name="연결된 셀 10 2 4 2 4" xfId="2784"/>
    <cellStyle name="연결된 셀 10 2 4 2 4 2" xfId="19925"/>
    <cellStyle name="연결된 셀 10 2 4 2 5" xfId="19922"/>
    <cellStyle name="연결된 셀 10 2 4 3" xfId="2785"/>
    <cellStyle name="연결된 셀 10 2 4 3 2" xfId="2786"/>
    <cellStyle name="연결된 셀 10 2 4 3 2 2" xfId="19927"/>
    <cellStyle name="연결된 셀 10 2 4 3 3" xfId="2787"/>
    <cellStyle name="연결된 셀 10 2 4 3 3 2" xfId="19928"/>
    <cellStyle name="연결된 셀 10 2 4 3 4" xfId="2788"/>
    <cellStyle name="연결된 셀 10 2 4 3 4 2" xfId="19929"/>
    <cellStyle name="연결된 셀 10 2 4 3 5" xfId="19926"/>
    <cellStyle name="연결된 셀 10 2 4 4" xfId="2789"/>
    <cellStyle name="연결된 셀 10 2 4 4 2" xfId="2790"/>
    <cellStyle name="연결된 셀 10 2 4 4 2 2" xfId="19931"/>
    <cellStyle name="연결된 셀 10 2 4 4 3" xfId="2791"/>
    <cellStyle name="연결된 셀 10 2 4 4 3 2" xfId="19932"/>
    <cellStyle name="연결된 셀 10 2 4 4 4" xfId="2792"/>
    <cellStyle name="연결된 셀 10 2 4 4 4 2" xfId="19933"/>
    <cellStyle name="연결된 셀 10 2 4 4 5" xfId="19930"/>
    <cellStyle name="연결된 셀 10 2 4 5" xfId="2793"/>
    <cellStyle name="연결된 셀 10 2 4 5 2" xfId="19934"/>
    <cellStyle name="연결된 셀 10 2 4 6" xfId="2794"/>
    <cellStyle name="연결된 셀 10 2 4 6 2" xfId="19935"/>
    <cellStyle name="연결된 셀 10 2 4 7" xfId="2795"/>
    <cellStyle name="연결된 셀 10 2 4 7 2" xfId="19936"/>
    <cellStyle name="연결된 셀 10 2 4 8" xfId="19921"/>
    <cellStyle name="연결된 셀 10 2 5" xfId="2796"/>
    <cellStyle name="연결된 셀 10 2 5 2" xfId="2797"/>
    <cellStyle name="연결된 셀 10 2 5 2 2" xfId="2798"/>
    <cellStyle name="연결된 셀 10 2 5 2 2 2" xfId="19939"/>
    <cellStyle name="연결된 셀 10 2 5 2 3" xfId="2799"/>
    <cellStyle name="연결된 셀 10 2 5 2 3 2" xfId="19940"/>
    <cellStyle name="연결된 셀 10 2 5 2 4" xfId="2800"/>
    <cellStyle name="연결된 셀 10 2 5 2 4 2" xfId="19941"/>
    <cellStyle name="연결된 셀 10 2 5 2 5" xfId="19938"/>
    <cellStyle name="연결된 셀 10 2 5 3" xfId="2801"/>
    <cellStyle name="연결된 셀 10 2 5 3 2" xfId="2802"/>
    <cellStyle name="연결된 셀 10 2 5 3 2 2" xfId="19943"/>
    <cellStyle name="연결된 셀 10 2 5 3 3" xfId="2803"/>
    <cellStyle name="연결된 셀 10 2 5 3 3 2" xfId="19944"/>
    <cellStyle name="연결된 셀 10 2 5 3 4" xfId="2804"/>
    <cellStyle name="연결된 셀 10 2 5 3 4 2" xfId="19945"/>
    <cellStyle name="연결된 셀 10 2 5 3 5" xfId="19942"/>
    <cellStyle name="연결된 셀 10 2 5 4" xfId="2805"/>
    <cellStyle name="연결된 셀 10 2 5 4 2" xfId="2806"/>
    <cellStyle name="연결된 셀 10 2 5 4 2 2" xfId="19947"/>
    <cellStyle name="연결된 셀 10 2 5 4 3" xfId="2807"/>
    <cellStyle name="연결된 셀 10 2 5 4 3 2" xfId="19948"/>
    <cellStyle name="연결된 셀 10 2 5 4 4" xfId="2808"/>
    <cellStyle name="연결된 셀 10 2 5 4 4 2" xfId="19949"/>
    <cellStyle name="연결된 셀 10 2 5 4 5" xfId="19946"/>
    <cellStyle name="연결된 셀 10 2 5 5" xfId="2809"/>
    <cellStyle name="연결된 셀 10 2 5 5 2" xfId="19950"/>
    <cellStyle name="연결된 셀 10 2 5 6" xfId="2810"/>
    <cellStyle name="연결된 셀 10 2 5 6 2" xfId="19951"/>
    <cellStyle name="연결된 셀 10 2 5 7" xfId="2811"/>
    <cellStyle name="연결된 셀 10 2 5 7 2" xfId="19952"/>
    <cellStyle name="연결된 셀 10 2 5 8" xfId="19937"/>
    <cellStyle name="연결된 셀 10 2 6" xfId="2812"/>
    <cellStyle name="연결된 셀 10 2 6 2" xfId="2813"/>
    <cellStyle name="연결된 셀 10 2 6 2 2" xfId="2814"/>
    <cellStyle name="연결된 셀 10 2 6 2 2 2" xfId="19955"/>
    <cellStyle name="연결된 셀 10 2 6 2 3" xfId="2815"/>
    <cellStyle name="연결된 셀 10 2 6 2 3 2" xfId="19956"/>
    <cellStyle name="연결된 셀 10 2 6 2 4" xfId="2816"/>
    <cellStyle name="연결된 셀 10 2 6 2 4 2" xfId="19957"/>
    <cellStyle name="연결된 셀 10 2 6 2 5" xfId="19954"/>
    <cellStyle name="연결된 셀 10 2 6 3" xfId="2817"/>
    <cellStyle name="연결된 셀 10 2 6 3 2" xfId="2818"/>
    <cellStyle name="연결된 셀 10 2 6 3 2 2" xfId="19959"/>
    <cellStyle name="연결된 셀 10 2 6 3 3" xfId="2819"/>
    <cellStyle name="연결된 셀 10 2 6 3 3 2" xfId="19960"/>
    <cellStyle name="연결된 셀 10 2 6 3 4" xfId="2820"/>
    <cellStyle name="연결된 셀 10 2 6 3 4 2" xfId="19961"/>
    <cellStyle name="연결된 셀 10 2 6 3 5" xfId="19958"/>
    <cellStyle name="연결된 셀 10 2 6 4" xfId="2821"/>
    <cellStyle name="연결된 셀 10 2 6 4 2" xfId="2822"/>
    <cellStyle name="연결된 셀 10 2 6 4 2 2" xfId="19963"/>
    <cellStyle name="연결된 셀 10 2 6 4 3" xfId="2823"/>
    <cellStyle name="연결된 셀 10 2 6 4 3 2" xfId="19964"/>
    <cellStyle name="연결된 셀 10 2 6 4 4" xfId="2824"/>
    <cellStyle name="연결된 셀 10 2 6 4 4 2" xfId="19965"/>
    <cellStyle name="연결된 셀 10 2 6 4 5" xfId="19962"/>
    <cellStyle name="연결된 셀 10 2 6 5" xfId="2825"/>
    <cellStyle name="연결된 셀 10 2 6 5 2" xfId="19966"/>
    <cellStyle name="연결된 셀 10 2 6 6" xfId="2826"/>
    <cellStyle name="연결된 셀 10 2 6 6 2" xfId="19967"/>
    <cellStyle name="연결된 셀 10 2 6 7" xfId="2827"/>
    <cellStyle name="연결된 셀 10 2 6 7 2" xfId="19968"/>
    <cellStyle name="연결된 셀 10 2 6 8" xfId="19953"/>
    <cellStyle name="연결된 셀 10 2 7" xfId="2828"/>
    <cellStyle name="연결된 셀 10 2 7 2" xfId="2829"/>
    <cellStyle name="연결된 셀 10 2 7 2 2" xfId="2830"/>
    <cellStyle name="연결된 셀 10 2 7 2 2 2" xfId="19971"/>
    <cellStyle name="연결된 셀 10 2 7 2 3" xfId="2831"/>
    <cellStyle name="연결된 셀 10 2 7 2 3 2" xfId="19972"/>
    <cellStyle name="연결된 셀 10 2 7 2 4" xfId="2832"/>
    <cellStyle name="연결된 셀 10 2 7 2 4 2" xfId="19973"/>
    <cellStyle name="연결된 셀 10 2 7 2 5" xfId="19970"/>
    <cellStyle name="연결된 셀 10 2 7 3" xfId="2833"/>
    <cellStyle name="연결된 셀 10 2 7 3 2" xfId="2834"/>
    <cellStyle name="연결된 셀 10 2 7 3 2 2" xfId="19975"/>
    <cellStyle name="연결된 셀 10 2 7 3 3" xfId="2835"/>
    <cellStyle name="연결된 셀 10 2 7 3 3 2" xfId="19976"/>
    <cellStyle name="연결된 셀 10 2 7 3 4" xfId="2836"/>
    <cellStyle name="연결된 셀 10 2 7 3 4 2" xfId="19977"/>
    <cellStyle name="연결된 셀 10 2 7 3 5" xfId="19974"/>
    <cellStyle name="연결된 셀 10 2 7 4" xfId="2837"/>
    <cellStyle name="연결된 셀 10 2 7 4 2" xfId="2838"/>
    <cellStyle name="연결된 셀 10 2 7 4 2 2" xfId="19979"/>
    <cellStyle name="연결된 셀 10 2 7 4 3" xfId="2839"/>
    <cellStyle name="연결된 셀 10 2 7 4 3 2" xfId="19980"/>
    <cellStyle name="연결된 셀 10 2 7 4 4" xfId="2840"/>
    <cellStyle name="연결된 셀 10 2 7 4 4 2" xfId="19981"/>
    <cellStyle name="연결된 셀 10 2 7 4 5" xfId="19978"/>
    <cellStyle name="연결된 셀 10 2 7 5" xfId="2841"/>
    <cellStyle name="연결된 셀 10 2 7 5 2" xfId="19982"/>
    <cellStyle name="연결된 셀 10 2 7 6" xfId="2842"/>
    <cellStyle name="연결된 셀 10 2 7 6 2" xfId="19983"/>
    <cellStyle name="연결된 셀 10 2 7 7" xfId="2843"/>
    <cellStyle name="연결된 셀 10 2 7 7 2" xfId="19984"/>
    <cellStyle name="연결된 셀 10 2 7 8" xfId="19969"/>
    <cellStyle name="연결된 셀 10 2 8" xfId="2844"/>
    <cellStyle name="연결된 셀 10 2 8 2" xfId="2845"/>
    <cellStyle name="연결된 셀 10 2 8 2 2" xfId="2846"/>
    <cellStyle name="연결된 셀 10 2 8 2 2 2" xfId="19987"/>
    <cellStyle name="연결된 셀 10 2 8 2 3" xfId="2847"/>
    <cellStyle name="연결된 셀 10 2 8 2 3 2" xfId="19988"/>
    <cellStyle name="연결된 셀 10 2 8 2 4" xfId="2848"/>
    <cellStyle name="연결된 셀 10 2 8 2 4 2" xfId="19989"/>
    <cellStyle name="연결된 셀 10 2 8 2 5" xfId="19986"/>
    <cellStyle name="연결된 셀 10 2 8 3" xfId="2849"/>
    <cellStyle name="연결된 셀 10 2 8 3 2" xfId="2850"/>
    <cellStyle name="연결된 셀 10 2 8 3 2 2" xfId="19991"/>
    <cellStyle name="연결된 셀 10 2 8 3 3" xfId="2851"/>
    <cellStyle name="연결된 셀 10 2 8 3 3 2" xfId="19992"/>
    <cellStyle name="연결된 셀 10 2 8 3 4" xfId="2852"/>
    <cellStyle name="연결된 셀 10 2 8 3 4 2" xfId="19993"/>
    <cellStyle name="연결된 셀 10 2 8 3 5" xfId="19990"/>
    <cellStyle name="연결된 셀 10 2 8 4" xfId="2853"/>
    <cellStyle name="연결된 셀 10 2 8 4 2" xfId="2854"/>
    <cellStyle name="연결된 셀 10 2 8 4 2 2" xfId="19995"/>
    <cellStyle name="연결된 셀 10 2 8 4 3" xfId="2855"/>
    <cellStyle name="연결된 셀 10 2 8 4 3 2" xfId="19996"/>
    <cellStyle name="연결된 셀 10 2 8 4 4" xfId="2856"/>
    <cellStyle name="연결된 셀 10 2 8 4 4 2" xfId="19997"/>
    <cellStyle name="연결된 셀 10 2 8 4 5" xfId="19994"/>
    <cellStyle name="연결된 셀 10 2 8 5" xfId="2857"/>
    <cellStyle name="연결된 셀 10 2 8 5 2" xfId="19998"/>
    <cellStyle name="연결된 셀 10 2 8 6" xfId="2858"/>
    <cellStyle name="연결된 셀 10 2 8 6 2" xfId="19999"/>
    <cellStyle name="연결된 셀 10 2 8 7" xfId="2859"/>
    <cellStyle name="연결된 셀 10 2 8 7 2" xfId="20000"/>
    <cellStyle name="연결된 셀 10 2 8 8" xfId="19985"/>
    <cellStyle name="연결된 셀 10 2 9" xfId="2860"/>
    <cellStyle name="연결된 셀 10 2 9 2" xfId="2861"/>
    <cellStyle name="연결된 셀 10 2 9 2 2" xfId="2862"/>
    <cellStyle name="연결된 셀 10 2 9 2 2 2" xfId="20003"/>
    <cellStyle name="연결된 셀 10 2 9 2 3" xfId="2863"/>
    <cellStyle name="연결된 셀 10 2 9 2 3 2" xfId="20004"/>
    <cellStyle name="연결된 셀 10 2 9 2 4" xfId="2864"/>
    <cellStyle name="연결된 셀 10 2 9 2 4 2" xfId="20005"/>
    <cellStyle name="연결된 셀 10 2 9 2 5" xfId="20002"/>
    <cellStyle name="연결된 셀 10 2 9 3" xfId="2865"/>
    <cellStyle name="연결된 셀 10 2 9 3 2" xfId="2866"/>
    <cellStyle name="연결된 셀 10 2 9 3 2 2" xfId="20007"/>
    <cellStyle name="연결된 셀 10 2 9 3 3" xfId="2867"/>
    <cellStyle name="연결된 셀 10 2 9 3 3 2" xfId="20008"/>
    <cellStyle name="연결된 셀 10 2 9 3 4" xfId="2868"/>
    <cellStyle name="연결된 셀 10 2 9 3 4 2" xfId="20009"/>
    <cellStyle name="연결된 셀 10 2 9 3 5" xfId="20006"/>
    <cellStyle name="연결된 셀 10 2 9 4" xfId="2869"/>
    <cellStyle name="연결된 셀 10 2 9 4 2" xfId="2870"/>
    <cellStyle name="연결된 셀 10 2 9 4 2 2" xfId="20011"/>
    <cellStyle name="연결된 셀 10 2 9 4 3" xfId="2871"/>
    <cellStyle name="연결된 셀 10 2 9 4 3 2" xfId="20012"/>
    <cellStyle name="연결된 셀 10 2 9 4 4" xfId="2872"/>
    <cellStyle name="연결된 셀 10 2 9 4 4 2" xfId="20013"/>
    <cellStyle name="연결된 셀 10 2 9 4 5" xfId="20010"/>
    <cellStyle name="연결된 셀 10 2 9 5" xfId="2873"/>
    <cellStyle name="연결된 셀 10 2 9 5 2" xfId="20014"/>
    <cellStyle name="연결된 셀 10 2 9 6" xfId="2874"/>
    <cellStyle name="연결된 셀 10 2 9 6 2" xfId="20015"/>
    <cellStyle name="연결된 셀 10 2 9 7" xfId="2875"/>
    <cellStyle name="연결된 셀 10 2 9 7 2" xfId="20016"/>
    <cellStyle name="연결된 셀 10 2 9 8" xfId="20001"/>
    <cellStyle name="연결된 셀 10 3" xfId="587"/>
    <cellStyle name="연결된 셀 10 3 2" xfId="2876"/>
    <cellStyle name="연결된 셀 10 3 2 2" xfId="2877"/>
    <cellStyle name="연결된 셀 10 3 2 2 2" xfId="20018"/>
    <cellStyle name="연결된 셀 10 3 2 3" xfId="2878"/>
    <cellStyle name="연결된 셀 10 3 2 3 2" xfId="20019"/>
    <cellStyle name="연결된 셀 10 3 2 4" xfId="2879"/>
    <cellStyle name="연결된 셀 10 3 2 4 2" xfId="20020"/>
    <cellStyle name="연결된 셀 10 3 2 5" xfId="20017"/>
    <cellStyle name="연결된 셀 10 3 3" xfId="2880"/>
    <cellStyle name="연결된 셀 10 3 3 2" xfId="2881"/>
    <cellStyle name="연결된 셀 10 3 3 2 2" xfId="20022"/>
    <cellStyle name="연결된 셀 10 3 3 3" xfId="2882"/>
    <cellStyle name="연결된 셀 10 3 3 3 2" xfId="20023"/>
    <cellStyle name="연결된 셀 10 3 3 4" xfId="2883"/>
    <cellStyle name="연결된 셀 10 3 3 4 2" xfId="20024"/>
    <cellStyle name="연결된 셀 10 3 3 5" xfId="20021"/>
    <cellStyle name="연결된 셀 10 3 4" xfId="2884"/>
    <cellStyle name="연결된 셀 10 3 4 2" xfId="2885"/>
    <cellStyle name="연결된 셀 10 3 4 2 2" xfId="20026"/>
    <cellStyle name="연결된 셀 10 3 4 3" xfId="2886"/>
    <cellStyle name="연결된 셀 10 3 4 3 2" xfId="20027"/>
    <cellStyle name="연결된 셀 10 3 4 4" xfId="2887"/>
    <cellStyle name="연결된 셀 10 3 4 4 2" xfId="20028"/>
    <cellStyle name="연결된 셀 10 3 4 5" xfId="20025"/>
    <cellStyle name="연결된 셀 10 3 5" xfId="2888"/>
    <cellStyle name="연결된 셀 10 3 5 2" xfId="20029"/>
    <cellStyle name="연결된 셀 10 3 6" xfId="2889"/>
    <cellStyle name="연결된 셀 10 3 6 2" xfId="20030"/>
    <cellStyle name="연결된 셀 10 3 7" xfId="2890"/>
    <cellStyle name="연결된 셀 10 3 7 2" xfId="20031"/>
    <cellStyle name="연결된 셀 10 3 8" xfId="17730"/>
    <cellStyle name="연결된 셀 10 4" xfId="2891"/>
    <cellStyle name="연결된 셀 10 4 2" xfId="2892"/>
    <cellStyle name="연결된 셀 10 4 2 2" xfId="2893"/>
    <cellStyle name="연결된 셀 10 4 2 2 2" xfId="20034"/>
    <cellStyle name="연결된 셀 10 4 2 3" xfId="2894"/>
    <cellStyle name="연결된 셀 10 4 2 3 2" xfId="20035"/>
    <cellStyle name="연결된 셀 10 4 2 4" xfId="2895"/>
    <cellStyle name="연결된 셀 10 4 2 4 2" xfId="20036"/>
    <cellStyle name="연결된 셀 10 4 2 5" xfId="20033"/>
    <cellStyle name="연결된 셀 10 4 3" xfId="2896"/>
    <cellStyle name="연결된 셀 10 4 3 2" xfId="2897"/>
    <cellStyle name="연결된 셀 10 4 3 2 2" xfId="20038"/>
    <cellStyle name="연결된 셀 10 4 3 3" xfId="2898"/>
    <cellStyle name="연결된 셀 10 4 3 3 2" xfId="20039"/>
    <cellStyle name="연결된 셀 10 4 3 4" xfId="2899"/>
    <cellStyle name="연결된 셀 10 4 3 4 2" xfId="20040"/>
    <cellStyle name="연결된 셀 10 4 3 5" xfId="20037"/>
    <cellStyle name="연결된 셀 10 4 4" xfId="2900"/>
    <cellStyle name="연결된 셀 10 4 4 2" xfId="2901"/>
    <cellStyle name="연결된 셀 10 4 4 2 2" xfId="20042"/>
    <cellStyle name="연결된 셀 10 4 4 3" xfId="2902"/>
    <cellStyle name="연결된 셀 10 4 4 3 2" xfId="20043"/>
    <cellStyle name="연결된 셀 10 4 4 4" xfId="2903"/>
    <cellStyle name="연결된 셀 10 4 4 4 2" xfId="20044"/>
    <cellStyle name="연결된 셀 10 4 4 5" xfId="20041"/>
    <cellStyle name="연결된 셀 10 4 5" xfId="2904"/>
    <cellStyle name="연결된 셀 10 4 5 2" xfId="20045"/>
    <cellStyle name="연결된 셀 10 4 6" xfId="2905"/>
    <cellStyle name="연결된 셀 10 4 6 2" xfId="20046"/>
    <cellStyle name="연결된 셀 10 4 7" xfId="2906"/>
    <cellStyle name="연결된 셀 10 4 7 2" xfId="20047"/>
    <cellStyle name="연결된 셀 10 4 8" xfId="20032"/>
    <cellStyle name="연결된 셀 10 5" xfId="2907"/>
    <cellStyle name="연결된 셀 10 5 2" xfId="2908"/>
    <cellStyle name="연결된 셀 10 5 2 2" xfId="2909"/>
    <cellStyle name="연결된 셀 10 5 2 2 2" xfId="20050"/>
    <cellStyle name="연결된 셀 10 5 2 3" xfId="2910"/>
    <cellStyle name="연결된 셀 10 5 2 3 2" xfId="20051"/>
    <cellStyle name="연결된 셀 10 5 2 4" xfId="2911"/>
    <cellStyle name="연결된 셀 10 5 2 4 2" xfId="20052"/>
    <cellStyle name="연결된 셀 10 5 2 5" xfId="20049"/>
    <cellStyle name="연결된 셀 10 5 3" xfId="2912"/>
    <cellStyle name="연결된 셀 10 5 3 2" xfId="2913"/>
    <cellStyle name="연결된 셀 10 5 3 2 2" xfId="20054"/>
    <cellStyle name="연결된 셀 10 5 3 3" xfId="2914"/>
    <cellStyle name="연결된 셀 10 5 3 3 2" xfId="20055"/>
    <cellStyle name="연결된 셀 10 5 3 4" xfId="2915"/>
    <cellStyle name="연결된 셀 10 5 3 4 2" xfId="20056"/>
    <cellStyle name="연결된 셀 10 5 3 5" xfId="20053"/>
    <cellStyle name="연결된 셀 10 5 4" xfId="2916"/>
    <cellStyle name="연결된 셀 10 5 4 2" xfId="2917"/>
    <cellStyle name="연결된 셀 10 5 4 2 2" xfId="20058"/>
    <cellStyle name="연결된 셀 10 5 4 3" xfId="2918"/>
    <cellStyle name="연결된 셀 10 5 4 3 2" xfId="20059"/>
    <cellStyle name="연결된 셀 10 5 4 4" xfId="2919"/>
    <cellStyle name="연결된 셀 10 5 4 4 2" xfId="20060"/>
    <cellStyle name="연결된 셀 10 5 4 5" xfId="20057"/>
    <cellStyle name="연결된 셀 10 5 5" xfId="2920"/>
    <cellStyle name="연결된 셀 10 5 5 2" xfId="20061"/>
    <cellStyle name="연결된 셀 10 5 6" xfId="2921"/>
    <cellStyle name="연결된 셀 10 5 6 2" xfId="20062"/>
    <cellStyle name="연결된 셀 10 5 7" xfId="2922"/>
    <cellStyle name="연결된 셀 10 5 7 2" xfId="20063"/>
    <cellStyle name="연결된 셀 10 5 8" xfId="20048"/>
    <cellStyle name="연결된 셀 10 6" xfId="2923"/>
    <cellStyle name="연결된 셀 10 6 2" xfId="2924"/>
    <cellStyle name="연결된 셀 10 6 2 2" xfId="2925"/>
    <cellStyle name="연결된 셀 10 6 2 2 2" xfId="20066"/>
    <cellStyle name="연결된 셀 10 6 2 3" xfId="2926"/>
    <cellStyle name="연결된 셀 10 6 2 3 2" xfId="20067"/>
    <cellStyle name="연결된 셀 10 6 2 4" xfId="2927"/>
    <cellStyle name="연결된 셀 10 6 2 4 2" xfId="20068"/>
    <cellStyle name="연결된 셀 10 6 2 5" xfId="20065"/>
    <cellStyle name="연결된 셀 10 6 3" xfId="2928"/>
    <cellStyle name="연결된 셀 10 6 3 2" xfId="2929"/>
    <cellStyle name="연결된 셀 10 6 3 2 2" xfId="20070"/>
    <cellStyle name="연결된 셀 10 6 3 3" xfId="2930"/>
    <cellStyle name="연결된 셀 10 6 3 3 2" xfId="20071"/>
    <cellStyle name="연결된 셀 10 6 3 4" xfId="2931"/>
    <cellStyle name="연결된 셀 10 6 3 4 2" xfId="20072"/>
    <cellStyle name="연결된 셀 10 6 3 5" xfId="20069"/>
    <cellStyle name="연결된 셀 10 6 4" xfId="2932"/>
    <cellStyle name="연결된 셀 10 6 4 2" xfId="2933"/>
    <cellStyle name="연결된 셀 10 6 4 2 2" xfId="20074"/>
    <cellStyle name="연결된 셀 10 6 4 3" xfId="2934"/>
    <cellStyle name="연결된 셀 10 6 4 3 2" xfId="20075"/>
    <cellStyle name="연결된 셀 10 6 4 4" xfId="2935"/>
    <cellStyle name="연결된 셀 10 6 4 4 2" xfId="20076"/>
    <cellStyle name="연결된 셀 10 6 4 5" xfId="20073"/>
    <cellStyle name="연결된 셀 10 6 5" xfId="2936"/>
    <cellStyle name="연결된 셀 10 6 5 2" xfId="20077"/>
    <cellStyle name="연결된 셀 10 6 6" xfId="2937"/>
    <cellStyle name="연결된 셀 10 6 6 2" xfId="20078"/>
    <cellStyle name="연결된 셀 10 6 7" xfId="2938"/>
    <cellStyle name="연결된 셀 10 6 7 2" xfId="20079"/>
    <cellStyle name="연결된 셀 10 6 8" xfId="20064"/>
    <cellStyle name="연결된 셀 10 7" xfId="2939"/>
    <cellStyle name="연결된 셀 10 7 2" xfId="2940"/>
    <cellStyle name="연결된 셀 10 7 2 2" xfId="2941"/>
    <cellStyle name="연결된 셀 10 7 2 2 2" xfId="20082"/>
    <cellStyle name="연결된 셀 10 7 2 3" xfId="2942"/>
    <cellStyle name="연결된 셀 10 7 2 3 2" xfId="20083"/>
    <cellStyle name="연결된 셀 10 7 2 4" xfId="2943"/>
    <cellStyle name="연결된 셀 10 7 2 4 2" xfId="20084"/>
    <cellStyle name="연결된 셀 10 7 2 5" xfId="20081"/>
    <cellStyle name="연결된 셀 10 7 3" xfId="2944"/>
    <cellStyle name="연결된 셀 10 7 3 2" xfId="2945"/>
    <cellStyle name="연결된 셀 10 7 3 2 2" xfId="20086"/>
    <cellStyle name="연결된 셀 10 7 3 3" xfId="2946"/>
    <cellStyle name="연결된 셀 10 7 3 3 2" xfId="20087"/>
    <cellStyle name="연결된 셀 10 7 3 4" xfId="2947"/>
    <cellStyle name="연결된 셀 10 7 3 4 2" xfId="20088"/>
    <cellStyle name="연결된 셀 10 7 3 5" xfId="20085"/>
    <cellStyle name="연결된 셀 10 7 4" xfId="2948"/>
    <cellStyle name="연결된 셀 10 7 4 2" xfId="2949"/>
    <cellStyle name="연결된 셀 10 7 4 2 2" xfId="20090"/>
    <cellStyle name="연결된 셀 10 7 4 3" xfId="2950"/>
    <cellStyle name="연결된 셀 10 7 4 3 2" xfId="20091"/>
    <cellStyle name="연결된 셀 10 7 4 4" xfId="2951"/>
    <cellStyle name="연결된 셀 10 7 4 4 2" xfId="20092"/>
    <cellStyle name="연결된 셀 10 7 4 5" xfId="20089"/>
    <cellStyle name="연결된 셀 10 7 5" xfId="2952"/>
    <cellStyle name="연결된 셀 10 7 5 2" xfId="20093"/>
    <cellStyle name="연결된 셀 10 7 6" xfId="2953"/>
    <cellStyle name="연결된 셀 10 7 6 2" xfId="20094"/>
    <cellStyle name="연결된 셀 10 7 7" xfId="2954"/>
    <cellStyle name="연결된 셀 10 7 7 2" xfId="20095"/>
    <cellStyle name="연결된 셀 10 7 8" xfId="20080"/>
    <cellStyle name="연결된 셀 10 8" xfId="2955"/>
    <cellStyle name="연결된 셀 10 8 2" xfId="2956"/>
    <cellStyle name="연결된 셀 10 8 2 2" xfId="2957"/>
    <cellStyle name="연결된 셀 10 8 2 2 2" xfId="20098"/>
    <cellStyle name="연결된 셀 10 8 2 3" xfId="2958"/>
    <cellStyle name="연결된 셀 10 8 2 3 2" xfId="20099"/>
    <cellStyle name="연결된 셀 10 8 2 4" xfId="2959"/>
    <cellStyle name="연결된 셀 10 8 2 4 2" xfId="20100"/>
    <cellStyle name="연결된 셀 10 8 2 5" xfId="20097"/>
    <cellStyle name="연결된 셀 10 8 3" xfId="2960"/>
    <cellStyle name="연결된 셀 10 8 3 2" xfId="2961"/>
    <cellStyle name="연결된 셀 10 8 3 2 2" xfId="20102"/>
    <cellStyle name="연결된 셀 10 8 3 3" xfId="2962"/>
    <cellStyle name="연결된 셀 10 8 3 3 2" xfId="20103"/>
    <cellStyle name="연결된 셀 10 8 3 4" xfId="2963"/>
    <cellStyle name="연결된 셀 10 8 3 4 2" xfId="20104"/>
    <cellStyle name="연결된 셀 10 8 3 5" xfId="20101"/>
    <cellStyle name="연결된 셀 10 8 4" xfId="2964"/>
    <cellStyle name="연결된 셀 10 8 4 2" xfId="2965"/>
    <cellStyle name="연결된 셀 10 8 4 2 2" xfId="20106"/>
    <cellStyle name="연결된 셀 10 8 4 3" xfId="2966"/>
    <cellStyle name="연결된 셀 10 8 4 3 2" xfId="20107"/>
    <cellStyle name="연결된 셀 10 8 4 4" xfId="2967"/>
    <cellStyle name="연결된 셀 10 8 4 4 2" xfId="20108"/>
    <cellStyle name="연결된 셀 10 8 4 5" xfId="20105"/>
    <cellStyle name="연결된 셀 10 8 5" xfId="2968"/>
    <cellStyle name="연결된 셀 10 8 5 2" xfId="20109"/>
    <cellStyle name="연결된 셀 10 8 6" xfId="2969"/>
    <cellStyle name="연결된 셀 10 8 6 2" xfId="20110"/>
    <cellStyle name="연결된 셀 10 8 7" xfId="2970"/>
    <cellStyle name="연결된 셀 10 8 7 2" xfId="20111"/>
    <cellStyle name="연결된 셀 10 8 8" xfId="20096"/>
    <cellStyle name="연결된 셀 10 9" xfId="2971"/>
    <cellStyle name="연결된 셀 10 9 2" xfId="2972"/>
    <cellStyle name="연결된 셀 10 9 2 2" xfId="2973"/>
    <cellStyle name="연결된 셀 10 9 2 2 2" xfId="20114"/>
    <cellStyle name="연결된 셀 10 9 2 3" xfId="2974"/>
    <cellStyle name="연결된 셀 10 9 2 3 2" xfId="20115"/>
    <cellStyle name="연결된 셀 10 9 2 4" xfId="2975"/>
    <cellStyle name="연결된 셀 10 9 2 4 2" xfId="20116"/>
    <cellStyle name="연결된 셀 10 9 2 5" xfId="20113"/>
    <cellStyle name="연결된 셀 10 9 3" xfId="2976"/>
    <cellStyle name="연결된 셀 10 9 3 2" xfId="2977"/>
    <cellStyle name="연결된 셀 10 9 3 2 2" xfId="20118"/>
    <cellStyle name="연결된 셀 10 9 3 3" xfId="2978"/>
    <cellStyle name="연결된 셀 10 9 3 3 2" xfId="20119"/>
    <cellStyle name="연결된 셀 10 9 3 4" xfId="2979"/>
    <cellStyle name="연결된 셀 10 9 3 4 2" xfId="20120"/>
    <cellStyle name="연결된 셀 10 9 3 5" xfId="20117"/>
    <cellStyle name="연결된 셀 10 9 4" xfId="2980"/>
    <cellStyle name="연결된 셀 10 9 4 2" xfId="2981"/>
    <cellStyle name="연결된 셀 10 9 4 2 2" xfId="20122"/>
    <cellStyle name="연결된 셀 10 9 4 3" xfId="2982"/>
    <cellStyle name="연결된 셀 10 9 4 3 2" xfId="20123"/>
    <cellStyle name="연결된 셀 10 9 4 4" xfId="2983"/>
    <cellStyle name="연결된 셀 10 9 4 4 2" xfId="20124"/>
    <cellStyle name="연결된 셀 10 9 4 5" xfId="20121"/>
    <cellStyle name="연결된 셀 10 9 5" xfId="2984"/>
    <cellStyle name="연결된 셀 10 9 5 2" xfId="20125"/>
    <cellStyle name="연결된 셀 10 9 6" xfId="2985"/>
    <cellStyle name="연결된 셀 10 9 6 2" xfId="20126"/>
    <cellStyle name="연결된 셀 10 9 7" xfId="2986"/>
    <cellStyle name="연결된 셀 10 9 7 2" xfId="20127"/>
    <cellStyle name="연결된 셀 10 9 8" xfId="20112"/>
    <cellStyle name="연결된 셀 11" xfId="336"/>
    <cellStyle name="연결된 셀 11 10" xfId="2987"/>
    <cellStyle name="연결된 셀 11 10 2" xfId="2988"/>
    <cellStyle name="연결된 셀 11 10 2 2" xfId="2989"/>
    <cellStyle name="연결된 셀 11 10 2 2 2" xfId="20130"/>
    <cellStyle name="연결된 셀 11 10 2 3" xfId="2990"/>
    <cellStyle name="연결된 셀 11 10 2 3 2" xfId="20131"/>
    <cellStyle name="연결된 셀 11 10 2 4" xfId="2991"/>
    <cellStyle name="연결된 셀 11 10 2 4 2" xfId="20132"/>
    <cellStyle name="연결된 셀 11 10 2 5" xfId="20129"/>
    <cellStyle name="연결된 셀 11 10 3" xfId="2992"/>
    <cellStyle name="연결된 셀 11 10 3 2" xfId="2993"/>
    <cellStyle name="연결된 셀 11 10 3 2 2" xfId="20134"/>
    <cellStyle name="연결된 셀 11 10 3 3" xfId="2994"/>
    <cellStyle name="연결된 셀 11 10 3 3 2" xfId="20135"/>
    <cellStyle name="연결된 셀 11 10 3 4" xfId="2995"/>
    <cellStyle name="연결된 셀 11 10 3 4 2" xfId="20136"/>
    <cellStyle name="연결된 셀 11 10 3 5" xfId="20133"/>
    <cellStyle name="연결된 셀 11 10 4" xfId="2996"/>
    <cellStyle name="연결된 셀 11 10 4 2" xfId="2997"/>
    <cellStyle name="연결된 셀 11 10 4 2 2" xfId="20138"/>
    <cellStyle name="연결된 셀 11 10 4 3" xfId="2998"/>
    <cellStyle name="연결된 셀 11 10 4 3 2" xfId="20139"/>
    <cellStyle name="연결된 셀 11 10 4 4" xfId="2999"/>
    <cellStyle name="연결된 셀 11 10 4 4 2" xfId="20140"/>
    <cellStyle name="연결된 셀 11 10 4 5" xfId="20137"/>
    <cellStyle name="연결된 셀 11 10 5" xfId="3000"/>
    <cellStyle name="연결된 셀 11 10 5 2" xfId="20141"/>
    <cellStyle name="연결된 셀 11 10 6" xfId="3001"/>
    <cellStyle name="연결된 셀 11 10 6 2" xfId="20142"/>
    <cellStyle name="연결된 셀 11 10 7" xfId="3002"/>
    <cellStyle name="연결된 셀 11 10 7 2" xfId="20143"/>
    <cellStyle name="연결된 셀 11 10 8" xfId="20128"/>
    <cellStyle name="연결된 셀 11 11" xfId="3003"/>
    <cellStyle name="연결된 셀 11 11 2" xfId="3004"/>
    <cellStyle name="연결된 셀 11 11 2 2" xfId="3005"/>
    <cellStyle name="연결된 셀 11 11 2 2 2" xfId="20146"/>
    <cellStyle name="연결된 셀 11 11 2 3" xfId="3006"/>
    <cellStyle name="연결된 셀 11 11 2 3 2" xfId="20147"/>
    <cellStyle name="연결된 셀 11 11 2 4" xfId="3007"/>
    <cellStyle name="연결된 셀 11 11 2 4 2" xfId="20148"/>
    <cellStyle name="연결된 셀 11 11 2 5" xfId="20145"/>
    <cellStyle name="연결된 셀 11 11 3" xfId="3008"/>
    <cellStyle name="연결된 셀 11 11 3 2" xfId="3009"/>
    <cellStyle name="연결된 셀 11 11 3 2 2" xfId="20150"/>
    <cellStyle name="연결된 셀 11 11 3 3" xfId="3010"/>
    <cellStyle name="연결된 셀 11 11 3 3 2" xfId="20151"/>
    <cellStyle name="연결된 셀 11 11 3 4" xfId="3011"/>
    <cellStyle name="연결된 셀 11 11 3 4 2" xfId="20152"/>
    <cellStyle name="연결된 셀 11 11 3 5" xfId="20149"/>
    <cellStyle name="연결된 셀 11 11 4" xfId="3012"/>
    <cellStyle name="연결된 셀 11 11 4 2" xfId="3013"/>
    <cellStyle name="연결된 셀 11 11 4 2 2" xfId="20154"/>
    <cellStyle name="연결된 셀 11 11 4 3" xfId="3014"/>
    <cellStyle name="연결된 셀 11 11 4 3 2" xfId="20155"/>
    <cellStyle name="연결된 셀 11 11 4 4" xfId="3015"/>
    <cellStyle name="연결된 셀 11 11 4 4 2" xfId="20156"/>
    <cellStyle name="연결된 셀 11 11 4 5" xfId="20153"/>
    <cellStyle name="연결된 셀 11 11 5" xfId="3016"/>
    <cellStyle name="연결된 셀 11 11 5 2" xfId="20157"/>
    <cellStyle name="연결된 셀 11 11 6" xfId="3017"/>
    <cellStyle name="연결된 셀 11 11 6 2" xfId="20158"/>
    <cellStyle name="연결된 셀 11 11 7" xfId="3018"/>
    <cellStyle name="연결된 셀 11 11 7 2" xfId="20159"/>
    <cellStyle name="연결된 셀 11 11 8" xfId="20144"/>
    <cellStyle name="연결된 셀 11 12" xfId="3019"/>
    <cellStyle name="연결된 셀 11 12 2" xfId="3020"/>
    <cellStyle name="연결된 셀 11 12 2 2" xfId="3021"/>
    <cellStyle name="연결된 셀 11 12 2 2 2" xfId="20162"/>
    <cellStyle name="연결된 셀 11 12 2 3" xfId="3022"/>
    <cellStyle name="연결된 셀 11 12 2 3 2" xfId="20163"/>
    <cellStyle name="연결된 셀 11 12 2 4" xfId="3023"/>
    <cellStyle name="연결된 셀 11 12 2 4 2" xfId="20164"/>
    <cellStyle name="연결된 셀 11 12 2 5" xfId="20161"/>
    <cellStyle name="연결된 셀 11 12 3" xfId="3024"/>
    <cellStyle name="연결된 셀 11 12 3 2" xfId="3025"/>
    <cellStyle name="연결된 셀 11 12 3 2 2" xfId="20166"/>
    <cellStyle name="연결된 셀 11 12 3 3" xfId="3026"/>
    <cellStyle name="연결된 셀 11 12 3 3 2" xfId="20167"/>
    <cellStyle name="연결된 셀 11 12 3 4" xfId="3027"/>
    <cellStyle name="연결된 셀 11 12 3 4 2" xfId="20168"/>
    <cellStyle name="연결된 셀 11 12 3 5" xfId="20165"/>
    <cellStyle name="연결된 셀 11 12 4" xfId="3028"/>
    <cellStyle name="연결된 셀 11 12 4 2" xfId="3029"/>
    <cellStyle name="연결된 셀 11 12 4 2 2" xfId="20170"/>
    <cellStyle name="연결된 셀 11 12 4 3" xfId="3030"/>
    <cellStyle name="연결된 셀 11 12 4 3 2" xfId="20171"/>
    <cellStyle name="연결된 셀 11 12 4 4" xfId="3031"/>
    <cellStyle name="연결된 셀 11 12 4 4 2" xfId="20172"/>
    <cellStyle name="연결된 셀 11 12 4 5" xfId="20169"/>
    <cellStyle name="연결된 셀 11 12 5" xfId="3032"/>
    <cellStyle name="연결된 셀 11 12 5 2" xfId="20173"/>
    <cellStyle name="연결된 셀 11 12 6" xfId="3033"/>
    <cellStyle name="연결된 셀 11 12 6 2" xfId="20174"/>
    <cellStyle name="연결된 셀 11 12 7" xfId="3034"/>
    <cellStyle name="연결된 셀 11 12 7 2" xfId="20175"/>
    <cellStyle name="연결된 셀 11 12 8" xfId="20160"/>
    <cellStyle name="연결된 셀 11 13" xfId="3035"/>
    <cellStyle name="연결된 셀 11 13 2" xfId="3036"/>
    <cellStyle name="연결된 셀 11 13 2 2" xfId="20177"/>
    <cellStyle name="연결된 셀 11 13 3" xfId="3037"/>
    <cellStyle name="연결된 셀 11 13 3 2" xfId="20178"/>
    <cellStyle name="연결된 셀 11 13 4" xfId="3038"/>
    <cellStyle name="연결된 셀 11 13 4 2" xfId="20179"/>
    <cellStyle name="연결된 셀 11 13 5" xfId="20176"/>
    <cellStyle name="연결된 셀 11 14" xfId="3039"/>
    <cellStyle name="연결된 셀 11 14 2" xfId="20180"/>
    <cellStyle name="연결된 셀 11 15" xfId="3040"/>
    <cellStyle name="연결된 셀 11 15 2" xfId="20181"/>
    <cellStyle name="연결된 셀 11 16" xfId="3041"/>
    <cellStyle name="연결된 셀 11 16 2" xfId="20182"/>
    <cellStyle name="연결된 셀 11 17" xfId="17479"/>
    <cellStyle name="연결된 셀 11 2" xfId="845"/>
    <cellStyle name="연결된 셀 11 2 10" xfId="3042"/>
    <cellStyle name="연결된 셀 11 2 10 2" xfId="3043"/>
    <cellStyle name="연결된 셀 11 2 10 2 2" xfId="3044"/>
    <cellStyle name="연결된 셀 11 2 10 2 2 2" xfId="20185"/>
    <cellStyle name="연결된 셀 11 2 10 2 3" xfId="3045"/>
    <cellStyle name="연결된 셀 11 2 10 2 3 2" xfId="20186"/>
    <cellStyle name="연결된 셀 11 2 10 2 4" xfId="3046"/>
    <cellStyle name="연결된 셀 11 2 10 2 4 2" xfId="20187"/>
    <cellStyle name="연결된 셀 11 2 10 2 5" xfId="20184"/>
    <cellStyle name="연결된 셀 11 2 10 3" xfId="3047"/>
    <cellStyle name="연결된 셀 11 2 10 3 2" xfId="3048"/>
    <cellStyle name="연결된 셀 11 2 10 3 2 2" xfId="20189"/>
    <cellStyle name="연결된 셀 11 2 10 3 3" xfId="3049"/>
    <cellStyle name="연결된 셀 11 2 10 3 3 2" xfId="20190"/>
    <cellStyle name="연결된 셀 11 2 10 3 4" xfId="3050"/>
    <cellStyle name="연결된 셀 11 2 10 3 4 2" xfId="20191"/>
    <cellStyle name="연결된 셀 11 2 10 3 5" xfId="20188"/>
    <cellStyle name="연결된 셀 11 2 10 4" xfId="3051"/>
    <cellStyle name="연결된 셀 11 2 10 4 2" xfId="3052"/>
    <cellStyle name="연결된 셀 11 2 10 4 2 2" xfId="20193"/>
    <cellStyle name="연결된 셀 11 2 10 4 3" xfId="3053"/>
    <cellStyle name="연결된 셀 11 2 10 4 3 2" xfId="20194"/>
    <cellStyle name="연결된 셀 11 2 10 4 4" xfId="3054"/>
    <cellStyle name="연결된 셀 11 2 10 4 4 2" xfId="20195"/>
    <cellStyle name="연결된 셀 11 2 10 4 5" xfId="20192"/>
    <cellStyle name="연결된 셀 11 2 10 5" xfId="3055"/>
    <cellStyle name="연결된 셀 11 2 10 5 2" xfId="20196"/>
    <cellStyle name="연결된 셀 11 2 10 6" xfId="3056"/>
    <cellStyle name="연결된 셀 11 2 10 6 2" xfId="20197"/>
    <cellStyle name="연결된 셀 11 2 10 7" xfId="3057"/>
    <cellStyle name="연결된 셀 11 2 10 7 2" xfId="20198"/>
    <cellStyle name="연결된 셀 11 2 10 8" xfId="20183"/>
    <cellStyle name="연결된 셀 11 2 11" xfId="3058"/>
    <cellStyle name="연결된 셀 11 2 11 2" xfId="3059"/>
    <cellStyle name="연결된 셀 11 2 11 2 2" xfId="3060"/>
    <cellStyle name="연결된 셀 11 2 11 2 2 2" xfId="20201"/>
    <cellStyle name="연결된 셀 11 2 11 2 3" xfId="3061"/>
    <cellStyle name="연결된 셀 11 2 11 2 3 2" xfId="20202"/>
    <cellStyle name="연결된 셀 11 2 11 2 4" xfId="3062"/>
    <cellStyle name="연결된 셀 11 2 11 2 4 2" xfId="20203"/>
    <cellStyle name="연결된 셀 11 2 11 2 5" xfId="20200"/>
    <cellStyle name="연결된 셀 11 2 11 3" xfId="3063"/>
    <cellStyle name="연결된 셀 11 2 11 3 2" xfId="3064"/>
    <cellStyle name="연결된 셀 11 2 11 3 2 2" xfId="20205"/>
    <cellStyle name="연결된 셀 11 2 11 3 3" xfId="3065"/>
    <cellStyle name="연결된 셀 11 2 11 3 3 2" xfId="20206"/>
    <cellStyle name="연결된 셀 11 2 11 3 4" xfId="3066"/>
    <cellStyle name="연결된 셀 11 2 11 3 4 2" xfId="20207"/>
    <cellStyle name="연결된 셀 11 2 11 3 5" xfId="20204"/>
    <cellStyle name="연결된 셀 11 2 11 4" xfId="3067"/>
    <cellStyle name="연결된 셀 11 2 11 4 2" xfId="3068"/>
    <cellStyle name="연결된 셀 11 2 11 4 2 2" xfId="20209"/>
    <cellStyle name="연결된 셀 11 2 11 4 3" xfId="3069"/>
    <cellStyle name="연결된 셀 11 2 11 4 3 2" xfId="20210"/>
    <cellStyle name="연결된 셀 11 2 11 4 4" xfId="3070"/>
    <cellStyle name="연결된 셀 11 2 11 4 4 2" xfId="20211"/>
    <cellStyle name="연결된 셀 11 2 11 4 5" xfId="20208"/>
    <cellStyle name="연결된 셀 11 2 11 5" xfId="3071"/>
    <cellStyle name="연결된 셀 11 2 11 5 2" xfId="20212"/>
    <cellStyle name="연결된 셀 11 2 11 6" xfId="3072"/>
    <cellStyle name="연결된 셀 11 2 11 6 2" xfId="20213"/>
    <cellStyle name="연결된 셀 11 2 11 7" xfId="3073"/>
    <cellStyle name="연결된 셀 11 2 11 7 2" xfId="20214"/>
    <cellStyle name="연결된 셀 11 2 11 8" xfId="20199"/>
    <cellStyle name="연결된 셀 11 2 12" xfId="3074"/>
    <cellStyle name="연결된 셀 11 2 12 2" xfId="3075"/>
    <cellStyle name="연결된 셀 11 2 12 2 2" xfId="20216"/>
    <cellStyle name="연결된 셀 11 2 12 3" xfId="3076"/>
    <cellStyle name="연결된 셀 11 2 12 3 2" xfId="20217"/>
    <cellStyle name="연결된 셀 11 2 12 4" xfId="3077"/>
    <cellStyle name="연결된 셀 11 2 12 4 2" xfId="20218"/>
    <cellStyle name="연결된 셀 11 2 12 5" xfId="20215"/>
    <cellStyle name="연결된 셀 11 2 13" xfId="3078"/>
    <cellStyle name="연결된 셀 11 2 13 2" xfId="20219"/>
    <cellStyle name="연결된 셀 11 2 14" xfId="3079"/>
    <cellStyle name="연결된 셀 11 2 14 2" xfId="20220"/>
    <cellStyle name="연결된 셀 11 2 15" xfId="3080"/>
    <cellStyle name="연결된 셀 11 2 15 2" xfId="20221"/>
    <cellStyle name="연결된 셀 11 2 16" xfId="17988"/>
    <cellStyle name="연결된 셀 11 2 2" xfId="3081"/>
    <cellStyle name="연결된 셀 11 2 2 2" xfId="3082"/>
    <cellStyle name="연결된 셀 11 2 2 2 2" xfId="3083"/>
    <cellStyle name="연결된 셀 11 2 2 2 2 2" xfId="20224"/>
    <cellStyle name="연결된 셀 11 2 2 2 3" xfId="3084"/>
    <cellStyle name="연결된 셀 11 2 2 2 3 2" xfId="20225"/>
    <cellStyle name="연결된 셀 11 2 2 2 4" xfId="3085"/>
    <cellStyle name="연결된 셀 11 2 2 2 4 2" xfId="20226"/>
    <cellStyle name="연결된 셀 11 2 2 2 5" xfId="20223"/>
    <cellStyle name="연결된 셀 11 2 2 3" xfId="3086"/>
    <cellStyle name="연결된 셀 11 2 2 3 2" xfId="3087"/>
    <cellStyle name="연결된 셀 11 2 2 3 2 2" xfId="20228"/>
    <cellStyle name="연결된 셀 11 2 2 3 3" xfId="3088"/>
    <cellStyle name="연결된 셀 11 2 2 3 3 2" xfId="20229"/>
    <cellStyle name="연결된 셀 11 2 2 3 4" xfId="3089"/>
    <cellStyle name="연결된 셀 11 2 2 3 4 2" xfId="20230"/>
    <cellStyle name="연결된 셀 11 2 2 3 5" xfId="20227"/>
    <cellStyle name="연결된 셀 11 2 2 4" xfId="3090"/>
    <cellStyle name="연결된 셀 11 2 2 4 2" xfId="3091"/>
    <cellStyle name="연결된 셀 11 2 2 4 2 2" xfId="20232"/>
    <cellStyle name="연결된 셀 11 2 2 4 3" xfId="3092"/>
    <cellStyle name="연결된 셀 11 2 2 4 3 2" xfId="20233"/>
    <cellStyle name="연결된 셀 11 2 2 4 4" xfId="3093"/>
    <cellStyle name="연결된 셀 11 2 2 4 4 2" xfId="20234"/>
    <cellStyle name="연결된 셀 11 2 2 4 5" xfId="20231"/>
    <cellStyle name="연결된 셀 11 2 2 5" xfId="3094"/>
    <cellStyle name="연결된 셀 11 2 2 5 2" xfId="20235"/>
    <cellStyle name="연결된 셀 11 2 2 6" xfId="3095"/>
    <cellStyle name="연결된 셀 11 2 2 6 2" xfId="20236"/>
    <cellStyle name="연결된 셀 11 2 2 7" xfId="3096"/>
    <cellStyle name="연결된 셀 11 2 2 7 2" xfId="20237"/>
    <cellStyle name="연결된 셀 11 2 2 8" xfId="20222"/>
    <cellStyle name="연결된 셀 11 2 3" xfId="3097"/>
    <cellStyle name="연결된 셀 11 2 3 2" xfId="3098"/>
    <cellStyle name="연결된 셀 11 2 3 2 2" xfId="3099"/>
    <cellStyle name="연결된 셀 11 2 3 2 2 2" xfId="20240"/>
    <cellStyle name="연결된 셀 11 2 3 2 3" xfId="3100"/>
    <cellStyle name="연결된 셀 11 2 3 2 3 2" xfId="20241"/>
    <cellStyle name="연결된 셀 11 2 3 2 4" xfId="3101"/>
    <cellStyle name="연결된 셀 11 2 3 2 4 2" xfId="20242"/>
    <cellStyle name="연결된 셀 11 2 3 2 5" xfId="20239"/>
    <cellStyle name="연결된 셀 11 2 3 3" xfId="3102"/>
    <cellStyle name="연결된 셀 11 2 3 3 2" xfId="3103"/>
    <cellStyle name="연결된 셀 11 2 3 3 2 2" xfId="20244"/>
    <cellStyle name="연결된 셀 11 2 3 3 3" xfId="3104"/>
    <cellStyle name="연결된 셀 11 2 3 3 3 2" xfId="20245"/>
    <cellStyle name="연결된 셀 11 2 3 3 4" xfId="3105"/>
    <cellStyle name="연결된 셀 11 2 3 3 4 2" xfId="20246"/>
    <cellStyle name="연결된 셀 11 2 3 3 5" xfId="20243"/>
    <cellStyle name="연결된 셀 11 2 3 4" xfId="3106"/>
    <cellStyle name="연결된 셀 11 2 3 4 2" xfId="3107"/>
    <cellStyle name="연결된 셀 11 2 3 4 2 2" xfId="20248"/>
    <cellStyle name="연결된 셀 11 2 3 4 3" xfId="3108"/>
    <cellStyle name="연결된 셀 11 2 3 4 3 2" xfId="20249"/>
    <cellStyle name="연결된 셀 11 2 3 4 4" xfId="3109"/>
    <cellStyle name="연결된 셀 11 2 3 4 4 2" xfId="20250"/>
    <cellStyle name="연결된 셀 11 2 3 4 5" xfId="20247"/>
    <cellStyle name="연결된 셀 11 2 3 5" xfId="3110"/>
    <cellStyle name="연결된 셀 11 2 3 5 2" xfId="20251"/>
    <cellStyle name="연결된 셀 11 2 3 6" xfId="3111"/>
    <cellStyle name="연결된 셀 11 2 3 6 2" xfId="20252"/>
    <cellStyle name="연결된 셀 11 2 3 7" xfId="3112"/>
    <cellStyle name="연결된 셀 11 2 3 7 2" xfId="20253"/>
    <cellStyle name="연결된 셀 11 2 3 8" xfId="20238"/>
    <cellStyle name="연결된 셀 11 2 4" xfId="3113"/>
    <cellStyle name="연결된 셀 11 2 4 2" xfId="3114"/>
    <cellStyle name="연결된 셀 11 2 4 2 2" xfId="3115"/>
    <cellStyle name="연결된 셀 11 2 4 2 2 2" xfId="20256"/>
    <cellStyle name="연결된 셀 11 2 4 2 3" xfId="3116"/>
    <cellStyle name="연결된 셀 11 2 4 2 3 2" xfId="20257"/>
    <cellStyle name="연결된 셀 11 2 4 2 4" xfId="3117"/>
    <cellStyle name="연결된 셀 11 2 4 2 4 2" xfId="20258"/>
    <cellStyle name="연결된 셀 11 2 4 2 5" xfId="20255"/>
    <cellStyle name="연결된 셀 11 2 4 3" xfId="3118"/>
    <cellStyle name="연결된 셀 11 2 4 3 2" xfId="3119"/>
    <cellStyle name="연결된 셀 11 2 4 3 2 2" xfId="20260"/>
    <cellStyle name="연결된 셀 11 2 4 3 3" xfId="3120"/>
    <cellStyle name="연결된 셀 11 2 4 3 3 2" xfId="20261"/>
    <cellStyle name="연결된 셀 11 2 4 3 4" xfId="3121"/>
    <cellStyle name="연결된 셀 11 2 4 3 4 2" xfId="20262"/>
    <cellStyle name="연결된 셀 11 2 4 3 5" xfId="20259"/>
    <cellStyle name="연결된 셀 11 2 4 4" xfId="3122"/>
    <cellStyle name="연결된 셀 11 2 4 4 2" xfId="3123"/>
    <cellStyle name="연결된 셀 11 2 4 4 2 2" xfId="20264"/>
    <cellStyle name="연결된 셀 11 2 4 4 3" xfId="3124"/>
    <cellStyle name="연결된 셀 11 2 4 4 3 2" xfId="20265"/>
    <cellStyle name="연결된 셀 11 2 4 4 4" xfId="3125"/>
    <cellStyle name="연결된 셀 11 2 4 4 4 2" xfId="20266"/>
    <cellStyle name="연결된 셀 11 2 4 4 5" xfId="20263"/>
    <cellStyle name="연결된 셀 11 2 4 5" xfId="3126"/>
    <cellStyle name="연결된 셀 11 2 4 5 2" xfId="20267"/>
    <cellStyle name="연결된 셀 11 2 4 6" xfId="3127"/>
    <cellStyle name="연결된 셀 11 2 4 6 2" xfId="20268"/>
    <cellStyle name="연결된 셀 11 2 4 7" xfId="3128"/>
    <cellStyle name="연결된 셀 11 2 4 7 2" xfId="20269"/>
    <cellStyle name="연결된 셀 11 2 4 8" xfId="20254"/>
    <cellStyle name="연결된 셀 11 2 5" xfId="3129"/>
    <cellStyle name="연결된 셀 11 2 5 2" xfId="3130"/>
    <cellStyle name="연결된 셀 11 2 5 2 2" xfId="3131"/>
    <cellStyle name="연결된 셀 11 2 5 2 2 2" xfId="20272"/>
    <cellStyle name="연결된 셀 11 2 5 2 3" xfId="3132"/>
    <cellStyle name="연결된 셀 11 2 5 2 3 2" xfId="20273"/>
    <cellStyle name="연결된 셀 11 2 5 2 4" xfId="3133"/>
    <cellStyle name="연결된 셀 11 2 5 2 4 2" xfId="20274"/>
    <cellStyle name="연결된 셀 11 2 5 2 5" xfId="20271"/>
    <cellStyle name="연결된 셀 11 2 5 3" xfId="3134"/>
    <cellStyle name="연결된 셀 11 2 5 3 2" xfId="3135"/>
    <cellStyle name="연결된 셀 11 2 5 3 2 2" xfId="20276"/>
    <cellStyle name="연결된 셀 11 2 5 3 3" xfId="3136"/>
    <cellStyle name="연결된 셀 11 2 5 3 3 2" xfId="20277"/>
    <cellStyle name="연결된 셀 11 2 5 3 4" xfId="3137"/>
    <cellStyle name="연결된 셀 11 2 5 3 4 2" xfId="20278"/>
    <cellStyle name="연결된 셀 11 2 5 3 5" xfId="20275"/>
    <cellStyle name="연결된 셀 11 2 5 4" xfId="3138"/>
    <cellStyle name="연결된 셀 11 2 5 4 2" xfId="3139"/>
    <cellStyle name="연결된 셀 11 2 5 4 2 2" xfId="20280"/>
    <cellStyle name="연결된 셀 11 2 5 4 3" xfId="3140"/>
    <cellStyle name="연결된 셀 11 2 5 4 3 2" xfId="20281"/>
    <cellStyle name="연결된 셀 11 2 5 4 4" xfId="3141"/>
    <cellStyle name="연결된 셀 11 2 5 4 4 2" xfId="20282"/>
    <cellStyle name="연결된 셀 11 2 5 4 5" xfId="20279"/>
    <cellStyle name="연결된 셀 11 2 5 5" xfId="3142"/>
    <cellStyle name="연결된 셀 11 2 5 5 2" xfId="20283"/>
    <cellStyle name="연결된 셀 11 2 5 6" xfId="3143"/>
    <cellStyle name="연결된 셀 11 2 5 6 2" xfId="20284"/>
    <cellStyle name="연결된 셀 11 2 5 7" xfId="3144"/>
    <cellStyle name="연결된 셀 11 2 5 7 2" xfId="20285"/>
    <cellStyle name="연결된 셀 11 2 5 8" xfId="20270"/>
    <cellStyle name="연결된 셀 11 2 6" xfId="3145"/>
    <cellStyle name="연결된 셀 11 2 6 2" xfId="3146"/>
    <cellStyle name="연결된 셀 11 2 6 2 2" xfId="3147"/>
    <cellStyle name="연결된 셀 11 2 6 2 2 2" xfId="20288"/>
    <cellStyle name="연결된 셀 11 2 6 2 3" xfId="3148"/>
    <cellStyle name="연결된 셀 11 2 6 2 3 2" xfId="20289"/>
    <cellStyle name="연결된 셀 11 2 6 2 4" xfId="3149"/>
    <cellStyle name="연결된 셀 11 2 6 2 4 2" xfId="20290"/>
    <cellStyle name="연결된 셀 11 2 6 2 5" xfId="20287"/>
    <cellStyle name="연결된 셀 11 2 6 3" xfId="3150"/>
    <cellStyle name="연결된 셀 11 2 6 3 2" xfId="3151"/>
    <cellStyle name="연결된 셀 11 2 6 3 2 2" xfId="20292"/>
    <cellStyle name="연결된 셀 11 2 6 3 3" xfId="3152"/>
    <cellStyle name="연결된 셀 11 2 6 3 3 2" xfId="20293"/>
    <cellStyle name="연결된 셀 11 2 6 3 4" xfId="3153"/>
    <cellStyle name="연결된 셀 11 2 6 3 4 2" xfId="20294"/>
    <cellStyle name="연결된 셀 11 2 6 3 5" xfId="20291"/>
    <cellStyle name="연결된 셀 11 2 6 4" xfId="3154"/>
    <cellStyle name="연결된 셀 11 2 6 4 2" xfId="3155"/>
    <cellStyle name="연결된 셀 11 2 6 4 2 2" xfId="20296"/>
    <cellStyle name="연결된 셀 11 2 6 4 3" xfId="3156"/>
    <cellStyle name="연결된 셀 11 2 6 4 3 2" xfId="20297"/>
    <cellStyle name="연결된 셀 11 2 6 4 4" xfId="3157"/>
    <cellStyle name="연결된 셀 11 2 6 4 4 2" xfId="20298"/>
    <cellStyle name="연결된 셀 11 2 6 4 5" xfId="20295"/>
    <cellStyle name="연결된 셀 11 2 6 5" xfId="3158"/>
    <cellStyle name="연결된 셀 11 2 6 5 2" xfId="20299"/>
    <cellStyle name="연결된 셀 11 2 6 6" xfId="3159"/>
    <cellStyle name="연결된 셀 11 2 6 6 2" xfId="20300"/>
    <cellStyle name="연결된 셀 11 2 6 7" xfId="3160"/>
    <cellStyle name="연결된 셀 11 2 6 7 2" xfId="20301"/>
    <cellStyle name="연결된 셀 11 2 6 8" xfId="20286"/>
    <cellStyle name="연결된 셀 11 2 7" xfId="3161"/>
    <cellStyle name="연결된 셀 11 2 7 2" xfId="3162"/>
    <cellStyle name="연결된 셀 11 2 7 2 2" xfId="3163"/>
    <cellStyle name="연결된 셀 11 2 7 2 2 2" xfId="20304"/>
    <cellStyle name="연결된 셀 11 2 7 2 3" xfId="3164"/>
    <cellStyle name="연결된 셀 11 2 7 2 3 2" xfId="20305"/>
    <cellStyle name="연결된 셀 11 2 7 2 4" xfId="3165"/>
    <cellStyle name="연결된 셀 11 2 7 2 4 2" xfId="20306"/>
    <cellStyle name="연결된 셀 11 2 7 2 5" xfId="20303"/>
    <cellStyle name="연결된 셀 11 2 7 3" xfId="3166"/>
    <cellStyle name="연결된 셀 11 2 7 3 2" xfId="3167"/>
    <cellStyle name="연결된 셀 11 2 7 3 2 2" xfId="20308"/>
    <cellStyle name="연결된 셀 11 2 7 3 3" xfId="3168"/>
    <cellStyle name="연결된 셀 11 2 7 3 3 2" xfId="20309"/>
    <cellStyle name="연결된 셀 11 2 7 3 4" xfId="3169"/>
    <cellStyle name="연결된 셀 11 2 7 3 4 2" xfId="20310"/>
    <cellStyle name="연결된 셀 11 2 7 3 5" xfId="20307"/>
    <cellStyle name="연결된 셀 11 2 7 4" xfId="3170"/>
    <cellStyle name="연결된 셀 11 2 7 4 2" xfId="3171"/>
    <cellStyle name="연결된 셀 11 2 7 4 2 2" xfId="20312"/>
    <cellStyle name="연결된 셀 11 2 7 4 3" xfId="3172"/>
    <cellStyle name="연결된 셀 11 2 7 4 3 2" xfId="20313"/>
    <cellStyle name="연결된 셀 11 2 7 4 4" xfId="3173"/>
    <cellStyle name="연결된 셀 11 2 7 4 4 2" xfId="20314"/>
    <cellStyle name="연결된 셀 11 2 7 4 5" xfId="20311"/>
    <cellStyle name="연결된 셀 11 2 7 5" xfId="3174"/>
    <cellStyle name="연결된 셀 11 2 7 5 2" xfId="20315"/>
    <cellStyle name="연결된 셀 11 2 7 6" xfId="3175"/>
    <cellStyle name="연결된 셀 11 2 7 6 2" xfId="20316"/>
    <cellStyle name="연결된 셀 11 2 7 7" xfId="3176"/>
    <cellStyle name="연결된 셀 11 2 7 7 2" xfId="20317"/>
    <cellStyle name="연결된 셀 11 2 7 8" xfId="20302"/>
    <cellStyle name="연결된 셀 11 2 8" xfId="3177"/>
    <cellStyle name="연결된 셀 11 2 8 2" xfId="3178"/>
    <cellStyle name="연결된 셀 11 2 8 2 2" xfId="3179"/>
    <cellStyle name="연결된 셀 11 2 8 2 2 2" xfId="20320"/>
    <cellStyle name="연결된 셀 11 2 8 2 3" xfId="3180"/>
    <cellStyle name="연결된 셀 11 2 8 2 3 2" xfId="20321"/>
    <cellStyle name="연결된 셀 11 2 8 2 4" xfId="3181"/>
    <cellStyle name="연결된 셀 11 2 8 2 4 2" xfId="20322"/>
    <cellStyle name="연결된 셀 11 2 8 2 5" xfId="20319"/>
    <cellStyle name="연결된 셀 11 2 8 3" xfId="3182"/>
    <cellStyle name="연결된 셀 11 2 8 3 2" xfId="3183"/>
    <cellStyle name="연결된 셀 11 2 8 3 2 2" xfId="20324"/>
    <cellStyle name="연결된 셀 11 2 8 3 3" xfId="3184"/>
    <cellStyle name="연결된 셀 11 2 8 3 3 2" xfId="20325"/>
    <cellStyle name="연결된 셀 11 2 8 3 4" xfId="3185"/>
    <cellStyle name="연결된 셀 11 2 8 3 4 2" xfId="20326"/>
    <cellStyle name="연결된 셀 11 2 8 3 5" xfId="20323"/>
    <cellStyle name="연결된 셀 11 2 8 4" xfId="3186"/>
    <cellStyle name="연결된 셀 11 2 8 4 2" xfId="3187"/>
    <cellStyle name="연결된 셀 11 2 8 4 2 2" xfId="20328"/>
    <cellStyle name="연결된 셀 11 2 8 4 3" xfId="3188"/>
    <cellStyle name="연결된 셀 11 2 8 4 3 2" xfId="20329"/>
    <cellStyle name="연결된 셀 11 2 8 4 4" xfId="3189"/>
    <cellStyle name="연결된 셀 11 2 8 4 4 2" xfId="20330"/>
    <cellStyle name="연결된 셀 11 2 8 4 5" xfId="20327"/>
    <cellStyle name="연결된 셀 11 2 8 5" xfId="3190"/>
    <cellStyle name="연결된 셀 11 2 8 5 2" xfId="20331"/>
    <cellStyle name="연결된 셀 11 2 8 6" xfId="3191"/>
    <cellStyle name="연결된 셀 11 2 8 6 2" xfId="20332"/>
    <cellStyle name="연결된 셀 11 2 8 7" xfId="3192"/>
    <cellStyle name="연결된 셀 11 2 8 7 2" xfId="20333"/>
    <cellStyle name="연결된 셀 11 2 8 8" xfId="20318"/>
    <cellStyle name="연결된 셀 11 2 9" xfId="3193"/>
    <cellStyle name="연결된 셀 11 2 9 2" xfId="3194"/>
    <cellStyle name="연결된 셀 11 2 9 2 2" xfId="3195"/>
    <cellStyle name="연결된 셀 11 2 9 2 2 2" xfId="20336"/>
    <cellStyle name="연결된 셀 11 2 9 2 3" xfId="3196"/>
    <cellStyle name="연결된 셀 11 2 9 2 3 2" xfId="20337"/>
    <cellStyle name="연결된 셀 11 2 9 2 4" xfId="3197"/>
    <cellStyle name="연결된 셀 11 2 9 2 4 2" xfId="20338"/>
    <cellStyle name="연결된 셀 11 2 9 2 5" xfId="20335"/>
    <cellStyle name="연결된 셀 11 2 9 3" xfId="3198"/>
    <cellStyle name="연결된 셀 11 2 9 3 2" xfId="3199"/>
    <cellStyle name="연결된 셀 11 2 9 3 2 2" xfId="20340"/>
    <cellStyle name="연결된 셀 11 2 9 3 3" xfId="3200"/>
    <cellStyle name="연결된 셀 11 2 9 3 3 2" xfId="20341"/>
    <cellStyle name="연결된 셀 11 2 9 3 4" xfId="3201"/>
    <cellStyle name="연결된 셀 11 2 9 3 4 2" xfId="20342"/>
    <cellStyle name="연결된 셀 11 2 9 3 5" xfId="20339"/>
    <cellStyle name="연결된 셀 11 2 9 4" xfId="3202"/>
    <cellStyle name="연결된 셀 11 2 9 4 2" xfId="3203"/>
    <cellStyle name="연결된 셀 11 2 9 4 2 2" xfId="20344"/>
    <cellStyle name="연결된 셀 11 2 9 4 3" xfId="3204"/>
    <cellStyle name="연결된 셀 11 2 9 4 3 2" xfId="20345"/>
    <cellStyle name="연결된 셀 11 2 9 4 4" xfId="3205"/>
    <cellStyle name="연결된 셀 11 2 9 4 4 2" xfId="20346"/>
    <cellStyle name="연결된 셀 11 2 9 4 5" xfId="20343"/>
    <cellStyle name="연결된 셀 11 2 9 5" xfId="3206"/>
    <cellStyle name="연결된 셀 11 2 9 5 2" xfId="20347"/>
    <cellStyle name="연결된 셀 11 2 9 6" xfId="3207"/>
    <cellStyle name="연결된 셀 11 2 9 6 2" xfId="20348"/>
    <cellStyle name="연결된 셀 11 2 9 7" xfId="3208"/>
    <cellStyle name="연결된 셀 11 2 9 7 2" xfId="20349"/>
    <cellStyle name="연결된 셀 11 2 9 8" xfId="20334"/>
    <cellStyle name="연결된 셀 11 3" xfId="593"/>
    <cellStyle name="연결된 셀 11 3 2" xfId="3209"/>
    <cellStyle name="연결된 셀 11 3 2 2" xfId="3210"/>
    <cellStyle name="연결된 셀 11 3 2 2 2" xfId="20351"/>
    <cellStyle name="연결된 셀 11 3 2 3" xfId="3211"/>
    <cellStyle name="연결된 셀 11 3 2 3 2" xfId="20352"/>
    <cellStyle name="연결된 셀 11 3 2 4" xfId="3212"/>
    <cellStyle name="연결된 셀 11 3 2 4 2" xfId="20353"/>
    <cellStyle name="연결된 셀 11 3 2 5" xfId="20350"/>
    <cellStyle name="연결된 셀 11 3 3" xfId="3213"/>
    <cellStyle name="연결된 셀 11 3 3 2" xfId="3214"/>
    <cellStyle name="연결된 셀 11 3 3 2 2" xfId="20355"/>
    <cellStyle name="연결된 셀 11 3 3 3" xfId="3215"/>
    <cellStyle name="연결된 셀 11 3 3 3 2" xfId="20356"/>
    <cellStyle name="연결된 셀 11 3 3 4" xfId="3216"/>
    <cellStyle name="연결된 셀 11 3 3 4 2" xfId="20357"/>
    <cellStyle name="연결된 셀 11 3 3 5" xfId="20354"/>
    <cellStyle name="연결된 셀 11 3 4" xfId="3217"/>
    <cellStyle name="연결된 셀 11 3 4 2" xfId="3218"/>
    <cellStyle name="연결된 셀 11 3 4 2 2" xfId="20359"/>
    <cellStyle name="연결된 셀 11 3 4 3" xfId="3219"/>
    <cellStyle name="연결된 셀 11 3 4 3 2" xfId="20360"/>
    <cellStyle name="연결된 셀 11 3 4 4" xfId="3220"/>
    <cellStyle name="연결된 셀 11 3 4 4 2" xfId="20361"/>
    <cellStyle name="연결된 셀 11 3 4 5" xfId="20358"/>
    <cellStyle name="연결된 셀 11 3 5" xfId="3221"/>
    <cellStyle name="연결된 셀 11 3 5 2" xfId="20362"/>
    <cellStyle name="연결된 셀 11 3 6" xfId="3222"/>
    <cellStyle name="연결된 셀 11 3 6 2" xfId="20363"/>
    <cellStyle name="연결된 셀 11 3 7" xfId="3223"/>
    <cellStyle name="연결된 셀 11 3 7 2" xfId="20364"/>
    <cellStyle name="연결된 셀 11 3 8" xfId="17736"/>
    <cellStyle name="연결된 셀 11 4" xfId="3224"/>
    <cellStyle name="연결된 셀 11 4 2" xfId="3225"/>
    <cellStyle name="연결된 셀 11 4 2 2" xfId="3226"/>
    <cellStyle name="연결된 셀 11 4 2 2 2" xfId="20367"/>
    <cellStyle name="연결된 셀 11 4 2 3" xfId="3227"/>
    <cellStyle name="연결된 셀 11 4 2 3 2" xfId="20368"/>
    <cellStyle name="연결된 셀 11 4 2 4" xfId="3228"/>
    <cellStyle name="연결된 셀 11 4 2 4 2" xfId="20369"/>
    <cellStyle name="연결된 셀 11 4 2 5" xfId="20366"/>
    <cellStyle name="연결된 셀 11 4 3" xfId="3229"/>
    <cellStyle name="연결된 셀 11 4 3 2" xfId="3230"/>
    <cellStyle name="연결된 셀 11 4 3 2 2" xfId="20371"/>
    <cellStyle name="연결된 셀 11 4 3 3" xfId="3231"/>
    <cellStyle name="연결된 셀 11 4 3 3 2" xfId="20372"/>
    <cellStyle name="연결된 셀 11 4 3 4" xfId="3232"/>
    <cellStyle name="연결된 셀 11 4 3 4 2" xfId="20373"/>
    <cellStyle name="연결된 셀 11 4 3 5" xfId="20370"/>
    <cellStyle name="연결된 셀 11 4 4" xfId="3233"/>
    <cellStyle name="연결된 셀 11 4 4 2" xfId="3234"/>
    <cellStyle name="연결된 셀 11 4 4 2 2" xfId="20375"/>
    <cellStyle name="연결된 셀 11 4 4 3" xfId="3235"/>
    <cellStyle name="연결된 셀 11 4 4 3 2" xfId="20376"/>
    <cellStyle name="연결된 셀 11 4 4 4" xfId="3236"/>
    <cellStyle name="연결된 셀 11 4 4 4 2" xfId="20377"/>
    <cellStyle name="연결된 셀 11 4 4 5" xfId="20374"/>
    <cellStyle name="연결된 셀 11 4 5" xfId="3237"/>
    <cellStyle name="연결된 셀 11 4 5 2" xfId="20378"/>
    <cellStyle name="연결된 셀 11 4 6" xfId="3238"/>
    <cellStyle name="연결된 셀 11 4 6 2" xfId="20379"/>
    <cellStyle name="연결된 셀 11 4 7" xfId="3239"/>
    <cellStyle name="연결된 셀 11 4 7 2" xfId="20380"/>
    <cellStyle name="연결된 셀 11 4 8" xfId="20365"/>
    <cellStyle name="연결된 셀 11 5" xfId="3240"/>
    <cellStyle name="연결된 셀 11 5 2" xfId="3241"/>
    <cellStyle name="연결된 셀 11 5 2 2" xfId="3242"/>
    <cellStyle name="연결된 셀 11 5 2 2 2" xfId="20383"/>
    <cellStyle name="연결된 셀 11 5 2 3" xfId="3243"/>
    <cellStyle name="연결된 셀 11 5 2 3 2" xfId="20384"/>
    <cellStyle name="연결된 셀 11 5 2 4" xfId="3244"/>
    <cellStyle name="연결된 셀 11 5 2 4 2" xfId="20385"/>
    <cellStyle name="연결된 셀 11 5 2 5" xfId="20382"/>
    <cellStyle name="연결된 셀 11 5 3" xfId="3245"/>
    <cellStyle name="연결된 셀 11 5 3 2" xfId="3246"/>
    <cellStyle name="연결된 셀 11 5 3 2 2" xfId="20387"/>
    <cellStyle name="연결된 셀 11 5 3 3" xfId="3247"/>
    <cellStyle name="연결된 셀 11 5 3 3 2" xfId="20388"/>
    <cellStyle name="연결된 셀 11 5 3 4" xfId="3248"/>
    <cellStyle name="연결된 셀 11 5 3 4 2" xfId="20389"/>
    <cellStyle name="연결된 셀 11 5 3 5" xfId="20386"/>
    <cellStyle name="연결된 셀 11 5 4" xfId="3249"/>
    <cellStyle name="연결된 셀 11 5 4 2" xfId="3250"/>
    <cellStyle name="연결된 셀 11 5 4 2 2" xfId="20391"/>
    <cellStyle name="연결된 셀 11 5 4 3" xfId="3251"/>
    <cellStyle name="연결된 셀 11 5 4 3 2" xfId="20392"/>
    <cellStyle name="연결된 셀 11 5 4 4" xfId="3252"/>
    <cellStyle name="연결된 셀 11 5 4 4 2" xfId="20393"/>
    <cellStyle name="연결된 셀 11 5 4 5" xfId="20390"/>
    <cellStyle name="연결된 셀 11 5 5" xfId="3253"/>
    <cellStyle name="연결된 셀 11 5 5 2" xfId="20394"/>
    <cellStyle name="연결된 셀 11 5 6" xfId="3254"/>
    <cellStyle name="연결된 셀 11 5 6 2" xfId="20395"/>
    <cellStyle name="연결된 셀 11 5 7" xfId="3255"/>
    <cellStyle name="연결된 셀 11 5 7 2" xfId="20396"/>
    <cellStyle name="연결된 셀 11 5 8" xfId="20381"/>
    <cellStyle name="연결된 셀 11 6" xfId="3256"/>
    <cellStyle name="연결된 셀 11 6 2" xfId="3257"/>
    <cellStyle name="연결된 셀 11 6 2 2" xfId="3258"/>
    <cellStyle name="연결된 셀 11 6 2 2 2" xfId="20399"/>
    <cellStyle name="연결된 셀 11 6 2 3" xfId="3259"/>
    <cellStyle name="연결된 셀 11 6 2 3 2" xfId="20400"/>
    <cellStyle name="연결된 셀 11 6 2 4" xfId="3260"/>
    <cellStyle name="연결된 셀 11 6 2 4 2" xfId="20401"/>
    <cellStyle name="연결된 셀 11 6 2 5" xfId="20398"/>
    <cellStyle name="연결된 셀 11 6 3" xfId="3261"/>
    <cellStyle name="연결된 셀 11 6 3 2" xfId="3262"/>
    <cellStyle name="연결된 셀 11 6 3 2 2" xfId="20403"/>
    <cellStyle name="연결된 셀 11 6 3 3" xfId="3263"/>
    <cellStyle name="연결된 셀 11 6 3 3 2" xfId="20404"/>
    <cellStyle name="연결된 셀 11 6 3 4" xfId="3264"/>
    <cellStyle name="연결된 셀 11 6 3 4 2" xfId="20405"/>
    <cellStyle name="연결된 셀 11 6 3 5" xfId="20402"/>
    <cellStyle name="연결된 셀 11 6 4" xfId="3265"/>
    <cellStyle name="연결된 셀 11 6 4 2" xfId="3266"/>
    <cellStyle name="연결된 셀 11 6 4 2 2" xfId="20407"/>
    <cellStyle name="연결된 셀 11 6 4 3" xfId="3267"/>
    <cellStyle name="연결된 셀 11 6 4 3 2" xfId="20408"/>
    <cellStyle name="연결된 셀 11 6 4 4" xfId="3268"/>
    <cellStyle name="연결된 셀 11 6 4 4 2" xfId="20409"/>
    <cellStyle name="연결된 셀 11 6 4 5" xfId="20406"/>
    <cellStyle name="연결된 셀 11 6 5" xfId="3269"/>
    <cellStyle name="연결된 셀 11 6 5 2" xfId="20410"/>
    <cellStyle name="연결된 셀 11 6 6" xfId="3270"/>
    <cellStyle name="연결된 셀 11 6 6 2" xfId="20411"/>
    <cellStyle name="연결된 셀 11 6 7" xfId="3271"/>
    <cellStyle name="연결된 셀 11 6 7 2" xfId="20412"/>
    <cellStyle name="연결된 셀 11 6 8" xfId="20397"/>
    <cellStyle name="연결된 셀 11 7" xfId="3272"/>
    <cellStyle name="연결된 셀 11 7 2" xfId="3273"/>
    <cellStyle name="연결된 셀 11 7 2 2" xfId="3274"/>
    <cellStyle name="연결된 셀 11 7 2 2 2" xfId="20415"/>
    <cellStyle name="연결된 셀 11 7 2 3" xfId="3275"/>
    <cellStyle name="연결된 셀 11 7 2 3 2" xfId="20416"/>
    <cellStyle name="연결된 셀 11 7 2 4" xfId="3276"/>
    <cellStyle name="연결된 셀 11 7 2 4 2" xfId="20417"/>
    <cellStyle name="연결된 셀 11 7 2 5" xfId="20414"/>
    <cellStyle name="연결된 셀 11 7 3" xfId="3277"/>
    <cellStyle name="연결된 셀 11 7 3 2" xfId="3278"/>
    <cellStyle name="연결된 셀 11 7 3 2 2" xfId="20419"/>
    <cellStyle name="연결된 셀 11 7 3 3" xfId="3279"/>
    <cellStyle name="연결된 셀 11 7 3 3 2" xfId="20420"/>
    <cellStyle name="연결된 셀 11 7 3 4" xfId="3280"/>
    <cellStyle name="연결된 셀 11 7 3 4 2" xfId="20421"/>
    <cellStyle name="연결된 셀 11 7 3 5" xfId="20418"/>
    <cellStyle name="연결된 셀 11 7 4" xfId="3281"/>
    <cellStyle name="연결된 셀 11 7 4 2" xfId="3282"/>
    <cellStyle name="연결된 셀 11 7 4 2 2" xfId="20423"/>
    <cellStyle name="연결된 셀 11 7 4 3" xfId="3283"/>
    <cellStyle name="연결된 셀 11 7 4 3 2" xfId="20424"/>
    <cellStyle name="연결된 셀 11 7 4 4" xfId="3284"/>
    <cellStyle name="연결된 셀 11 7 4 4 2" xfId="20425"/>
    <cellStyle name="연결된 셀 11 7 4 5" xfId="20422"/>
    <cellStyle name="연결된 셀 11 7 5" xfId="3285"/>
    <cellStyle name="연결된 셀 11 7 5 2" xfId="20426"/>
    <cellStyle name="연결된 셀 11 7 6" xfId="3286"/>
    <cellStyle name="연결된 셀 11 7 6 2" xfId="20427"/>
    <cellStyle name="연결된 셀 11 7 7" xfId="3287"/>
    <cellStyle name="연결된 셀 11 7 7 2" xfId="20428"/>
    <cellStyle name="연결된 셀 11 7 8" xfId="20413"/>
    <cellStyle name="연결된 셀 11 8" xfId="3288"/>
    <cellStyle name="연결된 셀 11 8 2" xfId="3289"/>
    <cellStyle name="연결된 셀 11 8 2 2" xfId="3290"/>
    <cellStyle name="연결된 셀 11 8 2 2 2" xfId="20431"/>
    <cellStyle name="연결된 셀 11 8 2 3" xfId="3291"/>
    <cellStyle name="연결된 셀 11 8 2 3 2" xfId="20432"/>
    <cellStyle name="연결된 셀 11 8 2 4" xfId="3292"/>
    <cellStyle name="연결된 셀 11 8 2 4 2" xfId="20433"/>
    <cellStyle name="연결된 셀 11 8 2 5" xfId="20430"/>
    <cellStyle name="연결된 셀 11 8 3" xfId="3293"/>
    <cellStyle name="연결된 셀 11 8 3 2" xfId="3294"/>
    <cellStyle name="연결된 셀 11 8 3 2 2" xfId="20435"/>
    <cellStyle name="연결된 셀 11 8 3 3" xfId="3295"/>
    <cellStyle name="연결된 셀 11 8 3 3 2" xfId="20436"/>
    <cellStyle name="연결된 셀 11 8 3 4" xfId="3296"/>
    <cellStyle name="연결된 셀 11 8 3 4 2" xfId="20437"/>
    <cellStyle name="연결된 셀 11 8 3 5" xfId="20434"/>
    <cellStyle name="연결된 셀 11 8 4" xfId="3297"/>
    <cellStyle name="연결된 셀 11 8 4 2" xfId="3298"/>
    <cellStyle name="연결된 셀 11 8 4 2 2" xfId="20439"/>
    <cellStyle name="연결된 셀 11 8 4 3" xfId="3299"/>
    <cellStyle name="연결된 셀 11 8 4 3 2" xfId="20440"/>
    <cellStyle name="연결된 셀 11 8 4 4" xfId="3300"/>
    <cellStyle name="연결된 셀 11 8 4 4 2" xfId="20441"/>
    <cellStyle name="연결된 셀 11 8 4 5" xfId="20438"/>
    <cellStyle name="연결된 셀 11 8 5" xfId="3301"/>
    <cellStyle name="연결된 셀 11 8 5 2" xfId="20442"/>
    <cellStyle name="연결된 셀 11 8 6" xfId="3302"/>
    <cellStyle name="연결된 셀 11 8 6 2" xfId="20443"/>
    <cellStyle name="연결된 셀 11 8 7" xfId="3303"/>
    <cellStyle name="연결된 셀 11 8 7 2" xfId="20444"/>
    <cellStyle name="연결된 셀 11 8 8" xfId="20429"/>
    <cellStyle name="연결된 셀 11 9" xfId="3304"/>
    <cellStyle name="연결된 셀 11 9 2" xfId="3305"/>
    <cellStyle name="연결된 셀 11 9 2 2" xfId="3306"/>
    <cellStyle name="연결된 셀 11 9 2 2 2" xfId="20447"/>
    <cellStyle name="연결된 셀 11 9 2 3" xfId="3307"/>
    <cellStyle name="연결된 셀 11 9 2 3 2" xfId="20448"/>
    <cellStyle name="연결된 셀 11 9 2 4" xfId="3308"/>
    <cellStyle name="연결된 셀 11 9 2 4 2" xfId="20449"/>
    <cellStyle name="연결된 셀 11 9 2 5" xfId="20446"/>
    <cellStyle name="연결된 셀 11 9 3" xfId="3309"/>
    <cellStyle name="연결된 셀 11 9 3 2" xfId="3310"/>
    <cellStyle name="연결된 셀 11 9 3 2 2" xfId="20451"/>
    <cellStyle name="연결된 셀 11 9 3 3" xfId="3311"/>
    <cellStyle name="연결된 셀 11 9 3 3 2" xfId="20452"/>
    <cellStyle name="연결된 셀 11 9 3 4" xfId="3312"/>
    <cellStyle name="연결된 셀 11 9 3 4 2" xfId="20453"/>
    <cellStyle name="연결된 셀 11 9 3 5" xfId="20450"/>
    <cellStyle name="연결된 셀 11 9 4" xfId="3313"/>
    <cellStyle name="연결된 셀 11 9 4 2" xfId="3314"/>
    <cellStyle name="연결된 셀 11 9 4 2 2" xfId="20455"/>
    <cellStyle name="연결된 셀 11 9 4 3" xfId="3315"/>
    <cellStyle name="연결된 셀 11 9 4 3 2" xfId="20456"/>
    <cellStyle name="연결된 셀 11 9 4 4" xfId="3316"/>
    <cellStyle name="연결된 셀 11 9 4 4 2" xfId="20457"/>
    <cellStyle name="연결된 셀 11 9 4 5" xfId="20454"/>
    <cellStyle name="연결된 셀 11 9 5" xfId="3317"/>
    <cellStyle name="연결된 셀 11 9 5 2" xfId="20458"/>
    <cellStyle name="연결된 셀 11 9 6" xfId="3318"/>
    <cellStyle name="연결된 셀 11 9 6 2" xfId="20459"/>
    <cellStyle name="연결된 셀 11 9 7" xfId="3319"/>
    <cellStyle name="연결된 셀 11 9 7 2" xfId="20460"/>
    <cellStyle name="연결된 셀 11 9 8" xfId="20445"/>
    <cellStyle name="연결된 셀 12" xfId="454"/>
    <cellStyle name="연결된 셀 12 10" xfId="3320"/>
    <cellStyle name="연결된 셀 12 10 2" xfId="3321"/>
    <cellStyle name="연결된 셀 12 10 2 2" xfId="3322"/>
    <cellStyle name="연결된 셀 12 10 2 2 2" xfId="20463"/>
    <cellStyle name="연결된 셀 12 10 2 3" xfId="3323"/>
    <cellStyle name="연결된 셀 12 10 2 3 2" xfId="20464"/>
    <cellStyle name="연결된 셀 12 10 2 4" xfId="3324"/>
    <cellStyle name="연결된 셀 12 10 2 4 2" xfId="20465"/>
    <cellStyle name="연결된 셀 12 10 2 5" xfId="20462"/>
    <cellStyle name="연결된 셀 12 10 3" xfId="3325"/>
    <cellStyle name="연결된 셀 12 10 3 2" xfId="3326"/>
    <cellStyle name="연결된 셀 12 10 3 2 2" xfId="20467"/>
    <cellStyle name="연결된 셀 12 10 3 3" xfId="3327"/>
    <cellStyle name="연결된 셀 12 10 3 3 2" xfId="20468"/>
    <cellStyle name="연결된 셀 12 10 3 4" xfId="3328"/>
    <cellStyle name="연결된 셀 12 10 3 4 2" xfId="20469"/>
    <cellStyle name="연결된 셀 12 10 3 5" xfId="20466"/>
    <cellStyle name="연결된 셀 12 10 4" xfId="3329"/>
    <cellStyle name="연결된 셀 12 10 4 2" xfId="3330"/>
    <cellStyle name="연결된 셀 12 10 4 2 2" xfId="20471"/>
    <cellStyle name="연결된 셀 12 10 4 3" xfId="3331"/>
    <cellStyle name="연결된 셀 12 10 4 3 2" xfId="20472"/>
    <cellStyle name="연결된 셀 12 10 4 4" xfId="3332"/>
    <cellStyle name="연결된 셀 12 10 4 4 2" xfId="20473"/>
    <cellStyle name="연결된 셀 12 10 4 5" xfId="20470"/>
    <cellStyle name="연결된 셀 12 10 5" xfId="3333"/>
    <cellStyle name="연결된 셀 12 10 5 2" xfId="20474"/>
    <cellStyle name="연결된 셀 12 10 6" xfId="3334"/>
    <cellStyle name="연결된 셀 12 10 6 2" xfId="20475"/>
    <cellStyle name="연결된 셀 12 10 7" xfId="3335"/>
    <cellStyle name="연결된 셀 12 10 7 2" xfId="20476"/>
    <cellStyle name="연결된 셀 12 10 8" xfId="20461"/>
    <cellStyle name="연결된 셀 12 11" xfId="3336"/>
    <cellStyle name="연결된 셀 12 11 2" xfId="3337"/>
    <cellStyle name="연결된 셀 12 11 2 2" xfId="3338"/>
    <cellStyle name="연결된 셀 12 11 2 2 2" xfId="20479"/>
    <cellStyle name="연결된 셀 12 11 2 3" xfId="3339"/>
    <cellStyle name="연결된 셀 12 11 2 3 2" xfId="20480"/>
    <cellStyle name="연결된 셀 12 11 2 4" xfId="3340"/>
    <cellStyle name="연결된 셀 12 11 2 4 2" xfId="20481"/>
    <cellStyle name="연결된 셀 12 11 2 5" xfId="20478"/>
    <cellStyle name="연결된 셀 12 11 3" xfId="3341"/>
    <cellStyle name="연결된 셀 12 11 3 2" xfId="3342"/>
    <cellStyle name="연결된 셀 12 11 3 2 2" xfId="20483"/>
    <cellStyle name="연결된 셀 12 11 3 3" xfId="3343"/>
    <cellStyle name="연결된 셀 12 11 3 3 2" xfId="20484"/>
    <cellStyle name="연결된 셀 12 11 3 4" xfId="3344"/>
    <cellStyle name="연결된 셀 12 11 3 4 2" xfId="20485"/>
    <cellStyle name="연결된 셀 12 11 3 5" xfId="20482"/>
    <cellStyle name="연결된 셀 12 11 4" xfId="3345"/>
    <cellStyle name="연결된 셀 12 11 4 2" xfId="3346"/>
    <cellStyle name="연결된 셀 12 11 4 2 2" xfId="20487"/>
    <cellStyle name="연결된 셀 12 11 4 3" xfId="3347"/>
    <cellStyle name="연결된 셀 12 11 4 3 2" xfId="20488"/>
    <cellStyle name="연결된 셀 12 11 4 4" xfId="3348"/>
    <cellStyle name="연결된 셀 12 11 4 4 2" xfId="20489"/>
    <cellStyle name="연결된 셀 12 11 4 5" xfId="20486"/>
    <cellStyle name="연결된 셀 12 11 5" xfId="3349"/>
    <cellStyle name="연결된 셀 12 11 5 2" xfId="20490"/>
    <cellStyle name="연결된 셀 12 11 6" xfId="3350"/>
    <cellStyle name="연결된 셀 12 11 6 2" xfId="20491"/>
    <cellStyle name="연결된 셀 12 11 7" xfId="3351"/>
    <cellStyle name="연결된 셀 12 11 7 2" xfId="20492"/>
    <cellStyle name="연결된 셀 12 11 8" xfId="20477"/>
    <cellStyle name="연결된 셀 12 12" xfId="3352"/>
    <cellStyle name="연결된 셀 12 12 2" xfId="3353"/>
    <cellStyle name="연결된 셀 12 12 2 2" xfId="3354"/>
    <cellStyle name="연결된 셀 12 12 2 2 2" xfId="20495"/>
    <cellStyle name="연결된 셀 12 12 2 3" xfId="3355"/>
    <cellStyle name="연결된 셀 12 12 2 3 2" xfId="20496"/>
    <cellStyle name="연결된 셀 12 12 2 4" xfId="3356"/>
    <cellStyle name="연결된 셀 12 12 2 4 2" xfId="20497"/>
    <cellStyle name="연결된 셀 12 12 2 5" xfId="20494"/>
    <cellStyle name="연결된 셀 12 12 3" xfId="3357"/>
    <cellStyle name="연결된 셀 12 12 3 2" xfId="3358"/>
    <cellStyle name="연결된 셀 12 12 3 2 2" xfId="20499"/>
    <cellStyle name="연결된 셀 12 12 3 3" xfId="3359"/>
    <cellStyle name="연결된 셀 12 12 3 3 2" xfId="20500"/>
    <cellStyle name="연결된 셀 12 12 3 4" xfId="3360"/>
    <cellStyle name="연결된 셀 12 12 3 4 2" xfId="20501"/>
    <cellStyle name="연결된 셀 12 12 3 5" xfId="20498"/>
    <cellStyle name="연결된 셀 12 12 4" xfId="3361"/>
    <cellStyle name="연결된 셀 12 12 4 2" xfId="3362"/>
    <cellStyle name="연결된 셀 12 12 4 2 2" xfId="20503"/>
    <cellStyle name="연결된 셀 12 12 4 3" xfId="3363"/>
    <cellStyle name="연결된 셀 12 12 4 3 2" xfId="20504"/>
    <cellStyle name="연결된 셀 12 12 4 4" xfId="3364"/>
    <cellStyle name="연결된 셀 12 12 4 4 2" xfId="20505"/>
    <cellStyle name="연결된 셀 12 12 4 5" xfId="20502"/>
    <cellStyle name="연결된 셀 12 12 5" xfId="3365"/>
    <cellStyle name="연결된 셀 12 12 5 2" xfId="20506"/>
    <cellStyle name="연결된 셀 12 12 6" xfId="3366"/>
    <cellStyle name="연결된 셀 12 12 6 2" xfId="20507"/>
    <cellStyle name="연결된 셀 12 12 7" xfId="3367"/>
    <cellStyle name="연결된 셀 12 12 7 2" xfId="20508"/>
    <cellStyle name="연결된 셀 12 12 8" xfId="20493"/>
    <cellStyle name="연결된 셀 12 13" xfId="3368"/>
    <cellStyle name="연결된 셀 12 13 2" xfId="3369"/>
    <cellStyle name="연결된 셀 12 13 2 2" xfId="20510"/>
    <cellStyle name="연결된 셀 12 13 3" xfId="3370"/>
    <cellStyle name="연결된 셀 12 13 3 2" xfId="20511"/>
    <cellStyle name="연결된 셀 12 13 4" xfId="3371"/>
    <cellStyle name="연결된 셀 12 13 4 2" xfId="20512"/>
    <cellStyle name="연결된 셀 12 13 5" xfId="20509"/>
    <cellStyle name="연결된 셀 12 14" xfId="3372"/>
    <cellStyle name="연결된 셀 12 14 2" xfId="20513"/>
    <cellStyle name="연결된 셀 12 15" xfId="3373"/>
    <cellStyle name="연결된 셀 12 15 2" xfId="20514"/>
    <cellStyle name="연결된 셀 12 16" xfId="3374"/>
    <cellStyle name="연결된 셀 12 16 2" xfId="20515"/>
    <cellStyle name="연결된 셀 12 17" xfId="17597"/>
    <cellStyle name="연결된 셀 12 2" xfId="3375"/>
    <cellStyle name="연결된 셀 12 2 10" xfId="3376"/>
    <cellStyle name="연결된 셀 12 2 10 2" xfId="3377"/>
    <cellStyle name="연결된 셀 12 2 10 2 2" xfId="3378"/>
    <cellStyle name="연결된 셀 12 2 10 2 2 2" xfId="20519"/>
    <cellStyle name="연결된 셀 12 2 10 2 3" xfId="3379"/>
    <cellStyle name="연결된 셀 12 2 10 2 3 2" xfId="20520"/>
    <cellStyle name="연결된 셀 12 2 10 2 4" xfId="3380"/>
    <cellStyle name="연결된 셀 12 2 10 2 4 2" xfId="20521"/>
    <cellStyle name="연결된 셀 12 2 10 2 5" xfId="20518"/>
    <cellStyle name="연결된 셀 12 2 10 3" xfId="3381"/>
    <cellStyle name="연결된 셀 12 2 10 3 2" xfId="3382"/>
    <cellStyle name="연결된 셀 12 2 10 3 2 2" xfId="20523"/>
    <cellStyle name="연결된 셀 12 2 10 3 3" xfId="3383"/>
    <cellStyle name="연결된 셀 12 2 10 3 3 2" xfId="20524"/>
    <cellStyle name="연결된 셀 12 2 10 3 4" xfId="3384"/>
    <cellStyle name="연결된 셀 12 2 10 3 4 2" xfId="20525"/>
    <cellStyle name="연결된 셀 12 2 10 3 5" xfId="20522"/>
    <cellStyle name="연결된 셀 12 2 10 4" xfId="3385"/>
    <cellStyle name="연결된 셀 12 2 10 4 2" xfId="3386"/>
    <cellStyle name="연결된 셀 12 2 10 4 2 2" xfId="20527"/>
    <cellStyle name="연결된 셀 12 2 10 4 3" xfId="3387"/>
    <cellStyle name="연결된 셀 12 2 10 4 3 2" xfId="20528"/>
    <cellStyle name="연결된 셀 12 2 10 4 4" xfId="3388"/>
    <cellStyle name="연결된 셀 12 2 10 4 4 2" xfId="20529"/>
    <cellStyle name="연결된 셀 12 2 10 4 5" xfId="20526"/>
    <cellStyle name="연결된 셀 12 2 10 5" xfId="3389"/>
    <cellStyle name="연결된 셀 12 2 10 5 2" xfId="20530"/>
    <cellStyle name="연결된 셀 12 2 10 6" xfId="3390"/>
    <cellStyle name="연결된 셀 12 2 10 6 2" xfId="20531"/>
    <cellStyle name="연결된 셀 12 2 10 7" xfId="3391"/>
    <cellStyle name="연결된 셀 12 2 10 7 2" xfId="20532"/>
    <cellStyle name="연결된 셀 12 2 10 8" xfId="20517"/>
    <cellStyle name="연결된 셀 12 2 11" xfId="3392"/>
    <cellStyle name="연결된 셀 12 2 11 2" xfId="3393"/>
    <cellStyle name="연결된 셀 12 2 11 2 2" xfId="3394"/>
    <cellStyle name="연결된 셀 12 2 11 2 2 2" xfId="20535"/>
    <cellStyle name="연결된 셀 12 2 11 2 3" xfId="3395"/>
    <cellStyle name="연결된 셀 12 2 11 2 3 2" xfId="20536"/>
    <cellStyle name="연결된 셀 12 2 11 2 4" xfId="3396"/>
    <cellStyle name="연결된 셀 12 2 11 2 4 2" xfId="20537"/>
    <cellStyle name="연결된 셀 12 2 11 2 5" xfId="20534"/>
    <cellStyle name="연결된 셀 12 2 11 3" xfId="3397"/>
    <cellStyle name="연결된 셀 12 2 11 3 2" xfId="3398"/>
    <cellStyle name="연결된 셀 12 2 11 3 2 2" xfId="20539"/>
    <cellStyle name="연결된 셀 12 2 11 3 3" xfId="3399"/>
    <cellStyle name="연결된 셀 12 2 11 3 3 2" xfId="20540"/>
    <cellStyle name="연결된 셀 12 2 11 3 4" xfId="3400"/>
    <cellStyle name="연결된 셀 12 2 11 3 4 2" xfId="20541"/>
    <cellStyle name="연결된 셀 12 2 11 3 5" xfId="20538"/>
    <cellStyle name="연결된 셀 12 2 11 4" xfId="3401"/>
    <cellStyle name="연결된 셀 12 2 11 4 2" xfId="3402"/>
    <cellStyle name="연결된 셀 12 2 11 4 2 2" xfId="20543"/>
    <cellStyle name="연결된 셀 12 2 11 4 3" xfId="3403"/>
    <cellStyle name="연결된 셀 12 2 11 4 3 2" xfId="20544"/>
    <cellStyle name="연결된 셀 12 2 11 4 4" xfId="3404"/>
    <cellStyle name="연결된 셀 12 2 11 4 4 2" xfId="20545"/>
    <cellStyle name="연결된 셀 12 2 11 4 5" xfId="20542"/>
    <cellStyle name="연결된 셀 12 2 11 5" xfId="3405"/>
    <cellStyle name="연결된 셀 12 2 11 5 2" xfId="20546"/>
    <cellStyle name="연결된 셀 12 2 11 6" xfId="3406"/>
    <cellStyle name="연결된 셀 12 2 11 6 2" xfId="20547"/>
    <cellStyle name="연결된 셀 12 2 11 7" xfId="3407"/>
    <cellStyle name="연결된 셀 12 2 11 7 2" xfId="20548"/>
    <cellStyle name="연결된 셀 12 2 11 8" xfId="20533"/>
    <cellStyle name="연결된 셀 12 2 12" xfId="3408"/>
    <cellStyle name="연결된 셀 12 2 12 2" xfId="3409"/>
    <cellStyle name="연결된 셀 12 2 12 2 2" xfId="20550"/>
    <cellStyle name="연결된 셀 12 2 12 3" xfId="3410"/>
    <cellStyle name="연결된 셀 12 2 12 3 2" xfId="20551"/>
    <cellStyle name="연결된 셀 12 2 12 4" xfId="3411"/>
    <cellStyle name="연결된 셀 12 2 12 4 2" xfId="20552"/>
    <cellStyle name="연결된 셀 12 2 12 5" xfId="20549"/>
    <cellStyle name="연결된 셀 12 2 13" xfId="3412"/>
    <cellStyle name="연결된 셀 12 2 13 2" xfId="20553"/>
    <cellStyle name="연결된 셀 12 2 14" xfId="3413"/>
    <cellStyle name="연결된 셀 12 2 14 2" xfId="20554"/>
    <cellStyle name="연결된 셀 12 2 15" xfId="3414"/>
    <cellStyle name="연결된 셀 12 2 15 2" xfId="20555"/>
    <cellStyle name="연결된 셀 12 2 16" xfId="20516"/>
    <cellStyle name="연결된 셀 12 2 2" xfId="3415"/>
    <cellStyle name="연결된 셀 12 2 2 2" xfId="3416"/>
    <cellStyle name="연결된 셀 12 2 2 2 2" xfId="3417"/>
    <cellStyle name="연결된 셀 12 2 2 2 2 2" xfId="20558"/>
    <cellStyle name="연결된 셀 12 2 2 2 3" xfId="3418"/>
    <cellStyle name="연결된 셀 12 2 2 2 3 2" xfId="20559"/>
    <cellStyle name="연결된 셀 12 2 2 2 4" xfId="3419"/>
    <cellStyle name="연결된 셀 12 2 2 2 4 2" xfId="20560"/>
    <cellStyle name="연결된 셀 12 2 2 2 5" xfId="20557"/>
    <cellStyle name="연결된 셀 12 2 2 3" xfId="3420"/>
    <cellStyle name="연결된 셀 12 2 2 3 2" xfId="3421"/>
    <cellStyle name="연결된 셀 12 2 2 3 2 2" xfId="20562"/>
    <cellStyle name="연결된 셀 12 2 2 3 3" xfId="3422"/>
    <cellStyle name="연결된 셀 12 2 2 3 3 2" xfId="20563"/>
    <cellStyle name="연결된 셀 12 2 2 3 4" xfId="3423"/>
    <cellStyle name="연결된 셀 12 2 2 3 4 2" xfId="20564"/>
    <cellStyle name="연결된 셀 12 2 2 3 5" xfId="20561"/>
    <cellStyle name="연결된 셀 12 2 2 4" xfId="3424"/>
    <cellStyle name="연결된 셀 12 2 2 4 2" xfId="3425"/>
    <cellStyle name="연결된 셀 12 2 2 4 2 2" xfId="20566"/>
    <cellStyle name="연결된 셀 12 2 2 4 3" xfId="3426"/>
    <cellStyle name="연결된 셀 12 2 2 4 3 2" xfId="20567"/>
    <cellStyle name="연결된 셀 12 2 2 4 4" xfId="3427"/>
    <cellStyle name="연결된 셀 12 2 2 4 4 2" xfId="20568"/>
    <cellStyle name="연결된 셀 12 2 2 4 5" xfId="20565"/>
    <cellStyle name="연결된 셀 12 2 2 5" xfId="3428"/>
    <cellStyle name="연결된 셀 12 2 2 5 2" xfId="20569"/>
    <cellStyle name="연결된 셀 12 2 2 6" xfId="3429"/>
    <cellStyle name="연결된 셀 12 2 2 6 2" xfId="20570"/>
    <cellStyle name="연결된 셀 12 2 2 7" xfId="3430"/>
    <cellStyle name="연결된 셀 12 2 2 7 2" xfId="20571"/>
    <cellStyle name="연결된 셀 12 2 2 8" xfId="20556"/>
    <cellStyle name="연결된 셀 12 2 3" xfId="3431"/>
    <cellStyle name="연결된 셀 12 2 3 2" xfId="3432"/>
    <cellStyle name="연결된 셀 12 2 3 2 2" xfId="3433"/>
    <cellStyle name="연결된 셀 12 2 3 2 2 2" xfId="20574"/>
    <cellStyle name="연결된 셀 12 2 3 2 3" xfId="3434"/>
    <cellStyle name="연결된 셀 12 2 3 2 3 2" xfId="20575"/>
    <cellStyle name="연결된 셀 12 2 3 2 4" xfId="3435"/>
    <cellStyle name="연결된 셀 12 2 3 2 4 2" xfId="20576"/>
    <cellStyle name="연결된 셀 12 2 3 2 5" xfId="20573"/>
    <cellStyle name="연결된 셀 12 2 3 3" xfId="3436"/>
    <cellStyle name="연결된 셀 12 2 3 3 2" xfId="3437"/>
    <cellStyle name="연결된 셀 12 2 3 3 2 2" xfId="20578"/>
    <cellStyle name="연결된 셀 12 2 3 3 3" xfId="3438"/>
    <cellStyle name="연결된 셀 12 2 3 3 3 2" xfId="20579"/>
    <cellStyle name="연결된 셀 12 2 3 3 4" xfId="3439"/>
    <cellStyle name="연결된 셀 12 2 3 3 4 2" xfId="20580"/>
    <cellStyle name="연결된 셀 12 2 3 3 5" xfId="20577"/>
    <cellStyle name="연결된 셀 12 2 3 4" xfId="3440"/>
    <cellStyle name="연결된 셀 12 2 3 4 2" xfId="3441"/>
    <cellStyle name="연결된 셀 12 2 3 4 2 2" xfId="20582"/>
    <cellStyle name="연결된 셀 12 2 3 4 3" xfId="3442"/>
    <cellStyle name="연결된 셀 12 2 3 4 3 2" xfId="20583"/>
    <cellStyle name="연결된 셀 12 2 3 4 4" xfId="3443"/>
    <cellStyle name="연결된 셀 12 2 3 4 4 2" xfId="20584"/>
    <cellStyle name="연결된 셀 12 2 3 4 5" xfId="20581"/>
    <cellStyle name="연결된 셀 12 2 3 5" xfId="3444"/>
    <cellStyle name="연결된 셀 12 2 3 5 2" xfId="20585"/>
    <cellStyle name="연결된 셀 12 2 3 6" xfId="3445"/>
    <cellStyle name="연결된 셀 12 2 3 6 2" xfId="20586"/>
    <cellStyle name="연결된 셀 12 2 3 7" xfId="3446"/>
    <cellStyle name="연결된 셀 12 2 3 7 2" xfId="20587"/>
    <cellStyle name="연결된 셀 12 2 3 8" xfId="20572"/>
    <cellStyle name="연결된 셀 12 2 4" xfId="3447"/>
    <cellStyle name="연결된 셀 12 2 4 2" xfId="3448"/>
    <cellStyle name="연결된 셀 12 2 4 2 2" xfId="3449"/>
    <cellStyle name="연결된 셀 12 2 4 2 2 2" xfId="20590"/>
    <cellStyle name="연결된 셀 12 2 4 2 3" xfId="3450"/>
    <cellStyle name="연결된 셀 12 2 4 2 3 2" xfId="20591"/>
    <cellStyle name="연결된 셀 12 2 4 2 4" xfId="3451"/>
    <cellStyle name="연결된 셀 12 2 4 2 4 2" xfId="20592"/>
    <cellStyle name="연결된 셀 12 2 4 2 5" xfId="20589"/>
    <cellStyle name="연결된 셀 12 2 4 3" xfId="3452"/>
    <cellStyle name="연결된 셀 12 2 4 3 2" xfId="3453"/>
    <cellStyle name="연결된 셀 12 2 4 3 2 2" xfId="20594"/>
    <cellStyle name="연결된 셀 12 2 4 3 3" xfId="3454"/>
    <cellStyle name="연결된 셀 12 2 4 3 3 2" xfId="20595"/>
    <cellStyle name="연결된 셀 12 2 4 3 4" xfId="3455"/>
    <cellStyle name="연결된 셀 12 2 4 3 4 2" xfId="20596"/>
    <cellStyle name="연결된 셀 12 2 4 3 5" xfId="20593"/>
    <cellStyle name="연결된 셀 12 2 4 4" xfId="3456"/>
    <cellStyle name="연결된 셀 12 2 4 4 2" xfId="3457"/>
    <cellStyle name="연결된 셀 12 2 4 4 2 2" xfId="20598"/>
    <cellStyle name="연결된 셀 12 2 4 4 3" xfId="3458"/>
    <cellStyle name="연결된 셀 12 2 4 4 3 2" xfId="20599"/>
    <cellStyle name="연결된 셀 12 2 4 4 4" xfId="3459"/>
    <cellStyle name="연결된 셀 12 2 4 4 4 2" xfId="20600"/>
    <cellStyle name="연결된 셀 12 2 4 4 5" xfId="20597"/>
    <cellStyle name="연결된 셀 12 2 4 5" xfId="3460"/>
    <cellStyle name="연결된 셀 12 2 4 5 2" xfId="20601"/>
    <cellStyle name="연결된 셀 12 2 4 6" xfId="3461"/>
    <cellStyle name="연결된 셀 12 2 4 6 2" xfId="20602"/>
    <cellStyle name="연결된 셀 12 2 4 7" xfId="3462"/>
    <cellStyle name="연결된 셀 12 2 4 7 2" xfId="20603"/>
    <cellStyle name="연결된 셀 12 2 4 8" xfId="20588"/>
    <cellStyle name="연결된 셀 12 2 5" xfId="3463"/>
    <cellStyle name="연결된 셀 12 2 5 2" xfId="3464"/>
    <cellStyle name="연결된 셀 12 2 5 2 2" xfId="3465"/>
    <cellStyle name="연결된 셀 12 2 5 2 2 2" xfId="20606"/>
    <cellStyle name="연결된 셀 12 2 5 2 3" xfId="3466"/>
    <cellStyle name="연결된 셀 12 2 5 2 3 2" xfId="20607"/>
    <cellStyle name="연결된 셀 12 2 5 2 4" xfId="3467"/>
    <cellStyle name="연결된 셀 12 2 5 2 4 2" xfId="20608"/>
    <cellStyle name="연결된 셀 12 2 5 2 5" xfId="20605"/>
    <cellStyle name="연결된 셀 12 2 5 3" xfId="3468"/>
    <cellStyle name="연결된 셀 12 2 5 3 2" xfId="3469"/>
    <cellStyle name="연결된 셀 12 2 5 3 2 2" xfId="20610"/>
    <cellStyle name="연결된 셀 12 2 5 3 3" xfId="3470"/>
    <cellStyle name="연결된 셀 12 2 5 3 3 2" xfId="20611"/>
    <cellStyle name="연결된 셀 12 2 5 3 4" xfId="3471"/>
    <cellStyle name="연결된 셀 12 2 5 3 4 2" xfId="20612"/>
    <cellStyle name="연결된 셀 12 2 5 3 5" xfId="20609"/>
    <cellStyle name="연결된 셀 12 2 5 4" xfId="3472"/>
    <cellStyle name="연결된 셀 12 2 5 4 2" xfId="3473"/>
    <cellStyle name="연결된 셀 12 2 5 4 2 2" xfId="20614"/>
    <cellStyle name="연결된 셀 12 2 5 4 3" xfId="3474"/>
    <cellStyle name="연결된 셀 12 2 5 4 3 2" xfId="20615"/>
    <cellStyle name="연결된 셀 12 2 5 4 4" xfId="3475"/>
    <cellStyle name="연결된 셀 12 2 5 4 4 2" xfId="20616"/>
    <cellStyle name="연결된 셀 12 2 5 4 5" xfId="20613"/>
    <cellStyle name="연결된 셀 12 2 5 5" xfId="3476"/>
    <cellStyle name="연결된 셀 12 2 5 5 2" xfId="20617"/>
    <cellStyle name="연결된 셀 12 2 5 6" xfId="3477"/>
    <cellStyle name="연결된 셀 12 2 5 6 2" xfId="20618"/>
    <cellStyle name="연결된 셀 12 2 5 7" xfId="3478"/>
    <cellStyle name="연결된 셀 12 2 5 7 2" xfId="20619"/>
    <cellStyle name="연결된 셀 12 2 5 8" xfId="20604"/>
    <cellStyle name="연결된 셀 12 2 6" xfId="3479"/>
    <cellStyle name="연결된 셀 12 2 6 2" xfId="3480"/>
    <cellStyle name="연결된 셀 12 2 6 2 2" xfId="3481"/>
    <cellStyle name="연결된 셀 12 2 6 2 2 2" xfId="20622"/>
    <cellStyle name="연결된 셀 12 2 6 2 3" xfId="3482"/>
    <cellStyle name="연결된 셀 12 2 6 2 3 2" xfId="20623"/>
    <cellStyle name="연결된 셀 12 2 6 2 4" xfId="3483"/>
    <cellStyle name="연결된 셀 12 2 6 2 4 2" xfId="20624"/>
    <cellStyle name="연결된 셀 12 2 6 2 5" xfId="20621"/>
    <cellStyle name="연결된 셀 12 2 6 3" xfId="3484"/>
    <cellStyle name="연결된 셀 12 2 6 3 2" xfId="3485"/>
    <cellStyle name="연결된 셀 12 2 6 3 2 2" xfId="20626"/>
    <cellStyle name="연결된 셀 12 2 6 3 3" xfId="3486"/>
    <cellStyle name="연결된 셀 12 2 6 3 3 2" xfId="20627"/>
    <cellStyle name="연결된 셀 12 2 6 3 4" xfId="3487"/>
    <cellStyle name="연결된 셀 12 2 6 3 4 2" xfId="20628"/>
    <cellStyle name="연결된 셀 12 2 6 3 5" xfId="20625"/>
    <cellStyle name="연결된 셀 12 2 6 4" xfId="3488"/>
    <cellStyle name="연결된 셀 12 2 6 4 2" xfId="3489"/>
    <cellStyle name="연결된 셀 12 2 6 4 2 2" xfId="20630"/>
    <cellStyle name="연결된 셀 12 2 6 4 3" xfId="3490"/>
    <cellStyle name="연결된 셀 12 2 6 4 3 2" xfId="20631"/>
    <cellStyle name="연결된 셀 12 2 6 4 4" xfId="3491"/>
    <cellStyle name="연결된 셀 12 2 6 4 4 2" xfId="20632"/>
    <cellStyle name="연결된 셀 12 2 6 4 5" xfId="20629"/>
    <cellStyle name="연결된 셀 12 2 6 5" xfId="3492"/>
    <cellStyle name="연결된 셀 12 2 6 5 2" xfId="20633"/>
    <cellStyle name="연결된 셀 12 2 6 6" xfId="3493"/>
    <cellStyle name="연결된 셀 12 2 6 6 2" xfId="20634"/>
    <cellStyle name="연결된 셀 12 2 6 7" xfId="3494"/>
    <cellStyle name="연결된 셀 12 2 6 7 2" xfId="20635"/>
    <cellStyle name="연결된 셀 12 2 6 8" xfId="20620"/>
    <cellStyle name="연결된 셀 12 2 7" xfId="3495"/>
    <cellStyle name="연결된 셀 12 2 7 2" xfId="3496"/>
    <cellStyle name="연결된 셀 12 2 7 2 2" xfId="3497"/>
    <cellStyle name="연결된 셀 12 2 7 2 2 2" xfId="20638"/>
    <cellStyle name="연결된 셀 12 2 7 2 3" xfId="3498"/>
    <cellStyle name="연결된 셀 12 2 7 2 3 2" xfId="20639"/>
    <cellStyle name="연결된 셀 12 2 7 2 4" xfId="3499"/>
    <cellStyle name="연결된 셀 12 2 7 2 4 2" xfId="20640"/>
    <cellStyle name="연결된 셀 12 2 7 2 5" xfId="20637"/>
    <cellStyle name="연결된 셀 12 2 7 3" xfId="3500"/>
    <cellStyle name="연결된 셀 12 2 7 3 2" xfId="3501"/>
    <cellStyle name="연결된 셀 12 2 7 3 2 2" xfId="20642"/>
    <cellStyle name="연결된 셀 12 2 7 3 3" xfId="3502"/>
    <cellStyle name="연결된 셀 12 2 7 3 3 2" xfId="20643"/>
    <cellStyle name="연결된 셀 12 2 7 3 4" xfId="3503"/>
    <cellStyle name="연결된 셀 12 2 7 3 4 2" xfId="20644"/>
    <cellStyle name="연결된 셀 12 2 7 3 5" xfId="20641"/>
    <cellStyle name="연결된 셀 12 2 7 4" xfId="3504"/>
    <cellStyle name="연결된 셀 12 2 7 4 2" xfId="3505"/>
    <cellStyle name="연결된 셀 12 2 7 4 2 2" xfId="20646"/>
    <cellStyle name="연결된 셀 12 2 7 4 3" xfId="3506"/>
    <cellStyle name="연결된 셀 12 2 7 4 3 2" xfId="20647"/>
    <cellStyle name="연결된 셀 12 2 7 4 4" xfId="3507"/>
    <cellStyle name="연결된 셀 12 2 7 4 4 2" xfId="20648"/>
    <cellStyle name="연결된 셀 12 2 7 4 5" xfId="20645"/>
    <cellStyle name="연결된 셀 12 2 7 5" xfId="3508"/>
    <cellStyle name="연결된 셀 12 2 7 5 2" xfId="20649"/>
    <cellStyle name="연결된 셀 12 2 7 6" xfId="3509"/>
    <cellStyle name="연결된 셀 12 2 7 6 2" xfId="20650"/>
    <cellStyle name="연결된 셀 12 2 7 7" xfId="3510"/>
    <cellStyle name="연결된 셀 12 2 7 7 2" xfId="20651"/>
    <cellStyle name="연결된 셀 12 2 7 8" xfId="20636"/>
    <cellStyle name="연결된 셀 12 2 8" xfId="3511"/>
    <cellStyle name="연결된 셀 12 2 8 2" xfId="3512"/>
    <cellStyle name="연결된 셀 12 2 8 2 2" xfId="3513"/>
    <cellStyle name="연결된 셀 12 2 8 2 2 2" xfId="20654"/>
    <cellStyle name="연결된 셀 12 2 8 2 3" xfId="3514"/>
    <cellStyle name="연결된 셀 12 2 8 2 3 2" xfId="20655"/>
    <cellStyle name="연결된 셀 12 2 8 2 4" xfId="3515"/>
    <cellStyle name="연결된 셀 12 2 8 2 4 2" xfId="20656"/>
    <cellStyle name="연결된 셀 12 2 8 2 5" xfId="20653"/>
    <cellStyle name="연결된 셀 12 2 8 3" xfId="3516"/>
    <cellStyle name="연결된 셀 12 2 8 3 2" xfId="3517"/>
    <cellStyle name="연결된 셀 12 2 8 3 2 2" xfId="20658"/>
    <cellStyle name="연결된 셀 12 2 8 3 3" xfId="3518"/>
    <cellStyle name="연결된 셀 12 2 8 3 3 2" xfId="20659"/>
    <cellStyle name="연결된 셀 12 2 8 3 4" xfId="3519"/>
    <cellStyle name="연결된 셀 12 2 8 3 4 2" xfId="20660"/>
    <cellStyle name="연결된 셀 12 2 8 3 5" xfId="20657"/>
    <cellStyle name="연결된 셀 12 2 8 4" xfId="3520"/>
    <cellStyle name="연결된 셀 12 2 8 4 2" xfId="3521"/>
    <cellStyle name="연결된 셀 12 2 8 4 2 2" xfId="20662"/>
    <cellStyle name="연결된 셀 12 2 8 4 3" xfId="3522"/>
    <cellStyle name="연결된 셀 12 2 8 4 3 2" xfId="20663"/>
    <cellStyle name="연결된 셀 12 2 8 4 4" xfId="3523"/>
    <cellStyle name="연결된 셀 12 2 8 4 4 2" xfId="20664"/>
    <cellStyle name="연결된 셀 12 2 8 4 5" xfId="20661"/>
    <cellStyle name="연결된 셀 12 2 8 5" xfId="3524"/>
    <cellStyle name="연결된 셀 12 2 8 5 2" xfId="20665"/>
    <cellStyle name="연결된 셀 12 2 8 6" xfId="3525"/>
    <cellStyle name="연결된 셀 12 2 8 6 2" xfId="20666"/>
    <cellStyle name="연결된 셀 12 2 8 7" xfId="3526"/>
    <cellStyle name="연결된 셀 12 2 8 7 2" xfId="20667"/>
    <cellStyle name="연결된 셀 12 2 8 8" xfId="20652"/>
    <cellStyle name="연결된 셀 12 2 9" xfId="3527"/>
    <cellStyle name="연결된 셀 12 2 9 2" xfId="3528"/>
    <cellStyle name="연결된 셀 12 2 9 2 2" xfId="3529"/>
    <cellStyle name="연결된 셀 12 2 9 2 2 2" xfId="20670"/>
    <cellStyle name="연결된 셀 12 2 9 2 3" xfId="3530"/>
    <cellStyle name="연결된 셀 12 2 9 2 3 2" xfId="20671"/>
    <cellStyle name="연결된 셀 12 2 9 2 4" xfId="3531"/>
    <cellStyle name="연결된 셀 12 2 9 2 4 2" xfId="20672"/>
    <cellStyle name="연결된 셀 12 2 9 2 5" xfId="20669"/>
    <cellStyle name="연결된 셀 12 2 9 3" xfId="3532"/>
    <cellStyle name="연결된 셀 12 2 9 3 2" xfId="3533"/>
    <cellStyle name="연결된 셀 12 2 9 3 2 2" xfId="20674"/>
    <cellStyle name="연결된 셀 12 2 9 3 3" xfId="3534"/>
    <cellStyle name="연결된 셀 12 2 9 3 3 2" xfId="20675"/>
    <cellStyle name="연결된 셀 12 2 9 3 4" xfId="3535"/>
    <cellStyle name="연결된 셀 12 2 9 3 4 2" xfId="20676"/>
    <cellStyle name="연결된 셀 12 2 9 3 5" xfId="20673"/>
    <cellStyle name="연결된 셀 12 2 9 4" xfId="3536"/>
    <cellStyle name="연결된 셀 12 2 9 4 2" xfId="3537"/>
    <cellStyle name="연결된 셀 12 2 9 4 2 2" xfId="20678"/>
    <cellStyle name="연결된 셀 12 2 9 4 3" xfId="3538"/>
    <cellStyle name="연결된 셀 12 2 9 4 3 2" xfId="20679"/>
    <cellStyle name="연결된 셀 12 2 9 4 4" xfId="3539"/>
    <cellStyle name="연결된 셀 12 2 9 4 4 2" xfId="20680"/>
    <cellStyle name="연결된 셀 12 2 9 4 5" xfId="20677"/>
    <cellStyle name="연결된 셀 12 2 9 5" xfId="3540"/>
    <cellStyle name="연결된 셀 12 2 9 5 2" xfId="20681"/>
    <cellStyle name="연결된 셀 12 2 9 6" xfId="3541"/>
    <cellStyle name="연결된 셀 12 2 9 6 2" xfId="20682"/>
    <cellStyle name="연결된 셀 12 2 9 7" xfId="3542"/>
    <cellStyle name="연결된 셀 12 2 9 7 2" xfId="20683"/>
    <cellStyle name="연결된 셀 12 2 9 8" xfId="20668"/>
    <cellStyle name="연결된 셀 12 3" xfId="3543"/>
    <cellStyle name="연결된 셀 12 3 2" xfId="3544"/>
    <cellStyle name="연결된 셀 12 3 2 2" xfId="3545"/>
    <cellStyle name="연결된 셀 12 3 2 2 2" xfId="20686"/>
    <cellStyle name="연결된 셀 12 3 2 3" xfId="3546"/>
    <cellStyle name="연결된 셀 12 3 2 3 2" xfId="20687"/>
    <cellStyle name="연결된 셀 12 3 2 4" xfId="3547"/>
    <cellStyle name="연결된 셀 12 3 2 4 2" xfId="20688"/>
    <cellStyle name="연결된 셀 12 3 2 5" xfId="20685"/>
    <cellStyle name="연결된 셀 12 3 3" xfId="3548"/>
    <cellStyle name="연결된 셀 12 3 3 2" xfId="3549"/>
    <cellStyle name="연결된 셀 12 3 3 2 2" xfId="20690"/>
    <cellStyle name="연결된 셀 12 3 3 3" xfId="3550"/>
    <cellStyle name="연결된 셀 12 3 3 3 2" xfId="20691"/>
    <cellStyle name="연결된 셀 12 3 3 4" xfId="3551"/>
    <cellStyle name="연결된 셀 12 3 3 4 2" xfId="20692"/>
    <cellStyle name="연결된 셀 12 3 3 5" xfId="20689"/>
    <cellStyle name="연결된 셀 12 3 4" xfId="3552"/>
    <cellStyle name="연결된 셀 12 3 4 2" xfId="3553"/>
    <cellStyle name="연결된 셀 12 3 4 2 2" xfId="20694"/>
    <cellStyle name="연결된 셀 12 3 4 3" xfId="3554"/>
    <cellStyle name="연결된 셀 12 3 4 3 2" xfId="20695"/>
    <cellStyle name="연결된 셀 12 3 4 4" xfId="3555"/>
    <cellStyle name="연결된 셀 12 3 4 4 2" xfId="20696"/>
    <cellStyle name="연결된 셀 12 3 4 5" xfId="20693"/>
    <cellStyle name="연결된 셀 12 3 5" xfId="3556"/>
    <cellStyle name="연결된 셀 12 3 5 2" xfId="20697"/>
    <cellStyle name="연결된 셀 12 3 6" xfId="3557"/>
    <cellStyle name="연결된 셀 12 3 6 2" xfId="20698"/>
    <cellStyle name="연결된 셀 12 3 7" xfId="3558"/>
    <cellStyle name="연결된 셀 12 3 7 2" xfId="20699"/>
    <cellStyle name="연결된 셀 12 3 8" xfId="20684"/>
    <cellStyle name="연결된 셀 12 4" xfId="3559"/>
    <cellStyle name="연결된 셀 12 4 2" xfId="3560"/>
    <cellStyle name="연결된 셀 12 4 2 2" xfId="3561"/>
    <cellStyle name="연결된 셀 12 4 2 2 2" xfId="20702"/>
    <cellStyle name="연결된 셀 12 4 2 3" xfId="3562"/>
    <cellStyle name="연결된 셀 12 4 2 3 2" xfId="20703"/>
    <cellStyle name="연결된 셀 12 4 2 4" xfId="3563"/>
    <cellStyle name="연결된 셀 12 4 2 4 2" xfId="20704"/>
    <cellStyle name="연결된 셀 12 4 2 5" xfId="20701"/>
    <cellStyle name="연결된 셀 12 4 3" xfId="3564"/>
    <cellStyle name="연결된 셀 12 4 3 2" xfId="3565"/>
    <cellStyle name="연결된 셀 12 4 3 2 2" xfId="20706"/>
    <cellStyle name="연결된 셀 12 4 3 3" xfId="3566"/>
    <cellStyle name="연결된 셀 12 4 3 3 2" xfId="20707"/>
    <cellStyle name="연결된 셀 12 4 3 4" xfId="3567"/>
    <cellStyle name="연결된 셀 12 4 3 4 2" xfId="20708"/>
    <cellStyle name="연결된 셀 12 4 3 5" xfId="20705"/>
    <cellStyle name="연결된 셀 12 4 4" xfId="3568"/>
    <cellStyle name="연결된 셀 12 4 4 2" xfId="3569"/>
    <cellStyle name="연결된 셀 12 4 4 2 2" xfId="20710"/>
    <cellStyle name="연결된 셀 12 4 4 3" xfId="3570"/>
    <cellStyle name="연결된 셀 12 4 4 3 2" xfId="20711"/>
    <cellStyle name="연결된 셀 12 4 4 4" xfId="3571"/>
    <cellStyle name="연결된 셀 12 4 4 4 2" xfId="20712"/>
    <cellStyle name="연결된 셀 12 4 4 5" xfId="20709"/>
    <cellStyle name="연결된 셀 12 4 5" xfId="3572"/>
    <cellStyle name="연결된 셀 12 4 5 2" xfId="20713"/>
    <cellStyle name="연결된 셀 12 4 6" xfId="3573"/>
    <cellStyle name="연결된 셀 12 4 6 2" xfId="20714"/>
    <cellStyle name="연결된 셀 12 4 7" xfId="3574"/>
    <cellStyle name="연결된 셀 12 4 7 2" xfId="20715"/>
    <cellStyle name="연결된 셀 12 4 8" xfId="20700"/>
    <cellStyle name="연결된 셀 12 5" xfId="3575"/>
    <cellStyle name="연결된 셀 12 5 2" xfId="3576"/>
    <cellStyle name="연결된 셀 12 5 2 2" xfId="3577"/>
    <cellStyle name="연결된 셀 12 5 2 2 2" xfId="20718"/>
    <cellStyle name="연결된 셀 12 5 2 3" xfId="3578"/>
    <cellStyle name="연결된 셀 12 5 2 3 2" xfId="20719"/>
    <cellStyle name="연결된 셀 12 5 2 4" xfId="3579"/>
    <cellStyle name="연결된 셀 12 5 2 4 2" xfId="20720"/>
    <cellStyle name="연결된 셀 12 5 2 5" xfId="20717"/>
    <cellStyle name="연결된 셀 12 5 3" xfId="3580"/>
    <cellStyle name="연결된 셀 12 5 3 2" xfId="3581"/>
    <cellStyle name="연결된 셀 12 5 3 2 2" xfId="20722"/>
    <cellStyle name="연결된 셀 12 5 3 3" xfId="3582"/>
    <cellStyle name="연결된 셀 12 5 3 3 2" xfId="20723"/>
    <cellStyle name="연결된 셀 12 5 3 4" xfId="3583"/>
    <cellStyle name="연결된 셀 12 5 3 4 2" xfId="20724"/>
    <cellStyle name="연결된 셀 12 5 3 5" xfId="20721"/>
    <cellStyle name="연결된 셀 12 5 4" xfId="3584"/>
    <cellStyle name="연결된 셀 12 5 4 2" xfId="3585"/>
    <cellStyle name="연결된 셀 12 5 4 2 2" xfId="20726"/>
    <cellStyle name="연결된 셀 12 5 4 3" xfId="3586"/>
    <cellStyle name="연결된 셀 12 5 4 3 2" xfId="20727"/>
    <cellStyle name="연결된 셀 12 5 4 4" xfId="3587"/>
    <cellStyle name="연결된 셀 12 5 4 4 2" xfId="20728"/>
    <cellStyle name="연결된 셀 12 5 4 5" xfId="20725"/>
    <cellStyle name="연결된 셀 12 5 5" xfId="3588"/>
    <cellStyle name="연결된 셀 12 5 5 2" xfId="20729"/>
    <cellStyle name="연결된 셀 12 5 6" xfId="3589"/>
    <cellStyle name="연결된 셀 12 5 6 2" xfId="20730"/>
    <cellStyle name="연결된 셀 12 5 7" xfId="3590"/>
    <cellStyle name="연결된 셀 12 5 7 2" xfId="20731"/>
    <cellStyle name="연결된 셀 12 5 8" xfId="20716"/>
    <cellStyle name="연결된 셀 12 6" xfId="3591"/>
    <cellStyle name="연결된 셀 12 6 2" xfId="3592"/>
    <cellStyle name="연결된 셀 12 6 2 2" xfId="3593"/>
    <cellStyle name="연결된 셀 12 6 2 2 2" xfId="20734"/>
    <cellStyle name="연결된 셀 12 6 2 3" xfId="3594"/>
    <cellStyle name="연결된 셀 12 6 2 3 2" xfId="20735"/>
    <cellStyle name="연결된 셀 12 6 2 4" xfId="3595"/>
    <cellStyle name="연결된 셀 12 6 2 4 2" xfId="20736"/>
    <cellStyle name="연결된 셀 12 6 2 5" xfId="20733"/>
    <cellStyle name="연결된 셀 12 6 3" xfId="3596"/>
    <cellStyle name="연결된 셀 12 6 3 2" xfId="3597"/>
    <cellStyle name="연결된 셀 12 6 3 2 2" xfId="20738"/>
    <cellStyle name="연결된 셀 12 6 3 3" xfId="3598"/>
    <cellStyle name="연결된 셀 12 6 3 3 2" xfId="20739"/>
    <cellStyle name="연결된 셀 12 6 3 4" xfId="3599"/>
    <cellStyle name="연결된 셀 12 6 3 4 2" xfId="20740"/>
    <cellStyle name="연결된 셀 12 6 3 5" xfId="20737"/>
    <cellStyle name="연결된 셀 12 6 4" xfId="3600"/>
    <cellStyle name="연결된 셀 12 6 4 2" xfId="3601"/>
    <cellStyle name="연결된 셀 12 6 4 2 2" xfId="20742"/>
    <cellStyle name="연결된 셀 12 6 4 3" xfId="3602"/>
    <cellStyle name="연결된 셀 12 6 4 3 2" xfId="20743"/>
    <cellStyle name="연결된 셀 12 6 4 4" xfId="3603"/>
    <cellStyle name="연결된 셀 12 6 4 4 2" xfId="20744"/>
    <cellStyle name="연결된 셀 12 6 4 5" xfId="20741"/>
    <cellStyle name="연결된 셀 12 6 5" xfId="3604"/>
    <cellStyle name="연결된 셀 12 6 5 2" xfId="20745"/>
    <cellStyle name="연결된 셀 12 6 6" xfId="3605"/>
    <cellStyle name="연결된 셀 12 6 6 2" xfId="20746"/>
    <cellStyle name="연결된 셀 12 6 7" xfId="3606"/>
    <cellStyle name="연결된 셀 12 6 7 2" xfId="20747"/>
    <cellStyle name="연결된 셀 12 6 8" xfId="20732"/>
    <cellStyle name="연결된 셀 12 7" xfId="3607"/>
    <cellStyle name="연결된 셀 12 7 2" xfId="3608"/>
    <cellStyle name="연결된 셀 12 7 2 2" xfId="3609"/>
    <cellStyle name="연결된 셀 12 7 2 2 2" xfId="20750"/>
    <cellStyle name="연결된 셀 12 7 2 3" xfId="3610"/>
    <cellStyle name="연결된 셀 12 7 2 3 2" xfId="20751"/>
    <cellStyle name="연결된 셀 12 7 2 4" xfId="3611"/>
    <cellStyle name="연결된 셀 12 7 2 4 2" xfId="20752"/>
    <cellStyle name="연결된 셀 12 7 2 5" xfId="20749"/>
    <cellStyle name="연결된 셀 12 7 3" xfId="3612"/>
    <cellStyle name="연결된 셀 12 7 3 2" xfId="3613"/>
    <cellStyle name="연결된 셀 12 7 3 2 2" xfId="20754"/>
    <cellStyle name="연결된 셀 12 7 3 3" xfId="3614"/>
    <cellStyle name="연결된 셀 12 7 3 3 2" xfId="20755"/>
    <cellStyle name="연결된 셀 12 7 3 4" xfId="3615"/>
    <cellStyle name="연결된 셀 12 7 3 4 2" xfId="20756"/>
    <cellStyle name="연결된 셀 12 7 3 5" xfId="20753"/>
    <cellStyle name="연결된 셀 12 7 4" xfId="3616"/>
    <cellStyle name="연결된 셀 12 7 4 2" xfId="3617"/>
    <cellStyle name="연결된 셀 12 7 4 2 2" xfId="20758"/>
    <cellStyle name="연결된 셀 12 7 4 3" xfId="3618"/>
    <cellStyle name="연결된 셀 12 7 4 3 2" xfId="20759"/>
    <cellStyle name="연결된 셀 12 7 4 4" xfId="3619"/>
    <cellStyle name="연결된 셀 12 7 4 4 2" xfId="20760"/>
    <cellStyle name="연결된 셀 12 7 4 5" xfId="20757"/>
    <cellStyle name="연결된 셀 12 7 5" xfId="3620"/>
    <cellStyle name="연결된 셀 12 7 5 2" xfId="20761"/>
    <cellStyle name="연결된 셀 12 7 6" xfId="3621"/>
    <cellStyle name="연결된 셀 12 7 6 2" xfId="20762"/>
    <cellStyle name="연결된 셀 12 7 7" xfId="3622"/>
    <cellStyle name="연결된 셀 12 7 7 2" xfId="20763"/>
    <cellStyle name="연결된 셀 12 7 8" xfId="20748"/>
    <cellStyle name="연결된 셀 12 8" xfId="3623"/>
    <cellStyle name="연결된 셀 12 8 2" xfId="3624"/>
    <cellStyle name="연결된 셀 12 8 2 2" xfId="3625"/>
    <cellStyle name="연결된 셀 12 8 2 2 2" xfId="20766"/>
    <cellStyle name="연결된 셀 12 8 2 3" xfId="3626"/>
    <cellStyle name="연결된 셀 12 8 2 3 2" xfId="20767"/>
    <cellStyle name="연결된 셀 12 8 2 4" xfId="3627"/>
    <cellStyle name="연결된 셀 12 8 2 4 2" xfId="20768"/>
    <cellStyle name="연결된 셀 12 8 2 5" xfId="20765"/>
    <cellStyle name="연결된 셀 12 8 3" xfId="3628"/>
    <cellStyle name="연결된 셀 12 8 3 2" xfId="3629"/>
    <cellStyle name="연결된 셀 12 8 3 2 2" xfId="20770"/>
    <cellStyle name="연결된 셀 12 8 3 3" xfId="3630"/>
    <cellStyle name="연결된 셀 12 8 3 3 2" xfId="20771"/>
    <cellStyle name="연결된 셀 12 8 3 4" xfId="3631"/>
    <cellStyle name="연결된 셀 12 8 3 4 2" xfId="20772"/>
    <cellStyle name="연결된 셀 12 8 3 5" xfId="20769"/>
    <cellStyle name="연결된 셀 12 8 4" xfId="3632"/>
    <cellStyle name="연결된 셀 12 8 4 2" xfId="3633"/>
    <cellStyle name="연결된 셀 12 8 4 2 2" xfId="20774"/>
    <cellStyle name="연결된 셀 12 8 4 3" xfId="3634"/>
    <cellStyle name="연결된 셀 12 8 4 3 2" xfId="20775"/>
    <cellStyle name="연결된 셀 12 8 4 4" xfId="3635"/>
    <cellStyle name="연결된 셀 12 8 4 4 2" xfId="20776"/>
    <cellStyle name="연결된 셀 12 8 4 5" xfId="20773"/>
    <cellStyle name="연결된 셀 12 8 5" xfId="3636"/>
    <cellStyle name="연결된 셀 12 8 5 2" xfId="20777"/>
    <cellStyle name="연결된 셀 12 8 6" xfId="3637"/>
    <cellStyle name="연결된 셀 12 8 6 2" xfId="20778"/>
    <cellStyle name="연결된 셀 12 8 7" xfId="3638"/>
    <cellStyle name="연결된 셀 12 8 7 2" xfId="20779"/>
    <cellStyle name="연결된 셀 12 8 8" xfId="20764"/>
    <cellStyle name="연결된 셀 12 9" xfId="3639"/>
    <cellStyle name="연결된 셀 12 9 2" xfId="3640"/>
    <cellStyle name="연결된 셀 12 9 2 2" xfId="3641"/>
    <cellStyle name="연결된 셀 12 9 2 2 2" xfId="20782"/>
    <cellStyle name="연결된 셀 12 9 2 3" xfId="3642"/>
    <cellStyle name="연결된 셀 12 9 2 3 2" xfId="20783"/>
    <cellStyle name="연결된 셀 12 9 2 4" xfId="3643"/>
    <cellStyle name="연결된 셀 12 9 2 4 2" xfId="20784"/>
    <cellStyle name="연결된 셀 12 9 2 5" xfId="20781"/>
    <cellStyle name="연결된 셀 12 9 3" xfId="3644"/>
    <cellStyle name="연결된 셀 12 9 3 2" xfId="3645"/>
    <cellStyle name="연결된 셀 12 9 3 2 2" xfId="20786"/>
    <cellStyle name="연결된 셀 12 9 3 3" xfId="3646"/>
    <cellStyle name="연결된 셀 12 9 3 3 2" xfId="20787"/>
    <cellStyle name="연결된 셀 12 9 3 4" xfId="3647"/>
    <cellStyle name="연결된 셀 12 9 3 4 2" xfId="20788"/>
    <cellStyle name="연결된 셀 12 9 3 5" xfId="20785"/>
    <cellStyle name="연결된 셀 12 9 4" xfId="3648"/>
    <cellStyle name="연결된 셀 12 9 4 2" xfId="3649"/>
    <cellStyle name="연결된 셀 12 9 4 2 2" xfId="20790"/>
    <cellStyle name="연결된 셀 12 9 4 3" xfId="3650"/>
    <cellStyle name="연결된 셀 12 9 4 3 2" xfId="20791"/>
    <cellStyle name="연결된 셀 12 9 4 4" xfId="3651"/>
    <cellStyle name="연결된 셀 12 9 4 4 2" xfId="20792"/>
    <cellStyle name="연결된 셀 12 9 4 5" xfId="20789"/>
    <cellStyle name="연결된 셀 12 9 5" xfId="3652"/>
    <cellStyle name="연결된 셀 12 9 5 2" xfId="20793"/>
    <cellStyle name="연결된 셀 12 9 6" xfId="3653"/>
    <cellStyle name="연결된 셀 12 9 6 2" xfId="20794"/>
    <cellStyle name="연결된 셀 12 9 7" xfId="3654"/>
    <cellStyle name="연결된 셀 12 9 7 2" xfId="20795"/>
    <cellStyle name="연결된 셀 12 9 8" xfId="20780"/>
    <cellStyle name="연결된 셀 13" xfId="541"/>
    <cellStyle name="연결된 셀 13 10" xfId="3655"/>
    <cellStyle name="연결된 셀 13 10 2" xfId="3656"/>
    <cellStyle name="연결된 셀 13 10 2 2" xfId="3657"/>
    <cellStyle name="연결된 셀 13 10 2 2 2" xfId="20798"/>
    <cellStyle name="연결된 셀 13 10 2 3" xfId="3658"/>
    <cellStyle name="연결된 셀 13 10 2 3 2" xfId="20799"/>
    <cellStyle name="연결된 셀 13 10 2 4" xfId="3659"/>
    <cellStyle name="연결된 셀 13 10 2 4 2" xfId="20800"/>
    <cellStyle name="연결된 셀 13 10 2 5" xfId="20797"/>
    <cellStyle name="연결된 셀 13 10 3" xfId="3660"/>
    <cellStyle name="연결된 셀 13 10 3 2" xfId="3661"/>
    <cellStyle name="연결된 셀 13 10 3 2 2" xfId="20802"/>
    <cellStyle name="연결된 셀 13 10 3 3" xfId="3662"/>
    <cellStyle name="연결된 셀 13 10 3 3 2" xfId="20803"/>
    <cellStyle name="연결된 셀 13 10 3 4" xfId="3663"/>
    <cellStyle name="연결된 셀 13 10 3 4 2" xfId="20804"/>
    <cellStyle name="연결된 셀 13 10 3 5" xfId="20801"/>
    <cellStyle name="연결된 셀 13 10 4" xfId="3664"/>
    <cellStyle name="연결된 셀 13 10 4 2" xfId="3665"/>
    <cellStyle name="연결된 셀 13 10 4 2 2" xfId="20806"/>
    <cellStyle name="연결된 셀 13 10 4 3" xfId="3666"/>
    <cellStyle name="연결된 셀 13 10 4 3 2" xfId="20807"/>
    <cellStyle name="연결된 셀 13 10 4 4" xfId="3667"/>
    <cellStyle name="연결된 셀 13 10 4 4 2" xfId="20808"/>
    <cellStyle name="연결된 셀 13 10 4 5" xfId="20805"/>
    <cellStyle name="연결된 셀 13 10 5" xfId="3668"/>
    <cellStyle name="연결된 셀 13 10 5 2" xfId="20809"/>
    <cellStyle name="연결된 셀 13 10 6" xfId="3669"/>
    <cellStyle name="연결된 셀 13 10 6 2" xfId="20810"/>
    <cellStyle name="연결된 셀 13 10 7" xfId="3670"/>
    <cellStyle name="연결된 셀 13 10 7 2" xfId="20811"/>
    <cellStyle name="연결된 셀 13 10 8" xfId="20796"/>
    <cellStyle name="연결된 셀 13 11" xfId="3671"/>
    <cellStyle name="연결된 셀 13 11 2" xfId="3672"/>
    <cellStyle name="연결된 셀 13 11 2 2" xfId="3673"/>
    <cellStyle name="연결된 셀 13 11 2 2 2" xfId="20814"/>
    <cellStyle name="연결된 셀 13 11 2 3" xfId="3674"/>
    <cellStyle name="연결된 셀 13 11 2 3 2" xfId="20815"/>
    <cellStyle name="연결된 셀 13 11 2 4" xfId="3675"/>
    <cellStyle name="연결된 셀 13 11 2 4 2" xfId="20816"/>
    <cellStyle name="연결된 셀 13 11 2 5" xfId="20813"/>
    <cellStyle name="연결된 셀 13 11 3" xfId="3676"/>
    <cellStyle name="연결된 셀 13 11 3 2" xfId="3677"/>
    <cellStyle name="연결된 셀 13 11 3 2 2" xfId="20818"/>
    <cellStyle name="연결된 셀 13 11 3 3" xfId="3678"/>
    <cellStyle name="연결된 셀 13 11 3 3 2" xfId="20819"/>
    <cellStyle name="연결된 셀 13 11 3 4" xfId="3679"/>
    <cellStyle name="연결된 셀 13 11 3 4 2" xfId="20820"/>
    <cellStyle name="연결된 셀 13 11 3 5" xfId="20817"/>
    <cellStyle name="연결된 셀 13 11 4" xfId="3680"/>
    <cellStyle name="연결된 셀 13 11 4 2" xfId="3681"/>
    <cellStyle name="연결된 셀 13 11 4 2 2" xfId="20822"/>
    <cellStyle name="연결된 셀 13 11 4 3" xfId="3682"/>
    <cellStyle name="연결된 셀 13 11 4 3 2" xfId="20823"/>
    <cellStyle name="연결된 셀 13 11 4 4" xfId="3683"/>
    <cellStyle name="연결된 셀 13 11 4 4 2" xfId="20824"/>
    <cellStyle name="연결된 셀 13 11 4 5" xfId="20821"/>
    <cellStyle name="연결된 셀 13 11 5" xfId="3684"/>
    <cellStyle name="연결된 셀 13 11 5 2" xfId="20825"/>
    <cellStyle name="연결된 셀 13 11 6" xfId="3685"/>
    <cellStyle name="연결된 셀 13 11 6 2" xfId="20826"/>
    <cellStyle name="연결된 셀 13 11 7" xfId="3686"/>
    <cellStyle name="연결된 셀 13 11 7 2" xfId="20827"/>
    <cellStyle name="연결된 셀 13 11 8" xfId="20812"/>
    <cellStyle name="연결된 셀 13 12" xfId="3687"/>
    <cellStyle name="연결된 셀 13 12 2" xfId="3688"/>
    <cellStyle name="연결된 셀 13 12 2 2" xfId="3689"/>
    <cellStyle name="연결된 셀 13 12 2 2 2" xfId="20830"/>
    <cellStyle name="연결된 셀 13 12 2 3" xfId="3690"/>
    <cellStyle name="연결된 셀 13 12 2 3 2" xfId="20831"/>
    <cellStyle name="연결된 셀 13 12 2 4" xfId="3691"/>
    <cellStyle name="연결된 셀 13 12 2 4 2" xfId="20832"/>
    <cellStyle name="연결된 셀 13 12 2 5" xfId="20829"/>
    <cellStyle name="연결된 셀 13 12 3" xfId="3692"/>
    <cellStyle name="연결된 셀 13 12 3 2" xfId="3693"/>
    <cellStyle name="연결된 셀 13 12 3 2 2" xfId="20834"/>
    <cellStyle name="연결된 셀 13 12 3 3" xfId="3694"/>
    <cellStyle name="연결된 셀 13 12 3 3 2" xfId="20835"/>
    <cellStyle name="연결된 셀 13 12 3 4" xfId="3695"/>
    <cellStyle name="연결된 셀 13 12 3 4 2" xfId="20836"/>
    <cellStyle name="연결된 셀 13 12 3 5" xfId="20833"/>
    <cellStyle name="연결된 셀 13 12 4" xfId="3696"/>
    <cellStyle name="연결된 셀 13 12 4 2" xfId="3697"/>
    <cellStyle name="연결된 셀 13 12 4 2 2" xfId="20838"/>
    <cellStyle name="연결된 셀 13 12 4 3" xfId="3698"/>
    <cellStyle name="연결된 셀 13 12 4 3 2" xfId="20839"/>
    <cellStyle name="연결된 셀 13 12 4 4" xfId="3699"/>
    <cellStyle name="연결된 셀 13 12 4 4 2" xfId="20840"/>
    <cellStyle name="연결된 셀 13 12 4 5" xfId="20837"/>
    <cellStyle name="연결된 셀 13 12 5" xfId="3700"/>
    <cellStyle name="연결된 셀 13 12 5 2" xfId="20841"/>
    <cellStyle name="연결된 셀 13 12 6" xfId="3701"/>
    <cellStyle name="연결된 셀 13 12 6 2" xfId="20842"/>
    <cellStyle name="연결된 셀 13 12 7" xfId="3702"/>
    <cellStyle name="연결된 셀 13 12 7 2" xfId="20843"/>
    <cellStyle name="연결된 셀 13 12 8" xfId="20828"/>
    <cellStyle name="연결된 셀 13 13" xfId="3703"/>
    <cellStyle name="연결된 셀 13 13 2" xfId="3704"/>
    <cellStyle name="연결된 셀 13 13 2 2" xfId="20845"/>
    <cellStyle name="연결된 셀 13 13 3" xfId="3705"/>
    <cellStyle name="연결된 셀 13 13 3 2" xfId="20846"/>
    <cellStyle name="연결된 셀 13 13 4" xfId="3706"/>
    <cellStyle name="연결된 셀 13 13 4 2" xfId="20847"/>
    <cellStyle name="연결된 셀 13 13 5" xfId="20844"/>
    <cellStyle name="연결된 셀 13 14" xfId="3707"/>
    <cellStyle name="연결된 셀 13 14 2" xfId="20848"/>
    <cellStyle name="연결된 셀 13 15" xfId="3708"/>
    <cellStyle name="연결된 셀 13 15 2" xfId="20849"/>
    <cellStyle name="연결된 셀 13 16" xfId="3709"/>
    <cellStyle name="연결된 셀 13 16 2" xfId="20850"/>
    <cellStyle name="연결된 셀 13 17" xfId="17684"/>
    <cellStyle name="연결된 셀 13 2" xfId="3710"/>
    <cellStyle name="연결된 셀 13 2 10" xfId="3711"/>
    <cellStyle name="연결된 셀 13 2 10 2" xfId="3712"/>
    <cellStyle name="연결된 셀 13 2 10 2 2" xfId="3713"/>
    <cellStyle name="연결된 셀 13 2 10 2 2 2" xfId="20854"/>
    <cellStyle name="연결된 셀 13 2 10 2 3" xfId="3714"/>
    <cellStyle name="연결된 셀 13 2 10 2 3 2" xfId="20855"/>
    <cellStyle name="연결된 셀 13 2 10 2 4" xfId="3715"/>
    <cellStyle name="연결된 셀 13 2 10 2 4 2" xfId="20856"/>
    <cellStyle name="연결된 셀 13 2 10 2 5" xfId="20853"/>
    <cellStyle name="연결된 셀 13 2 10 3" xfId="3716"/>
    <cellStyle name="연결된 셀 13 2 10 3 2" xfId="3717"/>
    <cellStyle name="연결된 셀 13 2 10 3 2 2" xfId="20858"/>
    <cellStyle name="연결된 셀 13 2 10 3 3" xfId="3718"/>
    <cellStyle name="연결된 셀 13 2 10 3 3 2" xfId="20859"/>
    <cellStyle name="연결된 셀 13 2 10 3 4" xfId="3719"/>
    <cellStyle name="연결된 셀 13 2 10 3 4 2" xfId="20860"/>
    <cellStyle name="연결된 셀 13 2 10 3 5" xfId="20857"/>
    <cellStyle name="연결된 셀 13 2 10 4" xfId="3720"/>
    <cellStyle name="연결된 셀 13 2 10 4 2" xfId="3721"/>
    <cellStyle name="연결된 셀 13 2 10 4 2 2" xfId="20862"/>
    <cellStyle name="연결된 셀 13 2 10 4 3" xfId="3722"/>
    <cellStyle name="연결된 셀 13 2 10 4 3 2" xfId="20863"/>
    <cellStyle name="연결된 셀 13 2 10 4 4" xfId="3723"/>
    <cellStyle name="연결된 셀 13 2 10 4 4 2" xfId="20864"/>
    <cellStyle name="연결된 셀 13 2 10 4 5" xfId="20861"/>
    <cellStyle name="연결된 셀 13 2 10 5" xfId="3724"/>
    <cellStyle name="연결된 셀 13 2 10 5 2" xfId="20865"/>
    <cellStyle name="연결된 셀 13 2 10 6" xfId="3725"/>
    <cellStyle name="연결된 셀 13 2 10 6 2" xfId="20866"/>
    <cellStyle name="연결된 셀 13 2 10 7" xfId="3726"/>
    <cellStyle name="연결된 셀 13 2 10 7 2" xfId="20867"/>
    <cellStyle name="연결된 셀 13 2 10 8" xfId="20852"/>
    <cellStyle name="연결된 셀 13 2 11" xfId="3727"/>
    <cellStyle name="연결된 셀 13 2 11 2" xfId="3728"/>
    <cellStyle name="연결된 셀 13 2 11 2 2" xfId="3729"/>
    <cellStyle name="연결된 셀 13 2 11 2 2 2" xfId="20870"/>
    <cellStyle name="연결된 셀 13 2 11 2 3" xfId="3730"/>
    <cellStyle name="연결된 셀 13 2 11 2 3 2" xfId="20871"/>
    <cellStyle name="연결된 셀 13 2 11 2 4" xfId="3731"/>
    <cellStyle name="연결된 셀 13 2 11 2 4 2" xfId="20872"/>
    <cellStyle name="연결된 셀 13 2 11 2 5" xfId="20869"/>
    <cellStyle name="연결된 셀 13 2 11 3" xfId="3732"/>
    <cellStyle name="연결된 셀 13 2 11 3 2" xfId="3733"/>
    <cellStyle name="연결된 셀 13 2 11 3 2 2" xfId="20874"/>
    <cellStyle name="연결된 셀 13 2 11 3 3" xfId="3734"/>
    <cellStyle name="연결된 셀 13 2 11 3 3 2" xfId="20875"/>
    <cellStyle name="연결된 셀 13 2 11 3 4" xfId="3735"/>
    <cellStyle name="연결된 셀 13 2 11 3 4 2" xfId="20876"/>
    <cellStyle name="연결된 셀 13 2 11 3 5" xfId="20873"/>
    <cellStyle name="연결된 셀 13 2 11 4" xfId="3736"/>
    <cellStyle name="연결된 셀 13 2 11 4 2" xfId="3737"/>
    <cellStyle name="연결된 셀 13 2 11 4 2 2" xfId="20878"/>
    <cellStyle name="연결된 셀 13 2 11 4 3" xfId="3738"/>
    <cellStyle name="연결된 셀 13 2 11 4 3 2" xfId="20879"/>
    <cellStyle name="연결된 셀 13 2 11 4 4" xfId="3739"/>
    <cellStyle name="연결된 셀 13 2 11 4 4 2" xfId="20880"/>
    <cellStyle name="연결된 셀 13 2 11 4 5" xfId="20877"/>
    <cellStyle name="연결된 셀 13 2 11 5" xfId="3740"/>
    <cellStyle name="연결된 셀 13 2 11 5 2" xfId="20881"/>
    <cellStyle name="연결된 셀 13 2 11 6" xfId="3741"/>
    <cellStyle name="연결된 셀 13 2 11 6 2" xfId="20882"/>
    <cellStyle name="연결된 셀 13 2 11 7" xfId="3742"/>
    <cellStyle name="연결된 셀 13 2 11 7 2" xfId="20883"/>
    <cellStyle name="연결된 셀 13 2 11 8" xfId="20868"/>
    <cellStyle name="연결된 셀 13 2 12" xfId="3743"/>
    <cellStyle name="연결된 셀 13 2 12 2" xfId="3744"/>
    <cellStyle name="연결된 셀 13 2 12 2 2" xfId="20885"/>
    <cellStyle name="연결된 셀 13 2 12 3" xfId="3745"/>
    <cellStyle name="연결된 셀 13 2 12 3 2" xfId="20886"/>
    <cellStyle name="연결된 셀 13 2 12 4" xfId="3746"/>
    <cellStyle name="연결된 셀 13 2 12 4 2" xfId="20887"/>
    <cellStyle name="연결된 셀 13 2 12 5" xfId="20884"/>
    <cellStyle name="연결된 셀 13 2 13" xfId="3747"/>
    <cellStyle name="연결된 셀 13 2 13 2" xfId="20888"/>
    <cellStyle name="연결된 셀 13 2 14" xfId="3748"/>
    <cellStyle name="연결된 셀 13 2 14 2" xfId="20889"/>
    <cellStyle name="연결된 셀 13 2 15" xfId="3749"/>
    <cellStyle name="연결된 셀 13 2 15 2" xfId="20890"/>
    <cellStyle name="연결된 셀 13 2 16" xfId="20851"/>
    <cellStyle name="연결된 셀 13 2 2" xfId="3750"/>
    <cellStyle name="연결된 셀 13 2 2 2" xfId="3751"/>
    <cellStyle name="연결된 셀 13 2 2 2 2" xfId="3752"/>
    <cellStyle name="연결된 셀 13 2 2 2 2 2" xfId="20893"/>
    <cellStyle name="연결된 셀 13 2 2 2 3" xfId="3753"/>
    <cellStyle name="연결된 셀 13 2 2 2 3 2" xfId="20894"/>
    <cellStyle name="연결된 셀 13 2 2 2 4" xfId="3754"/>
    <cellStyle name="연결된 셀 13 2 2 2 4 2" xfId="20895"/>
    <cellStyle name="연결된 셀 13 2 2 2 5" xfId="20892"/>
    <cellStyle name="연결된 셀 13 2 2 3" xfId="3755"/>
    <cellStyle name="연결된 셀 13 2 2 3 2" xfId="3756"/>
    <cellStyle name="연결된 셀 13 2 2 3 2 2" xfId="20897"/>
    <cellStyle name="연결된 셀 13 2 2 3 3" xfId="3757"/>
    <cellStyle name="연결된 셀 13 2 2 3 3 2" xfId="20898"/>
    <cellStyle name="연결된 셀 13 2 2 3 4" xfId="3758"/>
    <cellStyle name="연결된 셀 13 2 2 3 4 2" xfId="20899"/>
    <cellStyle name="연결된 셀 13 2 2 3 5" xfId="20896"/>
    <cellStyle name="연결된 셀 13 2 2 4" xfId="3759"/>
    <cellStyle name="연결된 셀 13 2 2 4 2" xfId="3760"/>
    <cellStyle name="연결된 셀 13 2 2 4 2 2" xfId="20901"/>
    <cellStyle name="연결된 셀 13 2 2 4 3" xfId="3761"/>
    <cellStyle name="연결된 셀 13 2 2 4 3 2" xfId="20902"/>
    <cellStyle name="연결된 셀 13 2 2 4 4" xfId="3762"/>
    <cellStyle name="연결된 셀 13 2 2 4 4 2" xfId="20903"/>
    <cellStyle name="연결된 셀 13 2 2 4 5" xfId="20900"/>
    <cellStyle name="연결된 셀 13 2 2 5" xfId="3763"/>
    <cellStyle name="연결된 셀 13 2 2 5 2" xfId="20904"/>
    <cellStyle name="연결된 셀 13 2 2 6" xfId="3764"/>
    <cellStyle name="연결된 셀 13 2 2 6 2" xfId="20905"/>
    <cellStyle name="연결된 셀 13 2 2 7" xfId="3765"/>
    <cellStyle name="연결된 셀 13 2 2 7 2" xfId="20906"/>
    <cellStyle name="연결된 셀 13 2 2 8" xfId="20891"/>
    <cellStyle name="연결된 셀 13 2 3" xfId="3766"/>
    <cellStyle name="연결된 셀 13 2 3 2" xfId="3767"/>
    <cellStyle name="연결된 셀 13 2 3 2 2" xfId="3768"/>
    <cellStyle name="연결된 셀 13 2 3 2 2 2" xfId="20909"/>
    <cellStyle name="연결된 셀 13 2 3 2 3" xfId="3769"/>
    <cellStyle name="연결된 셀 13 2 3 2 3 2" xfId="20910"/>
    <cellStyle name="연결된 셀 13 2 3 2 4" xfId="3770"/>
    <cellStyle name="연결된 셀 13 2 3 2 4 2" xfId="20911"/>
    <cellStyle name="연결된 셀 13 2 3 2 5" xfId="20908"/>
    <cellStyle name="연결된 셀 13 2 3 3" xfId="3771"/>
    <cellStyle name="연결된 셀 13 2 3 3 2" xfId="3772"/>
    <cellStyle name="연결된 셀 13 2 3 3 2 2" xfId="20913"/>
    <cellStyle name="연결된 셀 13 2 3 3 3" xfId="3773"/>
    <cellStyle name="연결된 셀 13 2 3 3 3 2" xfId="20914"/>
    <cellStyle name="연결된 셀 13 2 3 3 4" xfId="3774"/>
    <cellStyle name="연결된 셀 13 2 3 3 4 2" xfId="20915"/>
    <cellStyle name="연결된 셀 13 2 3 3 5" xfId="20912"/>
    <cellStyle name="연결된 셀 13 2 3 4" xfId="3775"/>
    <cellStyle name="연결된 셀 13 2 3 4 2" xfId="3776"/>
    <cellStyle name="연결된 셀 13 2 3 4 2 2" xfId="20917"/>
    <cellStyle name="연결된 셀 13 2 3 4 3" xfId="3777"/>
    <cellStyle name="연결된 셀 13 2 3 4 3 2" xfId="20918"/>
    <cellStyle name="연결된 셀 13 2 3 4 4" xfId="3778"/>
    <cellStyle name="연결된 셀 13 2 3 4 4 2" xfId="20919"/>
    <cellStyle name="연결된 셀 13 2 3 4 5" xfId="20916"/>
    <cellStyle name="연결된 셀 13 2 3 5" xfId="3779"/>
    <cellStyle name="연결된 셀 13 2 3 5 2" xfId="20920"/>
    <cellStyle name="연결된 셀 13 2 3 6" xfId="3780"/>
    <cellStyle name="연결된 셀 13 2 3 6 2" xfId="20921"/>
    <cellStyle name="연결된 셀 13 2 3 7" xfId="3781"/>
    <cellStyle name="연결된 셀 13 2 3 7 2" xfId="20922"/>
    <cellStyle name="연결된 셀 13 2 3 8" xfId="20907"/>
    <cellStyle name="연결된 셀 13 2 4" xfId="3782"/>
    <cellStyle name="연결된 셀 13 2 4 2" xfId="3783"/>
    <cellStyle name="연결된 셀 13 2 4 2 2" xfId="3784"/>
    <cellStyle name="연결된 셀 13 2 4 2 2 2" xfId="20925"/>
    <cellStyle name="연결된 셀 13 2 4 2 3" xfId="3785"/>
    <cellStyle name="연결된 셀 13 2 4 2 3 2" xfId="20926"/>
    <cellStyle name="연결된 셀 13 2 4 2 4" xfId="3786"/>
    <cellStyle name="연결된 셀 13 2 4 2 4 2" xfId="20927"/>
    <cellStyle name="연결된 셀 13 2 4 2 5" xfId="20924"/>
    <cellStyle name="연결된 셀 13 2 4 3" xfId="3787"/>
    <cellStyle name="연결된 셀 13 2 4 3 2" xfId="3788"/>
    <cellStyle name="연결된 셀 13 2 4 3 2 2" xfId="20929"/>
    <cellStyle name="연결된 셀 13 2 4 3 3" xfId="3789"/>
    <cellStyle name="연결된 셀 13 2 4 3 3 2" xfId="20930"/>
    <cellStyle name="연결된 셀 13 2 4 3 4" xfId="3790"/>
    <cellStyle name="연결된 셀 13 2 4 3 4 2" xfId="20931"/>
    <cellStyle name="연결된 셀 13 2 4 3 5" xfId="20928"/>
    <cellStyle name="연결된 셀 13 2 4 4" xfId="3791"/>
    <cellStyle name="연결된 셀 13 2 4 4 2" xfId="3792"/>
    <cellStyle name="연결된 셀 13 2 4 4 2 2" xfId="20933"/>
    <cellStyle name="연결된 셀 13 2 4 4 3" xfId="3793"/>
    <cellStyle name="연결된 셀 13 2 4 4 3 2" xfId="20934"/>
    <cellStyle name="연결된 셀 13 2 4 4 4" xfId="3794"/>
    <cellStyle name="연결된 셀 13 2 4 4 4 2" xfId="20935"/>
    <cellStyle name="연결된 셀 13 2 4 4 5" xfId="20932"/>
    <cellStyle name="연결된 셀 13 2 4 5" xfId="3795"/>
    <cellStyle name="연결된 셀 13 2 4 5 2" xfId="20936"/>
    <cellStyle name="연결된 셀 13 2 4 6" xfId="3796"/>
    <cellStyle name="연결된 셀 13 2 4 6 2" xfId="20937"/>
    <cellStyle name="연결된 셀 13 2 4 7" xfId="3797"/>
    <cellStyle name="연결된 셀 13 2 4 7 2" xfId="20938"/>
    <cellStyle name="연결된 셀 13 2 4 8" xfId="20923"/>
    <cellStyle name="연결된 셀 13 2 5" xfId="3798"/>
    <cellStyle name="연결된 셀 13 2 5 2" xfId="3799"/>
    <cellStyle name="연결된 셀 13 2 5 2 2" xfId="3800"/>
    <cellStyle name="연결된 셀 13 2 5 2 2 2" xfId="20941"/>
    <cellStyle name="연결된 셀 13 2 5 2 3" xfId="3801"/>
    <cellStyle name="연결된 셀 13 2 5 2 3 2" xfId="20942"/>
    <cellStyle name="연결된 셀 13 2 5 2 4" xfId="3802"/>
    <cellStyle name="연결된 셀 13 2 5 2 4 2" xfId="20943"/>
    <cellStyle name="연결된 셀 13 2 5 2 5" xfId="20940"/>
    <cellStyle name="연결된 셀 13 2 5 3" xfId="3803"/>
    <cellStyle name="연결된 셀 13 2 5 3 2" xfId="3804"/>
    <cellStyle name="연결된 셀 13 2 5 3 2 2" xfId="20945"/>
    <cellStyle name="연결된 셀 13 2 5 3 3" xfId="3805"/>
    <cellStyle name="연결된 셀 13 2 5 3 3 2" xfId="20946"/>
    <cellStyle name="연결된 셀 13 2 5 3 4" xfId="3806"/>
    <cellStyle name="연결된 셀 13 2 5 3 4 2" xfId="20947"/>
    <cellStyle name="연결된 셀 13 2 5 3 5" xfId="20944"/>
    <cellStyle name="연결된 셀 13 2 5 4" xfId="3807"/>
    <cellStyle name="연결된 셀 13 2 5 4 2" xfId="3808"/>
    <cellStyle name="연결된 셀 13 2 5 4 2 2" xfId="20949"/>
    <cellStyle name="연결된 셀 13 2 5 4 3" xfId="3809"/>
    <cellStyle name="연결된 셀 13 2 5 4 3 2" xfId="20950"/>
    <cellStyle name="연결된 셀 13 2 5 4 4" xfId="3810"/>
    <cellStyle name="연결된 셀 13 2 5 4 4 2" xfId="20951"/>
    <cellStyle name="연결된 셀 13 2 5 4 5" xfId="20948"/>
    <cellStyle name="연결된 셀 13 2 5 5" xfId="3811"/>
    <cellStyle name="연결된 셀 13 2 5 5 2" xfId="20952"/>
    <cellStyle name="연결된 셀 13 2 5 6" xfId="3812"/>
    <cellStyle name="연결된 셀 13 2 5 6 2" xfId="20953"/>
    <cellStyle name="연결된 셀 13 2 5 7" xfId="3813"/>
    <cellStyle name="연결된 셀 13 2 5 7 2" xfId="20954"/>
    <cellStyle name="연결된 셀 13 2 5 8" xfId="20939"/>
    <cellStyle name="연결된 셀 13 2 6" xfId="3814"/>
    <cellStyle name="연결된 셀 13 2 6 2" xfId="3815"/>
    <cellStyle name="연결된 셀 13 2 6 2 2" xfId="3816"/>
    <cellStyle name="연결된 셀 13 2 6 2 2 2" xfId="20957"/>
    <cellStyle name="연결된 셀 13 2 6 2 3" xfId="3817"/>
    <cellStyle name="연결된 셀 13 2 6 2 3 2" xfId="20958"/>
    <cellStyle name="연결된 셀 13 2 6 2 4" xfId="3818"/>
    <cellStyle name="연결된 셀 13 2 6 2 4 2" xfId="20959"/>
    <cellStyle name="연결된 셀 13 2 6 2 5" xfId="20956"/>
    <cellStyle name="연결된 셀 13 2 6 3" xfId="3819"/>
    <cellStyle name="연결된 셀 13 2 6 3 2" xfId="3820"/>
    <cellStyle name="연결된 셀 13 2 6 3 2 2" xfId="20961"/>
    <cellStyle name="연결된 셀 13 2 6 3 3" xfId="3821"/>
    <cellStyle name="연결된 셀 13 2 6 3 3 2" xfId="20962"/>
    <cellStyle name="연결된 셀 13 2 6 3 4" xfId="3822"/>
    <cellStyle name="연결된 셀 13 2 6 3 4 2" xfId="20963"/>
    <cellStyle name="연결된 셀 13 2 6 3 5" xfId="20960"/>
    <cellStyle name="연결된 셀 13 2 6 4" xfId="3823"/>
    <cellStyle name="연결된 셀 13 2 6 4 2" xfId="3824"/>
    <cellStyle name="연결된 셀 13 2 6 4 2 2" xfId="20965"/>
    <cellStyle name="연결된 셀 13 2 6 4 3" xfId="3825"/>
    <cellStyle name="연결된 셀 13 2 6 4 3 2" xfId="20966"/>
    <cellStyle name="연결된 셀 13 2 6 4 4" xfId="3826"/>
    <cellStyle name="연결된 셀 13 2 6 4 4 2" xfId="20967"/>
    <cellStyle name="연결된 셀 13 2 6 4 5" xfId="20964"/>
    <cellStyle name="연결된 셀 13 2 6 5" xfId="3827"/>
    <cellStyle name="연결된 셀 13 2 6 5 2" xfId="20968"/>
    <cellStyle name="연결된 셀 13 2 6 6" xfId="3828"/>
    <cellStyle name="연결된 셀 13 2 6 6 2" xfId="20969"/>
    <cellStyle name="연결된 셀 13 2 6 7" xfId="3829"/>
    <cellStyle name="연결된 셀 13 2 6 7 2" xfId="20970"/>
    <cellStyle name="연결된 셀 13 2 6 8" xfId="20955"/>
    <cellStyle name="연결된 셀 13 2 7" xfId="3830"/>
    <cellStyle name="연결된 셀 13 2 7 2" xfId="3831"/>
    <cellStyle name="연결된 셀 13 2 7 2 2" xfId="3832"/>
    <cellStyle name="연결된 셀 13 2 7 2 2 2" xfId="20973"/>
    <cellStyle name="연결된 셀 13 2 7 2 3" xfId="3833"/>
    <cellStyle name="연결된 셀 13 2 7 2 3 2" xfId="20974"/>
    <cellStyle name="연결된 셀 13 2 7 2 4" xfId="3834"/>
    <cellStyle name="연결된 셀 13 2 7 2 4 2" xfId="20975"/>
    <cellStyle name="연결된 셀 13 2 7 2 5" xfId="20972"/>
    <cellStyle name="연결된 셀 13 2 7 3" xfId="3835"/>
    <cellStyle name="연결된 셀 13 2 7 3 2" xfId="3836"/>
    <cellStyle name="연결된 셀 13 2 7 3 2 2" xfId="20977"/>
    <cellStyle name="연결된 셀 13 2 7 3 3" xfId="3837"/>
    <cellStyle name="연결된 셀 13 2 7 3 3 2" xfId="20978"/>
    <cellStyle name="연결된 셀 13 2 7 3 4" xfId="3838"/>
    <cellStyle name="연결된 셀 13 2 7 3 4 2" xfId="20979"/>
    <cellStyle name="연결된 셀 13 2 7 3 5" xfId="20976"/>
    <cellStyle name="연결된 셀 13 2 7 4" xfId="3839"/>
    <cellStyle name="연결된 셀 13 2 7 4 2" xfId="3840"/>
    <cellStyle name="연결된 셀 13 2 7 4 2 2" xfId="20981"/>
    <cellStyle name="연결된 셀 13 2 7 4 3" xfId="3841"/>
    <cellStyle name="연결된 셀 13 2 7 4 3 2" xfId="20982"/>
    <cellStyle name="연결된 셀 13 2 7 4 4" xfId="3842"/>
    <cellStyle name="연결된 셀 13 2 7 4 4 2" xfId="20983"/>
    <cellStyle name="연결된 셀 13 2 7 4 5" xfId="20980"/>
    <cellStyle name="연결된 셀 13 2 7 5" xfId="3843"/>
    <cellStyle name="연결된 셀 13 2 7 5 2" xfId="20984"/>
    <cellStyle name="연결된 셀 13 2 7 6" xfId="3844"/>
    <cellStyle name="연결된 셀 13 2 7 6 2" xfId="20985"/>
    <cellStyle name="연결된 셀 13 2 7 7" xfId="3845"/>
    <cellStyle name="연결된 셀 13 2 7 7 2" xfId="20986"/>
    <cellStyle name="연결된 셀 13 2 7 8" xfId="20971"/>
    <cellStyle name="연결된 셀 13 2 8" xfId="3846"/>
    <cellStyle name="연결된 셀 13 2 8 2" xfId="3847"/>
    <cellStyle name="연결된 셀 13 2 8 2 2" xfId="3848"/>
    <cellStyle name="연결된 셀 13 2 8 2 2 2" xfId="20989"/>
    <cellStyle name="연결된 셀 13 2 8 2 3" xfId="3849"/>
    <cellStyle name="연결된 셀 13 2 8 2 3 2" xfId="20990"/>
    <cellStyle name="연결된 셀 13 2 8 2 4" xfId="3850"/>
    <cellStyle name="연결된 셀 13 2 8 2 4 2" xfId="20991"/>
    <cellStyle name="연결된 셀 13 2 8 2 5" xfId="20988"/>
    <cellStyle name="연결된 셀 13 2 8 3" xfId="3851"/>
    <cellStyle name="연결된 셀 13 2 8 3 2" xfId="3852"/>
    <cellStyle name="연결된 셀 13 2 8 3 2 2" xfId="20993"/>
    <cellStyle name="연결된 셀 13 2 8 3 3" xfId="3853"/>
    <cellStyle name="연결된 셀 13 2 8 3 3 2" xfId="20994"/>
    <cellStyle name="연결된 셀 13 2 8 3 4" xfId="3854"/>
    <cellStyle name="연결된 셀 13 2 8 3 4 2" xfId="20995"/>
    <cellStyle name="연결된 셀 13 2 8 3 5" xfId="20992"/>
    <cellStyle name="연결된 셀 13 2 8 4" xfId="3855"/>
    <cellStyle name="연결된 셀 13 2 8 4 2" xfId="3856"/>
    <cellStyle name="연결된 셀 13 2 8 4 2 2" xfId="20997"/>
    <cellStyle name="연결된 셀 13 2 8 4 3" xfId="3857"/>
    <cellStyle name="연결된 셀 13 2 8 4 3 2" xfId="20998"/>
    <cellStyle name="연결된 셀 13 2 8 4 4" xfId="3858"/>
    <cellStyle name="연결된 셀 13 2 8 4 4 2" xfId="20999"/>
    <cellStyle name="연결된 셀 13 2 8 4 5" xfId="20996"/>
    <cellStyle name="연결된 셀 13 2 8 5" xfId="3859"/>
    <cellStyle name="연결된 셀 13 2 8 5 2" xfId="21000"/>
    <cellStyle name="연결된 셀 13 2 8 6" xfId="3860"/>
    <cellStyle name="연결된 셀 13 2 8 6 2" xfId="21001"/>
    <cellStyle name="연결된 셀 13 2 8 7" xfId="3861"/>
    <cellStyle name="연결된 셀 13 2 8 7 2" xfId="21002"/>
    <cellStyle name="연결된 셀 13 2 8 8" xfId="20987"/>
    <cellStyle name="연결된 셀 13 2 9" xfId="3862"/>
    <cellStyle name="연결된 셀 13 2 9 2" xfId="3863"/>
    <cellStyle name="연결된 셀 13 2 9 2 2" xfId="3864"/>
    <cellStyle name="연결된 셀 13 2 9 2 2 2" xfId="21005"/>
    <cellStyle name="연결된 셀 13 2 9 2 3" xfId="3865"/>
    <cellStyle name="연결된 셀 13 2 9 2 3 2" xfId="21006"/>
    <cellStyle name="연결된 셀 13 2 9 2 4" xfId="3866"/>
    <cellStyle name="연결된 셀 13 2 9 2 4 2" xfId="21007"/>
    <cellStyle name="연결된 셀 13 2 9 2 5" xfId="21004"/>
    <cellStyle name="연결된 셀 13 2 9 3" xfId="3867"/>
    <cellStyle name="연결된 셀 13 2 9 3 2" xfId="3868"/>
    <cellStyle name="연결된 셀 13 2 9 3 2 2" xfId="21009"/>
    <cellStyle name="연결된 셀 13 2 9 3 3" xfId="3869"/>
    <cellStyle name="연결된 셀 13 2 9 3 3 2" xfId="21010"/>
    <cellStyle name="연결된 셀 13 2 9 3 4" xfId="3870"/>
    <cellStyle name="연결된 셀 13 2 9 3 4 2" xfId="21011"/>
    <cellStyle name="연결된 셀 13 2 9 3 5" xfId="21008"/>
    <cellStyle name="연결된 셀 13 2 9 4" xfId="3871"/>
    <cellStyle name="연결된 셀 13 2 9 4 2" xfId="3872"/>
    <cellStyle name="연결된 셀 13 2 9 4 2 2" xfId="21013"/>
    <cellStyle name="연결된 셀 13 2 9 4 3" xfId="3873"/>
    <cellStyle name="연결된 셀 13 2 9 4 3 2" xfId="21014"/>
    <cellStyle name="연결된 셀 13 2 9 4 4" xfId="3874"/>
    <cellStyle name="연결된 셀 13 2 9 4 4 2" xfId="21015"/>
    <cellStyle name="연결된 셀 13 2 9 4 5" xfId="21012"/>
    <cellStyle name="연결된 셀 13 2 9 5" xfId="3875"/>
    <cellStyle name="연결된 셀 13 2 9 5 2" xfId="21016"/>
    <cellStyle name="연결된 셀 13 2 9 6" xfId="3876"/>
    <cellStyle name="연결된 셀 13 2 9 6 2" xfId="21017"/>
    <cellStyle name="연결된 셀 13 2 9 7" xfId="3877"/>
    <cellStyle name="연결된 셀 13 2 9 7 2" xfId="21018"/>
    <cellStyle name="연결된 셀 13 2 9 8" xfId="21003"/>
    <cellStyle name="연결된 셀 13 3" xfId="3878"/>
    <cellStyle name="연결된 셀 13 3 2" xfId="3879"/>
    <cellStyle name="연결된 셀 13 3 2 2" xfId="3880"/>
    <cellStyle name="연결된 셀 13 3 2 2 2" xfId="21021"/>
    <cellStyle name="연결된 셀 13 3 2 3" xfId="3881"/>
    <cellStyle name="연결된 셀 13 3 2 3 2" xfId="21022"/>
    <cellStyle name="연결된 셀 13 3 2 4" xfId="3882"/>
    <cellStyle name="연결된 셀 13 3 2 4 2" xfId="21023"/>
    <cellStyle name="연결된 셀 13 3 2 5" xfId="21020"/>
    <cellStyle name="연결된 셀 13 3 3" xfId="3883"/>
    <cellStyle name="연결된 셀 13 3 3 2" xfId="3884"/>
    <cellStyle name="연결된 셀 13 3 3 2 2" xfId="21025"/>
    <cellStyle name="연결된 셀 13 3 3 3" xfId="3885"/>
    <cellStyle name="연결된 셀 13 3 3 3 2" xfId="21026"/>
    <cellStyle name="연결된 셀 13 3 3 4" xfId="3886"/>
    <cellStyle name="연결된 셀 13 3 3 4 2" xfId="21027"/>
    <cellStyle name="연결된 셀 13 3 3 5" xfId="21024"/>
    <cellStyle name="연결된 셀 13 3 4" xfId="3887"/>
    <cellStyle name="연결된 셀 13 3 4 2" xfId="3888"/>
    <cellStyle name="연결된 셀 13 3 4 2 2" xfId="21029"/>
    <cellStyle name="연결된 셀 13 3 4 3" xfId="3889"/>
    <cellStyle name="연결된 셀 13 3 4 3 2" xfId="21030"/>
    <cellStyle name="연결된 셀 13 3 4 4" xfId="3890"/>
    <cellStyle name="연결된 셀 13 3 4 4 2" xfId="21031"/>
    <cellStyle name="연결된 셀 13 3 4 5" xfId="21028"/>
    <cellStyle name="연결된 셀 13 3 5" xfId="3891"/>
    <cellStyle name="연결된 셀 13 3 5 2" xfId="21032"/>
    <cellStyle name="연결된 셀 13 3 6" xfId="3892"/>
    <cellStyle name="연결된 셀 13 3 6 2" xfId="21033"/>
    <cellStyle name="연결된 셀 13 3 7" xfId="3893"/>
    <cellStyle name="연결된 셀 13 3 7 2" xfId="21034"/>
    <cellStyle name="연결된 셀 13 3 8" xfId="21019"/>
    <cellStyle name="연결된 셀 13 4" xfId="3894"/>
    <cellStyle name="연결된 셀 13 4 2" xfId="3895"/>
    <cellStyle name="연결된 셀 13 4 2 2" xfId="3896"/>
    <cellStyle name="연결된 셀 13 4 2 2 2" xfId="21037"/>
    <cellStyle name="연결된 셀 13 4 2 3" xfId="3897"/>
    <cellStyle name="연결된 셀 13 4 2 3 2" xfId="21038"/>
    <cellStyle name="연결된 셀 13 4 2 4" xfId="3898"/>
    <cellStyle name="연결된 셀 13 4 2 4 2" xfId="21039"/>
    <cellStyle name="연결된 셀 13 4 2 5" xfId="21036"/>
    <cellStyle name="연결된 셀 13 4 3" xfId="3899"/>
    <cellStyle name="연결된 셀 13 4 3 2" xfId="3900"/>
    <cellStyle name="연결된 셀 13 4 3 2 2" xfId="21041"/>
    <cellStyle name="연결된 셀 13 4 3 3" xfId="3901"/>
    <cellStyle name="연결된 셀 13 4 3 3 2" xfId="21042"/>
    <cellStyle name="연결된 셀 13 4 3 4" xfId="3902"/>
    <cellStyle name="연결된 셀 13 4 3 4 2" xfId="21043"/>
    <cellStyle name="연결된 셀 13 4 3 5" xfId="21040"/>
    <cellStyle name="연결된 셀 13 4 4" xfId="3903"/>
    <cellStyle name="연결된 셀 13 4 4 2" xfId="3904"/>
    <cellStyle name="연결된 셀 13 4 4 2 2" xfId="21045"/>
    <cellStyle name="연결된 셀 13 4 4 3" xfId="3905"/>
    <cellStyle name="연결된 셀 13 4 4 3 2" xfId="21046"/>
    <cellStyle name="연결된 셀 13 4 4 4" xfId="3906"/>
    <cellStyle name="연결된 셀 13 4 4 4 2" xfId="21047"/>
    <cellStyle name="연결된 셀 13 4 4 5" xfId="21044"/>
    <cellStyle name="연결된 셀 13 4 5" xfId="3907"/>
    <cellStyle name="연결된 셀 13 4 5 2" xfId="21048"/>
    <cellStyle name="연결된 셀 13 4 6" xfId="3908"/>
    <cellStyle name="연결된 셀 13 4 6 2" xfId="21049"/>
    <cellStyle name="연결된 셀 13 4 7" xfId="3909"/>
    <cellStyle name="연결된 셀 13 4 7 2" xfId="21050"/>
    <cellStyle name="연결된 셀 13 4 8" xfId="21035"/>
    <cellStyle name="연결된 셀 13 5" xfId="3910"/>
    <cellStyle name="연결된 셀 13 5 2" xfId="3911"/>
    <cellStyle name="연결된 셀 13 5 2 2" xfId="3912"/>
    <cellStyle name="연결된 셀 13 5 2 2 2" xfId="21053"/>
    <cellStyle name="연결된 셀 13 5 2 3" xfId="3913"/>
    <cellStyle name="연결된 셀 13 5 2 3 2" xfId="21054"/>
    <cellStyle name="연결된 셀 13 5 2 4" xfId="3914"/>
    <cellStyle name="연결된 셀 13 5 2 4 2" xfId="21055"/>
    <cellStyle name="연결된 셀 13 5 2 5" xfId="21052"/>
    <cellStyle name="연결된 셀 13 5 3" xfId="3915"/>
    <cellStyle name="연결된 셀 13 5 3 2" xfId="3916"/>
    <cellStyle name="연결된 셀 13 5 3 2 2" xfId="21057"/>
    <cellStyle name="연결된 셀 13 5 3 3" xfId="3917"/>
    <cellStyle name="연결된 셀 13 5 3 3 2" xfId="21058"/>
    <cellStyle name="연결된 셀 13 5 3 4" xfId="3918"/>
    <cellStyle name="연결된 셀 13 5 3 4 2" xfId="21059"/>
    <cellStyle name="연결된 셀 13 5 3 5" xfId="21056"/>
    <cellStyle name="연결된 셀 13 5 4" xfId="3919"/>
    <cellStyle name="연결된 셀 13 5 4 2" xfId="3920"/>
    <cellStyle name="연결된 셀 13 5 4 2 2" xfId="21061"/>
    <cellStyle name="연결된 셀 13 5 4 3" xfId="3921"/>
    <cellStyle name="연결된 셀 13 5 4 3 2" xfId="21062"/>
    <cellStyle name="연결된 셀 13 5 4 4" xfId="3922"/>
    <cellStyle name="연결된 셀 13 5 4 4 2" xfId="21063"/>
    <cellStyle name="연결된 셀 13 5 4 5" xfId="21060"/>
    <cellStyle name="연결된 셀 13 5 5" xfId="3923"/>
    <cellStyle name="연결된 셀 13 5 5 2" xfId="21064"/>
    <cellStyle name="연결된 셀 13 5 6" xfId="3924"/>
    <cellStyle name="연결된 셀 13 5 6 2" xfId="21065"/>
    <cellStyle name="연결된 셀 13 5 7" xfId="3925"/>
    <cellStyle name="연결된 셀 13 5 7 2" xfId="21066"/>
    <cellStyle name="연결된 셀 13 5 8" xfId="21051"/>
    <cellStyle name="연결된 셀 13 6" xfId="3926"/>
    <cellStyle name="연결된 셀 13 6 2" xfId="3927"/>
    <cellStyle name="연결된 셀 13 6 2 2" xfId="3928"/>
    <cellStyle name="연결된 셀 13 6 2 2 2" xfId="21069"/>
    <cellStyle name="연결된 셀 13 6 2 3" xfId="3929"/>
    <cellStyle name="연결된 셀 13 6 2 3 2" xfId="21070"/>
    <cellStyle name="연결된 셀 13 6 2 4" xfId="3930"/>
    <cellStyle name="연결된 셀 13 6 2 4 2" xfId="21071"/>
    <cellStyle name="연결된 셀 13 6 2 5" xfId="21068"/>
    <cellStyle name="연결된 셀 13 6 3" xfId="3931"/>
    <cellStyle name="연결된 셀 13 6 3 2" xfId="3932"/>
    <cellStyle name="연결된 셀 13 6 3 2 2" xfId="21073"/>
    <cellStyle name="연결된 셀 13 6 3 3" xfId="3933"/>
    <cellStyle name="연결된 셀 13 6 3 3 2" xfId="21074"/>
    <cellStyle name="연결된 셀 13 6 3 4" xfId="3934"/>
    <cellStyle name="연결된 셀 13 6 3 4 2" xfId="21075"/>
    <cellStyle name="연결된 셀 13 6 3 5" xfId="21072"/>
    <cellStyle name="연결된 셀 13 6 4" xfId="3935"/>
    <cellStyle name="연결된 셀 13 6 4 2" xfId="3936"/>
    <cellStyle name="연결된 셀 13 6 4 2 2" xfId="21077"/>
    <cellStyle name="연결된 셀 13 6 4 3" xfId="3937"/>
    <cellStyle name="연결된 셀 13 6 4 3 2" xfId="21078"/>
    <cellStyle name="연결된 셀 13 6 4 4" xfId="3938"/>
    <cellStyle name="연결된 셀 13 6 4 4 2" xfId="21079"/>
    <cellStyle name="연결된 셀 13 6 4 5" xfId="21076"/>
    <cellStyle name="연결된 셀 13 6 5" xfId="3939"/>
    <cellStyle name="연결된 셀 13 6 5 2" xfId="21080"/>
    <cellStyle name="연결된 셀 13 6 6" xfId="3940"/>
    <cellStyle name="연결된 셀 13 6 6 2" xfId="21081"/>
    <cellStyle name="연결된 셀 13 6 7" xfId="3941"/>
    <cellStyle name="연결된 셀 13 6 7 2" xfId="21082"/>
    <cellStyle name="연결된 셀 13 6 8" xfId="21067"/>
    <cellStyle name="연결된 셀 13 7" xfId="3942"/>
    <cellStyle name="연결된 셀 13 7 2" xfId="3943"/>
    <cellStyle name="연결된 셀 13 7 2 2" xfId="3944"/>
    <cellStyle name="연결된 셀 13 7 2 2 2" xfId="21085"/>
    <cellStyle name="연결된 셀 13 7 2 3" xfId="3945"/>
    <cellStyle name="연결된 셀 13 7 2 3 2" xfId="21086"/>
    <cellStyle name="연결된 셀 13 7 2 4" xfId="3946"/>
    <cellStyle name="연결된 셀 13 7 2 4 2" xfId="21087"/>
    <cellStyle name="연결된 셀 13 7 2 5" xfId="21084"/>
    <cellStyle name="연결된 셀 13 7 3" xfId="3947"/>
    <cellStyle name="연결된 셀 13 7 3 2" xfId="3948"/>
    <cellStyle name="연결된 셀 13 7 3 2 2" xfId="21089"/>
    <cellStyle name="연결된 셀 13 7 3 3" xfId="3949"/>
    <cellStyle name="연결된 셀 13 7 3 3 2" xfId="21090"/>
    <cellStyle name="연결된 셀 13 7 3 4" xfId="3950"/>
    <cellStyle name="연결된 셀 13 7 3 4 2" xfId="21091"/>
    <cellStyle name="연결된 셀 13 7 3 5" xfId="21088"/>
    <cellStyle name="연결된 셀 13 7 4" xfId="3951"/>
    <cellStyle name="연결된 셀 13 7 4 2" xfId="3952"/>
    <cellStyle name="연결된 셀 13 7 4 2 2" xfId="21093"/>
    <cellStyle name="연결된 셀 13 7 4 3" xfId="3953"/>
    <cellStyle name="연결된 셀 13 7 4 3 2" xfId="21094"/>
    <cellStyle name="연결된 셀 13 7 4 4" xfId="3954"/>
    <cellStyle name="연결된 셀 13 7 4 4 2" xfId="21095"/>
    <cellStyle name="연결된 셀 13 7 4 5" xfId="21092"/>
    <cellStyle name="연결된 셀 13 7 5" xfId="3955"/>
    <cellStyle name="연결된 셀 13 7 5 2" xfId="21096"/>
    <cellStyle name="연결된 셀 13 7 6" xfId="3956"/>
    <cellStyle name="연결된 셀 13 7 6 2" xfId="21097"/>
    <cellStyle name="연결된 셀 13 7 7" xfId="3957"/>
    <cellStyle name="연결된 셀 13 7 7 2" xfId="21098"/>
    <cellStyle name="연결된 셀 13 7 8" xfId="21083"/>
    <cellStyle name="연결된 셀 13 8" xfId="3958"/>
    <cellStyle name="연결된 셀 13 8 2" xfId="3959"/>
    <cellStyle name="연결된 셀 13 8 2 2" xfId="3960"/>
    <cellStyle name="연결된 셀 13 8 2 2 2" xfId="21101"/>
    <cellStyle name="연결된 셀 13 8 2 3" xfId="3961"/>
    <cellStyle name="연결된 셀 13 8 2 3 2" xfId="21102"/>
    <cellStyle name="연결된 셀 13 8 2 4" xfId="3962"/>
    <cellStyle name="연결된 셀 13 8 2 4 2" xfId="21103"/>
    <cellStyle name="연결된 셀 13 8 2 5" xfId="21100"/>
    <cellStyle name="연결된 셀 13 8 3" xfId="3963"/>
    <cellStyle name="연결된 셀 13 8 3 2" xfId="3964"/>
    <cellStyle name="연결된 셀 13 8 3 2 2" xfId="21105"/>
    <cellStyle name="연결된 셀 13 8 3 3" xfId="3965"/>
    <cellStyle name="연결된 셀 13 8 3 3 2" xfId="21106"/>
    <cellStyle name="연결된 셀 13 8 3 4" xfId="3966"/>
    <cellStyle name="연결된 셀 13 8 3 4 2" xfId="21107"/>
    <cellStyle name="연결된 셀 13 8 3 5" xfId="21104"/>
    <cellStyle name="연결된 셀 13 8 4" xfId="3967"/>
    <cellStyle name="연결된 셀 13 8 4 2" xfId="3968"/>
    <cellStyle name="연결된 셀 13 8 4 2 2" xfId="21109"/>
    <cellStyle name="연결된 셀 13 8 4 3" xfId="3969"/>
    <cellStyle name="연결된 셀 13 8 4 3 2" xfId="21110"/>
    <cellStyle name="연결된 셀 13 8 4 4" xfId="3970"/>
    <cellStyle name="연결된 셀 13 8 4 4 2" xfId="21111"/>
    <cellStyle name="연결된 셀 13 8 4 5" xfId="21108"/>
    <cellStyle name="연결된 셀 13 8 5" xfId="3971"/>
    <cellStyle name="연결된 셀 13 8 5 2" xfId="21112"/>
    <cellStyle name="연결된 셀 13 8 6" xfId="3972"/>
    <cellStyle name="연결된 셀 13 8 6 2" xfId="21113"/>
    <cellStyle name="연결된 셀 13 8 7" xfId="3973"/>
    <cellStyle name="연결된 셀 13 8 7 2" xfId="21114"/>
    <cellStyle name="연결된 셀 13 8 8" xfId="21099"/>
    <cellStyle name="연결된 셀 13 9" xfId="3974"/>
    <cellStyle name="연결된 셀 13 9 2" xfId="3975"/>
    <cellStyle name="연결된 셀 13 9 2 2" xfId="3976"/>
    <cellStyle name="연결된 셀 13 9 2 2 2" xfId="21117"/>
    <cellStyle name="연결된 셀 13 9 2 3" xfId="3977"/>
    <cellStyle name="연결된 셀 13 9 2 3 2" xfId="21118"/>
    <cellStyle name="연결된 셀 13 9 2 4" xfId="3978"/>
    <cellStyle name="연결된 셀 13 9 2 4 2" xfId="21119"/>
    <cellStyle name="연결된 셀 13 9 2 5" xfId="21116"/>
    <cellStyle name="연결된 셀 13 9 3" xfId="3979"/>
    <cellStyle name="연결된 셀 13 9 3 2" xfId="3980"/>
    <cellStyle name="연결된 셀 13 9 3 2 2" xfId="21121"/>
    <cellStyle name="연결된 셀 13 9 3 3" xfId="3981"/>
    <cellStyle name="연결된 셀 13 9 3 3 2" xfId="21122"/>
    <cellStyle name="연결된 셀 13 9 3 4" xfId="3982"/>
    <cellStyle name="연결된 셀 13 9 3 4 2" xfId="21123"/>
    <cellStyle name="연결된 셀 13 9 3 5" xfId="21120"/>
    <cellStyle name="연결된 셀 13 9 4" xfId="3983"/>
    <cellStyle name="연결된 셀 13 9 4 2" xfId="3984"/>
    <cellStyle name="연결된 셀 13 9 4 2 2" xfId="21125"/>
    <cellStyle name="연결된 셀 13 9 4 3" xfId="3985"/>
    <cellStyle name="연결된 셀 13 9 4 3 2" xfId="21126"/>
    <cellStyle name="연결된 셀 13 9 4 4" xfId="3986"/>
    <cellStyle name="연결된 셀 13 9 4 4 2" xfId="21127"/>
    <cellStyle name="연결된 셀 13 9 4 5" xfId="21124"/>
    <cellStyle name="연결된 셀 13 9 5" xfId="3987"/>
    <cellStyle name="연결된 셀 13 9 5 2" xfId="21128"/>
    <cellStyle name="연결된 셀 13 9 6" xfId="3988"/>
    <cellStyle name="연결된 셀 13 9 6 2" xfId="21129"/>
    <cellStyle name="연결된 셀 13 9 7" xfId="3989"/>
    <cellStyle name="연결된 셀 13 9 7 2" xfId="21130"/>
    <cellStyle name="연결된 셀 13 9 8" xfId="21115"/>
    <cellStyle name="연결된 셀 14" xfId="3990"/>
    <cellStyle name="연결된 셀 14 10" xfId="3991"/>
    <cellStyle name="연결된 셀 14 10 2" xfId="3992"/>
    <cellStyle name="연결된 셀 14 10 2 2" xfId="3993"/>
    <cellStyle name="연결된 셀 14 10 2 2 2" xfId="21134"/>
    <cellStyle name="연결된 셀 14 10 2 3" xfId="3994"/>
    <cellStyle name="연결된 셀 14 10 2 3 2" xfId="21135"/>
    <cellStyle name="연결된 셀 14 10 2 4" xfId="3995"/>
    <cellStyle name="연결된 셀 14 10 2 4 2" xfId="21136"/>
    <cellStyle name="연결된 셀 14 10 2 5" xfId="21133"/>
    <cellStyle name="연결된 셀 14 10 3" xfId="3996"/>
    <cellStyle name="연결된 셀 14 10 3 2" xfId="3997"/>
    <cellStyle name="연결된 셀 14 10 3 2 2" xfId="21138"/>
    <cellStyle name="연결된 셀 14 10 3 3" xfId="3998"/>
    <cellStyle name="연결된 셀 14 10 3 3 2" xfId="21139"/>
    <cellStyle name="연결된 셀 14 10 3 4" xfId="3999"/>
    <cellStyle name="연결된 셀 14 10 3 4 2" xfId="21140"/>
    <cellStyle name="연결된 셀 14 10 3 5" xfId="21137"/>
    <cellStyle name="연결된 셀 14 10 4" xfId="4000"/>
    <cellStyle name="연결된 셀 14 10 4 2" xfId="4001"/>
    <cellStyle name="연결된 셀 14 10 4 2 2" xfId="21142"/>
    <cellStyle name="연결된 셀 14 10 4 3" xfId="4002"/>
    <cellStyle name="연결된 셀 14 10 4 3 2" xfId="21143"/>
    <cellStyle name="연결된 셀 14 10 4 4" xfId="4003"/>
    <cellStyle name="연결된 셀 14 10 4 4 2" xfId="21144"/>
    <cellStyle name="연결된 셀 14 10 4 5" xfId="21141"/>
    <cellStyle name="연결된 셀 14 10 5" xfId="4004"/>
    <cellStyle name="연결된 셀 14 10 5 2" xfId="21145"/>
    <cellStyle name="연결된 셀 14 10 6" xfId="4005"/>
    <cellStyle name="연결된 셀 14 10 6 2" xfId="21146"/>
    <cellStyle name="연결된 셀 14 10 7" xfId="4006"/>
    <cellStyle name="연결된 셀 14 10 7 2" xfId="21147"/>
    <cellStyle name="연결된 셀 14 10 8" xfId="21132"/>
    <cellStyle name="연결된 셀 14 11" xfId="4007"/>
    <cellStyle name="연결된 셀 14 11 2" xfId="4008"/>
    <cellStyle name="연결된 셀 14 11 2 2" xfId="4009"/>
    <cellStyle name="연결된 셀 14 11 2 2 2" xfId="21150"/>
    <cellStyle name="연결된 셀 14 11 2 3" xfId="4010"/>
    <cellStyle name="연결된 셀 14 11 2 3 2" xfId="21151"/>
    <cellStyle name="연결된 셀 14 11 2 4" xfId="4011"/>
    <cellStyle name="연결된 셀 14 11 2 4 2" xfId="21152"/>
    <cellStyle name="연결된 셀 14 11 2 5" xfId="21149"/>
    <cellStyle name="연결된 셀 14 11 3" xfId="4012"/>
    <cellStyle name="연결된 셀 14 11 3 2" xfId="4013"/>
    <cellStyle name="연결된 셀 14 11 3 2 2" xfId="21154"/>
    <cellStyle name="연결된 셀 14 11 3 3" xfId="4014"/>
    <cellStyle name="연결된 셀 14 11 3 3 2" xfId="21155"/>
    <cellStyle name="연결된 셀 14 11 3 4" xfId="4015"/>
    <cellStyle name="연결된 셀 14 11 3 4 2" xfId="21156"/>
    <cellStyle name="연결된 셀 14 11 3 5" xfId="21153"/>
    <cellStyle name="연결된 셀 14 11 4" xfId="4016"/>
    <cellStyle name="연결된 셀 14 11 4 2" xfId="4017"/>
    <cellStyle name="연결된 셀 14 11 4 2 2" xfId="21158"/>
    <cellStyle name="연결된 셀 14 11 4 3" xfId="4018"/>
    <cellStyle name="연결된 셀 14 11 4 3 2" xfId="21159"/>
    <cellStyle name="연결된 셀 14 11 4 4" xfId="4019"/>
    <cellStyle name="연결된 셀 14 11 4 4 2" xfId="21160"/>
    <cellStyle name="연결된 셀 14 11 4 5" xfId="21157"/>
    <cellStyle name="연결된 셀 14 11 5" xfId="4020"/>
    <cellStyle name="연결된 셀 14 11 5 2" xfId="21161"/>
    <cellStyle name="연결된 셀 14 11 6" xfId="4021"/>
    <cellStyle name="연결된 셀 14 11 6 2" xfId="21162"/>
    <cellStyle name="연결된 셀 14 11 7" xfId="4022"/>
    <cellStyle name="연결된 셀 14 11 7 2" xfId="21163"/>
    <cellStyle name="연결된 셀 14 11 8" xfId="21148"/>
    <cellStyle name="연결된 셀 14 12" xfId="4023"/>
    <cellStyle name="연결된 셀 14 12 2" xfId="4024"/>
    <cellStyle name="연결된 셀 14 12 2 2" xfId="4025"/>
    <cellStyle name="연결된 셀 14 12 2 2 2" xfId="21166"/>
    <cellStyle name="연결된 셀 14 12 2 3" xfId="4026"/>
    <cellStyle name="연결된 셀 14 12 2 3 2" xfId="21167"/>
    <cellStyle name="연결된 셀 14 12 2 4" xfId="4027"/>
    <cellStyle name="연결된 셀 14 12 2 4 2" xfId="21168"/>
    <cellStyle name="연결된 셀 14 12 2 5" xfId="21165"/>
    <cellStyle name="연결된 셀 14 12 3" xfId="4028"/>
    <cellStyle name="연결된 셀 14 12 3 2" xfId="4029"/>
    <cellStyle name="연결된 셀 14 12 3 2 2" xfId="21170"/>
    <cellStyle name="연결된 셀 14 12 3 3" xfId="4030"/>
    <cellStyle name="연결된 셀 14 12 3 3 2" xfId="21171"/>
    <cellStyle name="연결된 셀 14 12 3 4" xfId="4031"/>
    <cellStyle name="연결된 셀 14 12 3 4 2" xfId="21172"/>
    <cellStyle name="연결된 셀 14 12 3 5" xfId="21169"/>
    <cellStyle name="연결된 셀 14 12 4" xfId="4032"/>
    <cellStyle name="연결된 셀 14 12 4 2" xfId="4033"/>
    <cellStyle name="연결된 셀 14 12 4 2 2" xfId="21174"/>
    <cellStyle name="연결된 셀 14 12 4 3" xfId="4034"/>
    <cellStyle name="연결된 셀 14 12 4 3 2" xfId="21175"/>
    <cellStyle name="연결된 셀 14 12 4 4" xfId="4035"/>
    <cellStyle name="연결된 셀 14 12 4 4 2" xfId="21176"/>
    <cellStyle name="연결된 셀 14 12 4 5" xfId="21173"/>
    <cellStyle name="연결된 셀 14 12 5" xfId="4036"/>
    <cellStyle name="연결된 셀 14 12 5 2" xfId="21177"/>
    <cellStyle name="연결된 셀 14 12 6" xfId="4037"/>
    <cellStyle name="연결된 셀 14 12 6 2" xfId="21178"/>
    <cellStyle name="연결된 셀 14 12 7" xfId="4038"/>
    <cellStyle name="연결된 셀 14 12 7 2" xfId="21179"/>
    <cellStyle name="연결된 셀 14 12 8" xfId="21164"/>
    <cellStyle name="연결된 셀 14 13" xfId="4039"/>
    <cellStyle name="연결된 셀 14 13 2" xfId="4040"/>
    <cellStyle name="연결된 셀 14 13 2 2" xfId="21181"/>
    <cellStyle name="연결된 셀 14 13 3" xfId="4041"/>
    <cellStyle name="연결된 셀 14 13 3 2" xfId="21182"/>
    <cellStyle name="연결된 셀 14 13 4" xfId="4042"/>
    <cellStyle name="연결된 셀 14 13 4 2" xfId="21183"/>
    <cellStyle name="연결된 셀 14 13 5" xfId="21180"/>
    <cellStyle name="연결된 셀 14 14" xfId="4043"/>
    <cellStyle name="연결된 셀 14 14 2" xfId="21184"/>
    <cellStyle name="연결된 셀 14 15" xfId="4044"/>
    <cellStyle name="연결된 셀 14 15 2" xfId="21185"/>
    <cellStyle name="연결된 셀 14 16" xfId="4045"/>
    <cellStyle name="연결된 셀 14 16 2" xfId="21186"/>
    <cellStyle name="연결된 셀 14 17" xfId="21131"/>
    <cellStyle name="연결된 셀 14 2" xfId="4046"/>
    <cellStyle name="연결된 셀 14 2 10" xfId="4047"/>
    <cellStyle name="연결된 셀 14 2 10 2" xfId="4048"/>
    <cellStyle name="연결된 셀 14 2 10 2 2" xfId="4049"/>
    <cellStyle name="연결된 셀 14 2 10 2 2 2" xfId="21190"/>
    <cellStyle name="연결된 셀 14 2 10 2 3" xfId="4050"/>
    <cellStyle name="연결된 셀 14 2 10 2 3 2" xfId="21191"/>
    <cellStyle name="연결된 셀 14 2 10 2 4" xfId="4051"/>
    <cellStyle name="연결된 셀 14 2 10 2 4 2" xfId="21192"/>
    <cellStyle name="연결된 셀 14 2 10 2 5" xfId="21189"/>
    <cellStyle name="연결된 셀 14 2 10 3" xfId="4052"/>
    <cellStyle name="연결된 셀 14 2 10 3 2" xfId="4053"/>
    <cellStyle name="연결된 셀 14 2 10 3 2 2" xfId="21194"/>
    <cellStyle name="연결된 셀 14 2 10 3 3" xfId="4054"/>
    <cellStyle name="연결된 셀 14 2 10 3 3 2" xfId="21195"/>
    <cellStyle name="연결된 셀 14 2 10 3 4" xfId="4055"/>
    <cellStyle name="연결된 셀 14 2 10 3 4 2" xfId="21196"/>
    <cellStyle name="연결된 셀 14 2 10 3 5" xfId="21193"/>
    <cellStyle name="연결된 셀 14 2 10 4" xfId="4056"/>
    <cellStyle name="연결된 셀 14 2 10 4 2" xfId="4057"/>
    <cellStyle name="연결된 셀 14 2 10 4 2 2" xfId="21198"/>
    <cellStyle name="연결된 셀 14 2 10 4 3" xfId="4058"/>
    <cellStyle name="연결된 셀 14 2 10 4 3 2" xfId="21199"/>
    <cellStyle name="연결된 셀 14 2 10 4 4" xfId="4059"/>
    <cellStyle name="연결된 셀 14 2 10 4 4 2" xfId="21200"/>
    <cellStyle name="연결된 셀 14 2 10 4 5" xfId="21197"/>
    <cellStyle name="연결된 셀 14 2 10 5" xfId="4060"/>
    <cellStyle name="연결된 셀 14 2 10 5 2" xfId="21201"/>
    <cellStyle name="연결된 셀 14 2 10 6" xfId="4061"/>
    <cellStyle name="연결된 셀 14 2 10 6 2" xfId="21202"/>
    <cellStyle name="연결된 셀 14 2 10 7" xfId="4062"/>
    <cellStyle name="연결된 셀 14 2 10 7 2" xfId="21203"/>
    <cellStyle name="연결된 셀 14 2 10 8" xfId="21188"/>
    <cellStyle name="연결된 셀 14 2 11" xfId="4063"/>
    <cellStyle name="연결된 셀 14 2 11 2" xfId="4064"/>
    <cellStyle name="연결된 셀 14 2 11 2 2" xfId="4065"/>
    <cellStyle name="연결된 셀 14 2 11 2 2 2" xfId="21206"/>
    <cellStyle name="연결된 셀 14 2 11 2 3" xfId="4066"/>
    <cellStyle name="연결된 셀 14 2 11 2 3 2" xfId="21207"/>
    <cellStyle name="연결된 셀 14 2 11 2 4" xfId="4067"/>
    <cellStyle name="연결된 셀 14 2 11 2 4 2" xfId="21208"/>
    <cellStyle name="연결된 셀 14 2 11 2 5" xfId="21205"/>
    <cellStyle name="연결된 셀 14 2 11 3" xfId="4068"/>
    <cellStyle name="연결된 셀 14 2 11 3 2" xfId="4069"/>
    <cellStyle name="연결된 셀 14 2 11 3 2 2" xfId="21210"/>
    <cellStyle name="연결된 셀 14 2 11 3 3" xfId="4070"/>
    <cellStyle name="연결된 셀 14 2 11 3 3 2" xfId="21211"/>
    <cellStyle name="연결된 셀 14 2 11 3 4" xfId="4071"/>
    <cellStyle name="연결된 셀 14 2 11 3 4 2" xfId="21212"/>
    <cellStyle name="연결된 셀 14 2 11 3 5" xfId="21209"/>
    <cellStyle name="연결된 셀 14 2 11 4" xfId="4072"/>
    <cellStyle name="연결된 셀 14 2 11 4 2" xfId="4073"/>
    <cellStyle name="연결된 셀 14 2 11 4 2 2" xfId="21214"/>
    <cellStyle name="연결된 셀 14 2 11 4 3" xfId="4074"/>
    <cellStyle name="연결된 셀 14 2 11 4 3 2" xfId="21215"/>
    <cellStyle name="연결된 셀 14 2 11 4 4" xfId="4075"/>
    <cellStyle name="연결된 셀 14 2 11 4 4 2" xfId="21216"/>
    <cellStyle name="연결된 셀 14 2 11 4 5" xfId="21213"/>
    <cellStyle name="연결된 셀 14 2 11 5" xfId="4076"/>
    <cellStyle name="연결된 셀 14 2 11 5 2" xfId="21217"/>
    <cellStyle name="연결된 셀 14 2 11 6" xfId="4077"/>
    <cellStyle name="연결된 셀 14 2 11 6 2" xfId="21218"/>
    <cellStyle name="연결된 셀 14 2 11 7" xfId="4078"/>
    <cellStyle name="연결된 셀 14 2 11 7 2" xfId="21219"/>
    <cellStyle name="연결된 셀 14 2 11 8" xfId="21204"/>
    <cellStyle name="연결된 셀 14 2 12" xfId="4079"/>
    <cellStyle name="연결된 셀 14 2 12 2" xfId="4080"/>
    <cellStyle name="연결된 셀 14 2 12 2 2" xfId="21221"/>
    <cellStyle name="연결된 셀 14 2 12 3" xfId="4081"/>
    <cellStyle name="연결된 셀 14 2 12 3 2" xfId="21222"/>
    <cellStyle name="연결된 셀 14 2 12 4" xfId="4082"/>
    <cellStyle name="연결된 셀 14 2 12 4 2" xfId="21223"/>
    <cellStyle name="연결된 셀 14 2 12 5" xfId="21220"/>
    <cellStyle name="연결된 셀 14 2 13" xfId="4083"/>
    <cellStyle name="연결된 셀 14 2 13 2" xfId="21224"/>
    <cellStyle name="연결된 셀 14 2 14" xfId="4084"/>
    <cellStyle name="연결된 셀 14 2 14 2" xfId="21225"/>
    <cellStyle name="연결된 셀 14 2 15" xfId="4085"/>
    <cellStyle name="연결된 셀 14 2 15 2" xfId="21226"/>
    <cellStyle name="연결된 셀 14 2 16" xfId="21187"/>
    <cellStyle name="연결된 셀 14 2 2" xfId="4086"/>
    <cellStyle name="연결된 셀 14 2 2 2" xfId="4087"/>
    <cellStyle name="연결된 셀 14 2 2 2 2" xfId="4088"/>
    <cellStyle name="연결된 셀 14 2 2 2 2 2" xfId="21229"/>
    <cellStyle name="연결된 셀 14 2 2 2 3" xfId="4089"/>
    <cellStyle name="연결된 셀 14 2 2 2 3 2" xfId="21230"/>
    <cellStyle name="연결된 셀 14 2 2 2 4" xfId="4090"/>
    <cellStyle name="연결된 셀 14 2 2 2 4 2" xfId="21231"/>
    <cellStyle name="연결된 셀 14 2 2 2 5" xfId="21228"/>
    <cellStyle name="연결된 셀 14 2 2 3" xfId="4091"/>
    <cellStyle name="연결된 셀 14 2 2 3 2" xfId="4092"/>
    <cellStyle name="연결된 셀 14 2 2 3 2 2" xfId="21233"/>
    <cellStyle name="연결된 셀 14 2 2 3 3" xfId="4093"/>
    <cellStyle name="연결된 셀 14 2 2 3 3 2" xfId="21234"/>
    <cellStyle name="연결된 셀 14 2 2 3 4" xfId="4094"/>
    <cellStyle name="연결된 셀 14 2 2 3 4 2" xfId="21235"/>
    <cellStyle name="연결된 셀 14 2 2 3 5" xfId="21232"/>
    <cellStyle name="연결된 셀 14 2 2 4" xfId="4095"/>
    <cellStyle name="연결된 셀 14 2 2 4 2" xfId="4096"/>
    <cellStyle name="연결된 셀 14 2 2 4 2 2" xfId="21237"/>
    <cellStyle name="연결된 셀 14 2 2 4 3" xfId="4097"/>
    <cellStyle name="연결된 셀 14 2 2 4 3 2" xfId="21238"/>
    <cellStyle name="연결된 셀 14 2 2 4 4" xfId="4098"/>
    <cellStyle name="연결된 셀 14 2 2 4 4 2" xfId="21239"/>
    <cellStyle name="연결된 셀 14 2 2 4 5" xfId="21236"/>
    <cellStyle name="연결된 셀 14 2 2 5" xfId="4099"/>
    <cellStyle name="연결된 셀 14 2 2 5 2" xfId="21240"/>
    <cellStyle name="연결된 셀 14 2 2 6" xfId="4100"/>
    <cellStyle name="연결된 셀 14 2 2 6 2" xfId="21241"/>
    <cellStyle name="연결된 셀 14 2 2 7" xfId="4101"/>
    <cellStyle name="연결된 셀 14 2 2 7 2" xfId="21242"/>
    <cellStyle name="연결된 셀 14 2 2 8" xfId="21227"/>
    <cellStyle name="연결된 셀 14 2 3" xfId="4102"/>
    <cellStyle name="연결된 셀 14 2 3 2" xfId="4103"/>
    <cellStyle name="연결된 셀 14 2 3 2 2" xfId="4104"/>
    <cellStyle name="연결된 셀 14 2 3 2 2 2" xfId="21245"/>
    <cellStyle name="연결된 셀 14 2 3 2 3" xfId="4105"/>
    <cellStyle name="연결된 셀 14 2 3 2 3 2" xfId="21246"/>
    <cellStyle name="연결된 셀 14 2 3 2 4" xfId="4106"/>
    <cellStyle name="연결된 셀 14 2 3 2 4 2" xfId="21247"/>
    <cellStyle name="연결된 셀 14 2 3 2 5" xfId="21244"/>
    <cellStyle name="연결된 셀 14 2 3 3" xfId="4107"/>
    <cellStyle name="연결된 셀 14 2 3 3 2" xfId="4108"/>
    <cellStyle name="연결된 셀 14 2 3 3 2 2" xfId="21249"/>
    <cellStyle name="연결된 셀 14 2 3 3 3" xfId="4109"/>
    <cellStyle name="연결된 셀 14 2 3 3 3 2" xfId="21250"/>
    <cellStyle name="연결된 셀 14 2 3 3 4" xfId="4110"/>
    <cellStyle name="연결된 셀 14 2 3 3 4 2" xfId="21251"/>
    <cellStyle name="연결된 셀 14 2 3 3 5" xfId="21248"/>
    <cellStyle name="연결된 셀 14 2 3 4" xfId="4111"/>
    <cellStyle name="연결된 셀 14 2 3 4 2" xfId="4112"/>
    <cellStyle name="연결된 셀 14 2 3 4 2 2" xfId="21253"/>
    <cellStyle name="연결된 셀 14 2 3 4 3" xfId="4113"/>
    <cellStyle name="연결된 셀 14 2 3 4 3 2" xfId="21254"/>
    <cellStyle name="연결된 셀 14 2 3 4 4" xfId="4114"/>
    <cellStyle name="연결된 셀 14 2 3 4 4 2" xfId="21255"/>
    <cellStyle name="연결된 셀 14 2 3 4 5" xfId="21252"/>
    <cellStyle name="연결된 셀 14 2 3 5" xfId="4115"/>
    <cellStyle name="연결된 셀 14 2 3 5 2" xfId="21256"/>
    <cellStyle name="연결된 셀 14 2 3 6" xfId="4116"/>
    <cellStyle name="연결된 셀 14 2 3 6 2" xfId="21257"/>
    <cellStyle name="연결된 셀 14 2 3 7" xfId="4117"/>
    <cellStyle name="연결된 셀 14 2 3 7 2" xfId="21258"/>
    <cellStyle name="연결된 셀 14 2 3 8" xfId="21243"/>
    <cellStyle name="연결된 셀 14 2 4" xfId="4118"/>
    <cellStyle name="연결된 셀 14 2 4 2" xfId="4119"/>
    <cellStyle name="연결된 셀 14 2 4 2 2" xfId="4120"/>
    <cellStyle name="연결된 셀 14 2 4 2 2 2" xfId="21261"/>
    <cellStyle name="연결된 셀 14 2 4 2 3" xfId="4121"/>
    <cellStyle name="연결된 셀 14 2 4 2 3 2" xfId="21262"/>
    <cellStyle name="연결된 셀 14 2 4 2 4" xfId="4122"/>
    <cellStyle name="연결된 셀 14 2 4 2 4 2" xfId="21263"/>
    <cellStyle name="연결된 셀 14 2 4 2 5" xfId="21260"/>
    <cellStyle name="연결된 셀 14 2 4 3" xfId="4123"/>
    <cellStyle name="연결된 셀 14 2 4 3 2" xfId="4124"/>
    <cellStyle name="연결된 셀 14 2 4 3 2 2" xfId="21265"/>
    <cellStyle name="연결된 셀 14 2 4 3 3" xfId="4125"/>
    <cellStyle name="연결된 셀 14 2 4 3 3 2" xfId="21266"/>
    <cellStyle name="연결된 셀 14 2 4 3 4" xfId="4126"/>
    <cellStyle name="연결된 셀 14 2 4 3 4 2" xfId="21267"/>
    <cellStyle name="연결된 셀 14 2 4 3 5" xfId="21264"/>
    <cellStyle name="연결된 셀 14 2 4 4" xfId="4127"/>
    <cellStyle name="연결된 셀 14 2 4 4 2" xfId="4128"/>
    <cellStyle name="연결된 셀 14 2 4 4 2 2" xfId="21269"/>
    <cellStyle name="연결된 셀 14 2 4 4 3" xfId="4129"/>
    <cellStyle name="연결된 셀 14 2 4 4 3 2" xfId="21270"/>
    <cellStyle name="연결된 셀 14 2 4 4 4" xfId="4130"/>
    <cellStyle name="연결된 셀 14 2 4 4 4 2" xfId="21271"/>
    <cellStyle name="연결된 셀 14 2 4 4 5" xfId="21268"/>
    <cellStyle name="연결된 셀 14 2 4 5" xfId="4131"/>
    <cellStyle name="연결된 셀 14 2 4 5 2" xfId="21272"/>
    <cellStyle name="연결된 셀 14 2 4 6" xfId="4132"/>
    <cellStyle name="연결된 셀 14 2 4 6 2" xfId="21273"/>
    <cellStyle name="연결된 셀 14 2 4 7" xfId="4133"/>
    <cellStyle name="연결된 셀 14 2 4 7 2" xfId="21274"/>
    <cellStyle name="연결된 셀 14 2 4 8" xfId="21259"/>
    <cellStyle name="연결된 셀 14 2 5" xfId="4134"/>
    <cellStyle name="연결된 셀 14 2 5 2" xfId="4135"/>
    <cellStyle name="연결된 셀 14 2 5 2 2" xfId="4136"/>
    <cellStyle name="연결된 셀 14 2 5 2 2 2" xfId="21277"/>
    <cellStyle name="연결된 셀 14 2 5 2 3" xfId="4137"/>
    <cellStyle name="연결된 셀 14 2 5 2 3 2" xfId="21278"/>
    <cellStyle name="연결된 셀 14 2 5 2 4" xfId="4138"/>
    <cellStyle name="연결된 셀 14 2 5 2 4 2" xfId="21279"/>
    <cellStyle name="연결된 셀 14 2 5 2 5" xfId="21276"/>
    <cellStyle name="연결된 셀 14 2 5 3" xfId="4139"/>
    <cellStyle name="연결된 셀 14 2 5 3 2" xfId="4140"/>
    <cellStyle name="연결된 셀 14 2 5 3 2 2" xfId="21281"/>
    <cellStyle name="연결된 셀 14 2 5 3 3" xfId="4141"/>
    <cellStyle name="연결된 셀 14 2 5 3 3 2" xfId="21282"/>
    <cellStyle name="연결된 셀 14 2 5 3 4" xfId="4142"/>
    <cellStyle name="연결된 셀 14 2 5 3 4 2" xfId="21283"/>
    <cellStyle name="연결된 셀 14 2 5 3 5" xfId="21280"/>
    <cellStyle name="연결된 셀 14 2 5 4" xfId="4143"/>
    <cellStyle name="연결된 셀 14 2 5 4 2" xfId="4144"/>
    <cellStyle name="연결된 셀 14 2 5 4 2 2" xfId="21285"/>
    <cellStyle name="연결된 셀 14 2 5 4 3" xfId="4145"/>
    <cellStyle name="연결된 셀 14 2 5 4 3 2" xfId="21286"/>
    <cellStyle name="연결된 셀 14 2 5 4 4" xfId="4146"/>
    <cellStyle name="연결된 셀 14 2 5 4 4 2" xfId="21287"/>
    <cellStyle name="연결된 셀 14 2 5 4 5" xfId="21284"/>
    <cellStyle name="연결된 셀 14 2 5 5" xfId="4147"/>
    <cellStyle name="연결된 셀 14 2 5 5 2" xfId="21288"/>
    <cellStyle name="연결된 셀 14 2 5 6" xfId="4148"/>
    <cellStyle name="연결된 셀 14 2 5 6 2" xfId="21289"/>
    <cellStyle name="연결된 셀 14 2 5 7" xfId="4149"/>
    <cellStyle name="연결된 셀 14 2 5 7 2" xfId="21290"/>
    <cellStyle name="연결된 셀 14 2 5 8" xfId="21275"/>
    <cellStyle name="연결된 셀 14 2 6" xfId="4150"/>
    <cellStyle name="연결된 셀 14 2 6 2" xfId="4151"/>
    <cellStyle name="연결된 셀 14 2 6 2 2" xfId="4152"/>
    <cellStyle name="연결된 셀 14 2 6 2 2 2" xfId="21293"/>
    <cellStyle name="연결된 셀 14 2 6 2 3" xfId="4153"/>
    <cellStyle name="연결된 셀 14 2 6 2 3 2" xfId="21294"/>
    <cellStyle name="연결된 셀 14 2 6 2 4" xfId="4154"/>
    <cellStyle name="연결된 셀 14 2 6 2 4 2" xfId="21295"/>
    <cellStyle name="연결된 셀 14 2 6 2 5" xfId="21292"/>
    <cellStyle name="연결된 셀 14 2 6 3" xfId="4155"/>
    <cellStyle name="연결된 셀 14 2 6 3 2" xfId="4156"/>
    <cellStyle name="연결된 셀 14 2 6 3 2 2" xfId="21297"/>
    <cellStyle name="연결된 셀 14 2 6 3 3" xfId="4157"/>
    <cellStyle name="연결된 셀 14 2 6 3 3 2" xfId="21298"/>
    <cellStyle name="연결된 셀 14 2 6 3 4" xfId="4158"/>
    <cellStyle name="연결된 셀 14 2 6 3 4 2" xfId="21299"/>
    <cellStyle name="연결된 셀 14 2 6 3 5" xfId="21296"/>
    <cellStyle name="연결된 셀 14 2 6 4" xfId="4159"/>
    <cellStyle name="연결된 셀 14 2 6 4 2" xfId="4160"/>
    <cellStyle name="연결된 셀 14 2 6 4 2 2" xfId="21301"/>
    <cellStyle name="연결된 셀 14 2 6 4 3" xfId="4161"/>
    <cellStyle name="연결된 셀 14 2 6 4 3 2" xfId="21302"/>
    <cellStyle name="연결된 셀 14 2 6 4 4" xfId="4162"/>
    <cellStyle name="연결된 셀 14 2 6 4 4 2" xfId="21303"/>
    <cellStyle name="연결된 셀 14 2 6 4 5" xfId="21300"/>
    <cellStyle name="연결된 셀 14 2 6 5" xfId="4163"/>
    <cellStyle name="연결된 셀 14 2 6 5 2" xfId="21304"/>
    <cellStyle name="연결된 셀 14 2 6 6" xfId="4164"/>
    <cellStyle name="연결된 셀 14 2 6 6 2" xfId="21305"/>
    <cellStyle name="연결된 셀 14 2 6 7" xfId="4165"/>
    <cellStyle name="연결된 셀 14 2 6 7 2" xfId="21306"/>
    <cellStyle name="연결된 셀 14 2 6 8" xfId="21291"/>
    <cellStyle name="연결된 셀 14 2 7" xfId="4166"/>
    <cellStyle name="연결된 셀 14 2 7 2" xfId="4167"/>
    <cellStyle name="연결된 셀 14 2 7 2 2" xfId="4168"/>
    <cellStyle name="연결된 셀 14 2 7 2 2 2" xfId="21309"/>
    <cellStyle name="연결된 셀 14 2 7 2 3" xfId="4169"/>
    <cellStyle name="연결된 셀 14 2 7 2 3 2" xfId="21310"/>
    <cellStyle name="연결된 셀 14 2 7 2 4" xfId="4170"/>
    <cellStyle name="연결된 셀 14 2 7 2 4 2" xfId="21311"/>
    <cellStyle name="연결된 셀 14 2 7 2 5" xfId="21308"/>
    <cellStyle name="연결된 셀 14 2 7 3" xfId="4171"/>
    <cellStyle name="연결된 셀 14 2 7 3 2" xfId="4172"/>
    <cellStyle name="연결된 셀 14 2 7 3 2 2" xfId="21313"/>
    <cellStyle name="연결된 셀 14 2 7 3 3" xfId="4173"/>
    <cellStyle name="연결된 셀 14 2 7 3 3 2" xfId="21314"/>
    <cellStyle name="연결된 셀 14 2 7 3 4" xfId="4174"/>
    <cellStyle name="연결된 셀 14 2 7 3 4 2" xfId="21315"/>
    <cellStyle name="연결된 셀 14 2 7 3 5" xfId="21312"/>
    <cellStyle name="연결된 셀 14 2 7 4" xfId="4175"/>
    <cellStyle name="연결된 셀 14 2 7 4 2" xfId="4176"/>
    <cellStyle name="연결된 셀 14 2 7 4 2 2" xfId="21317"/>
    <cellStyle name="연결된 셀 14 2 7 4 3" xfId="4177"/>
    <cellStyle name="연결된 셀 14 2 7 4 3 2" xfId="21318"/>
    <cellStyle name="연결된 셀 14 2 7 4 4" xfId="4178"/>
    <cellStyle name="연결된 셀 14 2 7 4 4 2" xfId="21319"/>
    <cellStyle name="연결된 셀 14 2 7 4 5" xfId="21316"/>
    <cellStyle name="연결된 셀 14 2 7 5" xfId="4179"/>
    <cellStyle name="연결된 셀 14 2 7 5 2" xfId="21320"/>
    <cellStyle name="연결된 셀 14 2 7 6" xfId="4180"/>
    <cellStyle name="연결된 셀 14 2 7 6 2" xfId="21321"/>
    <cellStyle name="연결된 셀 14 2 7 7" xfId="4181"/>
    <cellStyle name="연결된 셀 14 2 7 7 2" xfId="21322"/>
    <cellStyle name="연결된 셀 14 2 7 8" xfId="21307"/>
    <cellStyle name="연결된 셀 14 2 8" xfId="4182"/>
    <cellStyle name="연결된 셀 14 2 8 2" xfId="4183"/>
    <cellStyle name="연결된 셀 14 2 8 2 2" xfId="4184"/>
    <cellStyle name="연결된 셀 14 2 8 2 2 2" xfId="21325"/>
    <cellStyle name="연결된 셀 14 2 8 2 3" xfId="4185"/>
    <cellStyle name="연결된 셀 14 2 8 2 3 2" xfId="21326"/>
    <cellStyle name="연결된 셀 14 2 8 2 4" xfId="4186"/>
    <cellStyle name="연결된 셀 14 2 8 2 4 2" xfId="21327"/>
    <cellStyle name="연결된 셀 14 2 8 2 5" xfId="21324"/>
    <cellStyle name="연결된 셀 14 2 8 3" xfId="4187"/>
    <cellStyle name="연결된 셀 14 2 8 3 2" xfId="4188"/>
    <cellStyle name="연결된 셀 14 2 8 3 2 2" xfId="21329"/>
    <cellStyle name="연결된 셀 14 2 8 3 3" xfId="4189"/>
    <cellStyle name="연결된 셀 14 2 8 3 3 2" xfId="21330"/>
    <cellStyle name="연결된 셀 14 2 8 3 4" xfId="4190"/>
    <cellStyle name="연결된 셀 14 2 8 3 4 2" xfId="21331"/>
    <cellStyle name="연결된 셀 14 2 8 3 5" xfId="21328"/>
    <cellStyle name="연결된 셀 14 2 8 4" xfId="4191"/>
    <cellStyle name="연결된 셀 14 2 8 4 2" xfId="4192"/>
    <cellStyle name="연결된 셀 14 2 8 4 2 2" xfId="21333"/>
    <cellStyle name="연결된 셀 14 2 8 4 3" xfId="4193"/>
    <cellStyle name="연결된 셀 14 2 8 4 3 2" xfId="21334"/>
    <cellStyle name="연결된 셀 14 2 8 4 4" xfId="4194"/>
    <cellStyle name="연결된 셀 14 2 8 4 4 2" xfId="21335"/>
    <cellStyle name="연결된 셀 14 2 8 4 5" xfId="21332"/>
    <cellStyle name="연결된 셀 14 2 8 5" xfId="4195"/>
    <cellStyle name="연결된 셀 14 2 8 5 2" xfId="21336"/>
    <cellStyle name="연결된 셀 14 2 8 6" xfId="4196"/>
    <cellStyle name="연결된 셀 14 2 8 6 2" xfId="21337"/>
    <cellStyle name="연결된 셀 14 2 8 7" xfId="4197"/>
    <cellStyle name="연결된 셀 14 2 8 7 2" xfId="21338"/>
    <cellStyle name="연결된 셀 14 2 8 8" xfId="21323"/>
    <cellStyle name="연결된 셀 14 2 9" xfId="4198"/>
    <cellStyle name="연결된 셀 14 2 9 2" xfId="4199"/>
    <cellStyle name="연결된 셀 14 2 9 2 2" xfId="4200"/>
    <cellStyle name="연결된 셀 14 2 9 2 2 2" xfId="21341"/>
    <cellStyle name="연결된 셀 14 2 9 2 3" xfId="4201"/>
    <cellStyle name="연결된 셀 14 2 9 2 3 2" xfId="21342"/>
    <cellStyle name="연결된 셀 14 2 9 2 4" xfId="4202"/>
    <cellStyle name="연결된 셀 14 2 9 2 4 2" xfId="21343"/>
    <cellStyle name="연결된 셀 14 2 9 2 5" xfId="21340"/>
    <cellStyle name="연결된 셀 14 2 9 3" xfId="4203"/>
    <cellStyle name="연결된 셀 14 2 9 3 2" xfId="4204"/>
    <cellStyle name="연결된 셀 14 2 9 3 2 2" xfId="21345"/>
    <cellStyle name="연결된 셀 14 2 9 3 3" xfId="4205"/>
    <cellStyle name="연결된 셀 14 2 9 3 3 2" xfId="21346"/>
    <cellStyle name="연결된 셀 14 2 9 3 4" xfId="4206"/>
    <cellStyle name="연결된 셀 14 2 9 3 4 2" xfId="21347"/>
    <cellStyle name="연결된 셀 14 2 9 3 5" xfId="21344"/>
    <cellStyle name="연결된 셀 14 2 9 4" xfId="4207"/>
    <cellStyle name="연결된 셀 14 2 9 4 2" xfId="4208"/>
    <cellStyle name="연결된 셀 14 2 9 4 2 2" xfId="21349"/>
    <cellStyle name="연결된 셀 14 2 9 4 3" xfId="4209"/>
    <cellStyle name="연결된 셀 14 2 9 4 3 2" xfId="21350"/>
    <cellStyle name="연결된 셀 14 2 9 4 4" xfId="4210"/>
    <cellStyle name="연결된 셀 14 2 9 4 4 2" xfId="21351"/>
    <cellStyle name="연결된 셀 14 2 9 4 5" xfId="21348"/>
    <cellStyle name="연결된 셀 14 2 9 5" xfId="4211"/>
    <cellStyle name="연결된 셀 14 2 9 5 2" xfId="21352"/>
    <cellStyle name="연결된 셀 14 2 9 6" xfId="4212"/>
    <cellStyle name="연결된 셀 14 2 9 6 2" xfId="21353"/>
    <cellStyle name="연결된 셀 14 2 9 7" xfId="4213"/>
    <cellStyle name="연결된 셀 14 2 9 7 2" xfId="21354"/>
    <cellStyle name="연결된 셀 14 2 9 8" xfId="21339"/>
    <cellStyle name="연결된 셀 14 3" xfId="4214"/>
    <cellStyle name="연결된 셀 14 3 2" xfId="4215"/>
    <cellStyle name="연결된 셀 14 3 2 2" xfId="4216"/>
    <cellStyle name="연결된 셀 14 3 2 2 2" xfId="21357"/>
    <cellStyle name="연결된 셀 14 3 2 3" xfId="4217"/>
    <cellStyle name="연결된 셀 14 3 2 3 2" xfId="21358"/>
    <cellStyle name="연결된 셀 14 3 2 4" xfId="4218"/>
    <cellStyle name="연결된 셀 14 3 2 4 2" xfId="21359"/>
    <cellStyle name="연결된 셀 14 3 2 5" xfId="21356"/>
    <cellStyle name="연결된 셀 14 3 3" xfId="4219"/>
    <cellStyle name="연결된 셀 14 3 3 2" xfId="4220"/>
    <cellStyle name="연결된 셀 14 3 3 2 2" xfId="21361"/>
    <cellStyle name="연결된 셀 14 3 3 3" xfId="4221"/>
    <cellStyle name="연결된 셀 14 3 3 3 2" xfId="21362"/>
    <cellStyle name="연결된 셀 14 3 3 4" xfId="4222"/>
    <cellStyle name="연결된 셀 14 3 3 4 2" xfId="21363"/>
    <cellStyle name="연결된 셀 14 3 3 5" xfId="21360"/>
    <cellStyle name="연결된 셀 14 3 4" xfId="4223"/>
    <cellStyle name="연결된 셀 14 3 4 2" xfId="4224"/>
    <cellStyle name="연결된 셀 14 3 4 2 2" xfId="21365"/>
    <cellStyle name="연결된 셀 14 3 4 3" xfId="4225"/>
    <cellStyle name="연결된 셀 14 3 4 3 2" xfId="21366"/>
    <cellStyle name="연결된 셀 14 3 4 4" xfId="4226"/>
    <cellStyle name="연결된 셀 14 3 4 4 2" xfId="21367"/>
    <cellStyle name="연결된 셀 14 3 4 5" xfId="21364"/>
    <cellStyle name="연결된 셀 14 3 5" xfId="4227"/>
    <cellStyle name="연결된 셀 14 3 5 2" xfId="21368"/>
    <cellStyle name="연결된 셀 14 3 6" xfId="4228"/>
    <cellStyle name="연결된 셀 14 3 6 2" xfId="21369"/>
    <cellStyle name="연결된 셀 14 3 7" xfId="4229"/>
    <cellStyle name="연결된 셀 14 3 7 2" xfId="21370"/>
    <cellStyle name="연결된 셀 14 3 8" xfId="21355"/>
    <cellStyle name="연결된 셀 14 4" xfId="4230"/>
    <cellStyle name="연결된 셀 14 4 2" xfId="4231"/>
    <cellStyle name="연결된 셀 14 4 2 2" xfId="4232"/>
    <cellStyle name="연결된 셀 14 4 2 2 2" xfId="21373"/>
    <cellStyle name="연결된 셀 14 4 2 3" xfId="4233"/>
    <cellStyle name="연결된 셀 14 4 2 3 2" xfId="21374"/>
    <cellStyle name="연결된 셀 14 4 2 4" xfId="4234"/>
    <cellStyle name="연결된 셀 14 4 2 4 2" xfId="21375"/>
    <cellStyle name="연결된 셀 14 4 2 5" xfId="21372"/>
    <cellStyle name="연결된 셀 14 4 3" xfId="4235"/>
    <cellStyle name="연결된 셀 14 4 3 2" xfId="4236"/>
    <cellStyle name="연결된 셀 14 4 3 2 2" xfId="21377"/>
    <cellStyle name="연결된 셀 14 4 3 3" xfId="4237"/>
    <cellStyle name="연결된 셀 14 4 3 3 2" xfId="21378"/>
    <cellStyle name="연결된 셀 14 4 3 4" xfId="4238"/>
    <cellStyle name="연결된 셀 14 4 3 4 2" xfId="21379"/>
    <cellStyle name="연결된 셀 14 4 3 5" xfId="21376"/>
    <cellStyle name="연결된 셀 14 4 4" xfId="4239"/>
    <cellStyle name="연결된 셀 14 4 4 2" xfId="4240"/>
    <cellStyle name="연결된 셀 14 4 4 2 2" xfId="21381"/>
    <cellStyle name="연결된 셀 14 4 4 3" xfId="4241"/>
    <cellStyle name="연결된 셀 14 4 4 3 2" xfId="21382"/>
    <cellStyle name="연결된 셀 14 4 4 4" xfId="4242"/>
    <cellStyle name="연결된 셀 14 4 4 4 2" xfId="21383"/>
    <cellStyle name="연결된 셀 14 4 4 5" xfId="21380"/>
    <cellStyle name="연결된 셀 14 4 5" xfId="4243"/>
    <cellStyle name="연결된 셀 14 4 5 2" xfId="21384"/>
    <cellStyle name="연결된 셀 14 4 6" xfId="4244"/>
    <cellStyle name="연결된 셀 14 4 6 2" xfId="21385"/>
    <cellStyle name="연결된 셀 14 4 7" xfId="4245"/>
    <cellStyle name="연결된 셀 14 4 7 2" xfId="21386"/>
    <cellStyle name="연결된 셀 14 4 8" xfId="21371"/>
    <cellStyle name="연결된 셀 14 5" xfId="4246"/>
    <cellStyle name="연결된 셀 14 5 2" xfId="4247"/>
    <cellStyle name="연결된 셀 14 5 2 2" xfId="4248"/>
    <cellStyle name="연결된 셀 14 5 2 2 2" xfId="21389"/>
    <cellStyle name="연결된 셀 14 5 2 3" xfId="4249"/>
    <cellStyle name="연결된 셀 14 5 2 3 2" xfId="21390"/>
    <cellStyle name="연결된 셀 14 5 2 4" xfId="4250"/>
    <cellStyle name="연결된 셀 14 5 2 4 2" xfId="21391"/>
    <cellStyle name="연결된 셀 14 5 2 5" xfId="21388"/>
    <cellStyle name="연결된 셀 14 5 3" xfId="4251"/>
    <cellStyle name="연결된 셀 14 5 3 2" xfId="4252"/>
    <cellStyle name="연결된 셀 14 5 3 2 2" xfId="21393"/>
    <cellStyle name="연결된 셀 14 5 3 3" xfId="4253"/>
    <cellStyle name="연결된 셀 14 5 3 3 2" xfId="21394"/>
    <cellStyle name="연결된 셀 14 5 3 4" xfId="4254"/>
    <cellStyle name="연결된 셀 14 5 3 4 2" xfId="21395"/>
    <cellStyle name="연결된 셀 14 5 3 5" xfId="21392"/>
    <cellStyle name="연결된 셀 14 5 4" xfId="4255"/>
    <cellStyle name="연결된 셀 14 5 4 2" xfId="4256"/>
    <cellStyle name="연결된 셀 14 5 4 2 2" xfId="21397"/>
    <cellStyle name="연결된 셀 14 5 4 3" xfId="4257"/>
    <cellStyle name="연결된 셀 14 5 4 3 2" xfId="21398"/>
    <cellStyle name="연결된 셀 14 5 4 4" xfId="4258"/>
    <cellStyle name="연결된 셀 14 5 4 4 2" xfId="21399"/>
    <cellStyle name="연결된 셀 14 5 4 5" xfId="21396"/>
    <cellStyle name="연결된 셀 14 5 5" xfId="4259"/>
    <cellStyle name="연결된 셀 14 5 5 2" xfId="21400"/>
    <cellStyle name="연결된 셀 14 5 6" xfId="4260"/>
    <cellStyle name="연결된 셀 14 5 6 2" xfId="21401"/>
    <cellStyle name="연결된 셀 14 5 7" xfId="4261"/>
    <cellStyle name="연결된 셀 14 5 7 2" xfId="21402"/>
    <cellStyle name="연결된 셀 14 5 8" xfId="21387"/>
    <cellStyle name="연결된 셀 14 6" xfId="4262"/>
    <cellStyle name="연결된 셀 14 6 2" xfId="4263"/>
    <cellStyle name="연결된 셀 14 6 2 2" xfId="4264"/>
    <cellStyle name="연결된 셀 14 6 2 2 2" xfId="21405"/>
    <cellStyle name="연결된 셀 14 6 2 3" xfId="4265"/>
    <cellStyle name="연결된 셀 14 6 2 3 2" xfId="21406"/>
    <cellStyle name="연결된 셀 14 6 2 4" xfId="4266"/>
    <cellStyle name="연결된 셀 14 6 2 4 2" xfId="21407"/>
    <cellStyle name="연결된 셀 14 6 2 5" xfId="21404"/>
    <cellStyle name="연결된 셀 14 6 3" xfId="4267"/>
    <cellStyle name="연결된 셀 14 6 3 2" xfId="4268"/>
    <cellStyle name="연결된 셀 14 6 3 2 2" xfId="21409"/>
    <cellStyle name="연결된 셀 14 6 3 3" xfId="4269"/>
    <cellStyle name="연결된 셀 14 6 3 3 2" xfId="21410"/>
    <cellStyle name="연결된 셀 14 6 3 4" xfId="4270"/>
    <cellStyle name="연결된 셀 14 6 3 4 2" xfId="21411"/>
    <cellStyle name="연결된 셀 14 6 3 5" xfId="21408"/>
    <cellStyle name="연결된 셀 14 6 4" xfId="4271"/>
    <cellStyle name="연결된 셀 14 6 4 2" xfId="4272"/>
    <cellStyle name="연결된 셀 14 6 4 2 2" xfId="21413"/>
    <cellStyle name="연결된 셀 14 6 4 3" xfId="4273"/>
    <cellStyle name="연결된 셀 14 6 4 3 2" xfId="21414"/>
    <cellStyle name="연결된 셀 14 6 4 4" xfId="4274"/>
    <cellStyle name="연결된 셀 14 6 4 4 2" xfId="21415"/>
    <cellStyle name="연결된 셀 14 6 4 5" xfId="21412"/>
    <cellStyle name="연결된 셀 14 6 5" xfId="4275"/>
    <cellStyle name="연결된 셀 14 6 5 2" xfId="21416"/>
    <cellStyle name="연결된 셀 14 6 6" xfId="4276"/>
    <cellStyle name="연결된 셀 14 6 6 2" xfId="21417"/>
    <cellStyle name="연결된 셀 14 6 7" xfId="4277"/>
    <cellStyle name="연결된 셀 14 6 7 2" xfId="21418"/>
    <cellStyle name="연결된 셀 14 6 8" xfId="21403"/>
    <cellStyle name="연결된 셀 14 7" xfId="4278"/>
    <cellStyle name="연결된 셀 14 7 2" xfId="4279"/>
    <cellStyle name="연결된 셀 14 7 2 2" xfId="4280"/>
    <cellStyle name="연결된 셀 14 7 2 2 2" xfId="21421"/>
    <cellStyle name="연결된 셀 14 7 2 3" xfId="4281"/>
    <cellStyle name="연결된 셀 14 7 2 3 2" xfId="21422"/>
    <cellStyle name="연결된 셀 14 7 2 4" xfId="4282"/>
    <cellStyle name="연결된 셀 14 7 2 4 2" xfId="21423"/>
    <cellStyle name="연결된 셀 14 7 2 5" xfId="21420"/>
    <cellStyle name="연결된 셀 14 7 3" xfId="4283"/>
    <cellStyle name="연결된 셀 14 7 3 2" xfId="4284"/>
    <cellStyle name="연결된 셀 14 7 3 2 2" xfId="21425"/>
    <cellStyle name="연결된 셀 14 7 3 3" xfId="4285"/>
    <cellStyle name="연결된 셀 14 7 3 3 2" xfId="21426"/>
    <cellStyle name="연결된 셀 14 7 3 4" xfId="4286"/>
    <cellStyle name="연결된 셀 14 7 3 4 2" xfId="21427"/>
    <cellStyle name="연결된 셀 14 7 3 5" xfId="21424"/>
    <cellStyle name="연결된 셀 14 7 4" xfId="4287"/>
    <cellStyle name="연결된 셀 14 7 4 2" xfId="4288"/>
    <cellStyle name="연결된 셀 14 7 4 2 2" xfId="21429"/>
    <cellStyle name="연결된 셀 14 7 4 3" xfId="4289"/>
    <cellStyle name="연결된 셀 14 7 4 3 2" xfId="21430"/>
    <cellStyle name="연결된 셀 14 7 4 4" xfId="4290"/>
    <cellStyle name="연결된 셀 14 7 4 4 2" xfId="21431"/>
    <cellStyle name="연결된 셀 14 7 4 5" xfId="21428"/>
    <cellStyle name="연결된 셀 14 7 5" xfId="4291"/>
    <cellStyle name="연결된 셀 14 7 5 2" xfId="21432"/>
    <cellStyle name="연결된 셀 14 7 6" xfId="4292"/>
    <cellStyle name="연결된 셀 14 7 6 2" xfId="21433"/>
    <cellStyle name="연결된 셀 14 7 7" xfId="4293"/>
    <cellStyle name="연결된 셀 14 7 7 2" xfId="21434"/>
    <cellStyle name="연결된 셀 14 7 8" xfId="21419"/>
    <cellStyle name="연결된 셀 14 8" xfId="4294"/>
    <cellStyle name="연결된 셀 14 8 2" xfId="4295"/>
    <cellStyle name="연결된 셀 14 8 2 2" xfId="4296"/>
    <cellStyle name="연결된 셀 14 8 2 2 2" xfId="21437"/>
    <cellStyle name="연결된 셀 14 8 2 3" xfId="4297"/>
    <cellStyle name="연결된 셀 14 8 2 3 2" xfId="21438"/>
    <cellStyle name="연결된 셀 14 8 2 4" xfId="4298"/>
    <cellStyle name="연결된 셀 14 8 2 4 2" xfId="21439"/>
    <cellStyle name="연결된 셀 14 8 2 5" xfId="21436"/>
    <cellStyle name="연결된 셀 14 8 3" xfId="4299"/>
    <cellStyle name="연결된 셀 14 8 3 2" xfId="4300"/>
    <cellStyle name="연결된 셀 14 8 3 2 2" xfId="21441"/>
    <cellStyle name="연결된 셀 14 8 3 3" xfId="4301"/>
    <cellStyle name="연결된 셀 14 8 3 3 2" xfId="21442"/>
    <cellStyle name="연결된 셀 14 8 3 4" xfId="4302"/>
    <cellStyle name="연결된 셀 14 8 3 4 2" xfId="21443"/>
    <cellStyle name="연결된 셀 14 8 3 5" xfId="21440"/>
    <cellStyle name="연결된 셀 14 8 4" xfId="4303"/>
    <cellStyle name="연결된 셀 14 8 4 2" xfId="4304"/>
    <cellStyle name="연결된 셀 14 8 4 2 2" xfId="21445"/>
    <cellStyle name="연결된 셀 14 8 4 3" xfId="4305"/>
    <cellStyle name="연결된 셀 14 8 4 3 2" xfId="21446"/>
    <cellStyle name="연결된 셀 14 8 4 4" xfId="4306"/>
    <cellStyle name="연결된 셀 14 8 4 4 2" xfId="21447"/>
    <cellStyle name="연결된 셀 14 8 4 5" xfId="21444"/>
    <cellStyle name="연결된 셀 14 8 5" xfId="4307"/>
    <cellStyle name="연결된 셀 14 8 5 2" xfId="21448"/>
    <cellStyle name="연결된 셀 14 8 6" xfId="4308"/>
    <cellStyle name="연결된 셀 14 8 6 2" xfId="21449"/>
    <cellStyle name="연결된 셀 14 8 7" xfId="4309"/>
    <cellStyle name="연결된 셀 14 8 7 2" xfId="21450"/>
    <cellStyle name="연결된 셀 14 8 8" xfId="21435"/>
    <cellStyle name="연결된 셀 14 9" xfId="4310"/>
    <cellStyle name="연결된 셀 14 9 2" xfId="4311"/>
    <cellStyle name="연결된 셀 14 9 2 2" xfId="4312"/>
    <cellStyle name="연결된 셀 14 9 2 2 2" xfId="21453"/>
    <cellStyle name="연결된 셀 14 9 2 3" xfId="4313"/>
    <cellStyle name="연결된 셀 14 9 2 3 2" xfId="21454"/>
    <cellStyle name="연결된 셀 14 9 2 4" xfId="4314"/>
    <cellStyle name="연결된 셀 14 9 2 4 2" xfId="21455"/>
    <cellStyle name="연결된 셀 14 9 2 5" xfId="21452"/>
    <cellStyle name="연결된 셀 14 9 3" xfId="4315"/>
    <cellStyle name="연결된 셀 14 9 3 2" xfId="4316"/>
    <cellStyle name="연결된 셀 14 9 3 2 2" xfId="21457"/>
    <cellStyle name="연결된 셀 14 9 3 3" xfId="4317"/>
    <cellStyle name="연결된 셀 14 9 3 3 2" xfId="21458"/>
    <cellStyle name="연결된 셀 14 9 3 4" xfId="4318"/>
    <cellStyle name="연결된 셀 14 9 3 4 2" xfId="21459"/>
    <cellStyle name="연결된 셀 14 9 3 5" xfId="21456"/>
    <cellStyle name="연결된 셀 14 9 4" xfId="4319"/>
    <cellStyle name="연결된 셀 14 9 4 2" xfId="4320"/>
    <cellStyle name="연결된 셀 14 9 4 2 2" xfId="21461"/>
    <cellStyle name="연결된 셀 14 9 4 3" xfId="4321"/>
    <cellStyle name="연결된 셀 14 9 4 3 2" xfId="21462"/>
    <cellStyle name="연결된 셀 14 9 4 4" xfId="4322"/>
    <cellStyle name="연결된 셀 14 9 4 4 2" xfId="21463"/>
    <cellStyle name="연결된 셀 14 9 4 5" xfId="21460"/>
    <cellStyle name="연결된 셀 14 9 5" xfId="4323"/>
    <cellStyle name="연결된 셀 14 9 5 2" xfId="21464"/>
    <cellStyle name="연결된 셀 14 9 6" xfId="4324"/>
    <cellStyle name="연결된 셀 14 9 6 2" xfId="21465"/>
    <cellStyle name="연결된 셀 14 9 7" xfId="4325"/>
    <cellStyle name="연결된 셀 14 9 7 2" xfId="21466"/>
    <cellStyle name="연결된 셀 14 9 8" xfId="21451"/>
    <cellStyle name="연결된 셀 15" xfId="4326"/>
    <cellStyle name="연결된 셀 15 10" xfId="4327"/>
    <cellStyle name="연결된 셀 15 10 2" xfId="4328"/>
    <cellStyle name="연결된 셀 15 10 2 2" xfId="4329"/>
    <cellStyle name="연결된 셀 15 10 2 2 2" xfId="21470"/>
    <cellStyle name="연결된 셀 15 10 2 3" xfId="4330"/>
    <cellStyle name="연결된 셀 15 10 2 3 2" xfId="21471"/>
    <cellStyle name="연결된 셀 15 10 2 4" xfId="4331"/>
    <cellStyle name="연결된 셀 15 10 2 4 2" xfId="21472"/>
    <cellStyle name="연결된 셀 15 10 2 5" xfId="21469"/>
    <cellStyle name="연결된 셀 15 10 3" xfId="4332"/>
    <cellStyle name="연결된 셀 15 10 3 2" xfId="4333"/>
    <cellStyle name="연결된 셀 15 10 3 2 2" xfId="21474"/>
    <cellStyle name="연결된 셀 15 10 3 3" xfId="4334"/>
    <cellStyle name="연결된 셀 15 10 3 3 2" xfId="21475"/>
    <cellStyle name="연결된 셀 15 10 3 4" xfId="4335"/>
    <cellStyle name="연결된 셀 15 10 3 4 2" xfId="21476"/>
    <cellStyle name="연결된 셀 15 10 3 5" xfId="21473"/>
    <cellStyle name="연결된 셀 15 10 4" xfId="4336"/>
    <cellStyle name="연결된 셀 15 10 4 2" xfId="4337"/>
    <cellStyle name="연결된 셀 15 10 4 2 2" xfId="21478"/>
    <cellStyle name="연결된 셀 15 10 4 3" xfId="4338"/>
    <cellStyle name="연결된 셀 15 10 4 3 2" xfId="21479"/>
    <cellStyle name="연결된 셀 15 10 4 4" xfId="4339"/>
    <cellStyle name="연결된 셀 15 10 4 4 2" xfId="21480"/>
    <cellStyle name="연결된 셀 15 10 4 5" xfId="21477"/>
    <cellStyle name="연결된 셀 15 10 5" xfId="4340"/>
    <cellStyle name="연결된 셀 15 10 5 2" xfId="21481"/>
    <cellStyle name="연결된 셀 15 10 6" xfId="4341"/>
    <cellStyle name="연결된 셀 15 10 6 2" xfId="21482"/>
    <cellStyle name="연결된 셀 15 10 7" xfId="4342"/>
    <cellStyle name="연결된 셀 15 10 7 2" xfId="21483"/>
    <cellStyle name="연결된 셀 15 10 8" xfId="21468"/>
    <cellStyle name="연결된 셀 15 11" xfId="4343"/>
    <cellStyle name="연결된 셀 15 11 2" xfId="4344"/>
    <cellStyle name="연결된 셀 15 11 2 2" xfId="4345"/>
    <cellStyle name="연결된 셀 15 11 2 2 2" xfId="21486"/>
    <cellStyle name="연결된 셀 15 11 2 3" xfId="4346"/>
    <cellStyle name="연결된 셀 15 11 2 3 2" xfId="21487"/>
    <cellStyle name="연결된 셀 15 11 2 4" xfId="4347"/>
    <cellStyle name="연결된 셀 15 11 2 4 2" xfId="21488"/>
    <cellStyle name="연결된 셀 15 11 2 5" xfId="21485"/>
    <cellStyle name="연결된 셀 15 11 3" xfId="4348"/>
    <cellStyle name="연결된 셀 15 11 3 2" xfId="4349"/>
    <cellStyle name="연결된 셀 15 11 3 2 2" xfId="21490"/>
    <cellStyle name="연결된 셀 15 11 3 3" xfId="4350"/>
    <cellStyle name="연결된 셀 15 11 3 3 2" xfId="21491"/>
    <cellStyle name="연결된 셀 15 11 3 4" xfId="4351"/>
    <cellStyle name="연결된 셀 15 11 3 4 2" xfId="21492"/>
    <cellStyle name="연결된 셀 15 11 3 5" xfId="21489"/>
    <cellStyle name="연결된 셀 15 11 4" xfId="4352"/>
    <cellStyle name="연결된 셀 15 11 4 2" xfId="4353"/>
    <cellStyle name="연결된 셀 15 11 4 2 2" xfId="21494"/>
    <cellStyle name="연결된 셀 15 11 4 3" xfId="4354"/>
    <cellStyle name="연결된 셀 15 11 4 3 2" xfId="21495"/>
    <cellStyle name="연결된 셀 15 11 4 4" xfId="4355"/>
    <cellStyle name="연결된 셀 15 11 4 4 2" xfId="21496"/>
    <cellStyle name="연결된 셀 15 11 4 5" xfId="21493"/>
    <cellStyle name="연결된 셀 15 11 5" xfId="4356"/>
    <cellStyle name="연결된 셀 15 11 5 2" xfId="21497"/>
    <cellStyle name="연결된 셀 15 11 6" xfId="4357"/>
    <cellStyle name="연결된 셀 15 11 6 2" xfId="21498"/>
    <cellStyle name="연결된 셀 15 11 7" xfId="4358"/>
    <cellStyle name="연결된 셀 15 11 7 2" xfId="21499"/>
    <cellStyle name="연결된 셀 15 11 8" xfId="21484"/>
    <cellStyle name="연결된 셀 15 12" xfId="4359"/>
    <cellStyle name="연결된 셀 15 12 2" xfId="4360"/>
    <cellStyle name="연결된 셀 15 12 2 2" xfId="4361"/>
    <cellStyle name="연결된 셀 15 12 2 2 2" xfId="21502"/>
    <cellStyle name="연결된 셀 15 12 2 3" xfId="4362"/>
    <cellStyle name="연결된 셀 15 12 2 3 2" xfId="21503"/>
    <cellStyle name="연결된 셀 15 12 2 4" xfId="4363"/>
    <cellStyle name="연결된 셀 15 12 2 4 2" xfId="21504"/>
    <cellStyle name="연결된 셀 15 12 2 5" xfId="21501"/>
    <cellStyle name="연결된 셀 15 12 3" xfId="4364"/>
    <cellStyle name="연결된 셀 15 12 3 2" xfId="4365"/>
    <cellStyle name="연결된 셀 15 12 3 2 2" xfId="21506"/>
    <cellStyle name="연결된 셀 15 12 3 3" xfId="4366"/>
    <cellStyle name="연결된 셀 15 12 3 3 2" xfId="21507"/>
    <cellStyle name="연결된 셀 15 12 3 4" xfId="4367"/>
    <cellStyle name="연결된 셀 15 12 3 4 2" xfId="21508"/>
    <cellStyle name="연결된 셀 15 12 3 5" xfId="21505"/>
    <cellStyle name="연결된 셀 15 12 4" xfId="4368"/>
    <cellStyle name="연결된 셀 15 12 4 2" xfId="4369"/>
    <cellStyle name="연결된 셀 15 12 4 2 2" xfId="21510"/>
    <cellStyle name="연결된 셀 15 12 4 3" xfId="4370"/>
    <cellStyle name="연결된 셀 15 12 4 3 2" xfId="21511"/>
    <cellStyle name="연결된 셀 15 12 4 4" xfId="4371"/>
    <cellStyle name="연결된 셀 15 12 4 4 2" xfId="21512"/>
    <cellStyle name="연결된 셀 15 12 4 5" xfId="21509"/>
    <cellStyle name="연결된 셀 15 12 5" xfId="4372"/>
    <cellStyle name="연결된 셀 15 12 5 2" xfId="21513"/>
    <cellStyle name="연결된 셀 15 12 6" xfId="4373"/>
    <cellStyle name="연결된 셀 15 12 6 2" xfId="21514"/>
    <cellStyle name="연결된 셀 15 12 7" xfId="4374"/>
    <cellStyle name="연결된 셀 15 12 7 2" xfId="21515"/>
    <cellStyle name="연결된 셀 15 12 8" xfId="21500"/>
    <cellStyle name="연결된 셀 15 13" xfId="4375"/>
    <cellStyle name="연결된 셀 15 13 2" xfId="4376"/>
    <cellStyle name="연결된 셀 15 13 2 2" xfId="21517"/>
    <cellStyle name="연결된 셀 15 13 3" xfId="4377"/>
    <cellStyle name="연결된 셀 15 13 3 2" xfId="21518"/>
    <cellStyle name="연결된 셀 15 13 4" xfId="4378"/>
    <cellStyle name="연결된 셀 15 13 4 2" xfId="21519"/>
    <cellStyle name="연결된 셀 15 13 5" xfId="21516"/>
    <cellStyle name="연결된 셀 15 14" xfId="4379"/>
    <cellStyle name="연결된 셀 15 14 2" xfId="21520"/>
    <cellStyle name="연결된 셀 15 15" xfId="4380"/>
    <cellStyle name="연결된 셀 15 15 2" xfId="21521"/>
    <cellStyle name="연결된 셀 15 16" xfId="4381"/>
    <cellStyle name="연결된 셀 15 16 2" xfId="21522"/>
    <cellStyle name="연결된 셀 15 17" xfId="21467"/>
    <cellStyle name="연결된 셀 15 2" xfId="4382"/>
    <cellStyle name="연결된 셀 15 2 10" xfId="4383"/>
    <cellStyle name="연결된 셀 15 2 10 2" xfId="4384"/>
    <cellStyle name="연결된 셀 15 2 10 2 2" xfId="4385"/>
    <cellStyle name="연결된 셀 15 2 10 2 2 2" xfId="21526"/>
    <cellStyle name="연결된 셀 15 2 10 2 3" xfId="4386"/>
    <cellStyle name="연결된 셀 15 2 10 2 3 2" xfId="21527"/>
    <cellStyle name="연결된 셀 15 2 10 2 4" xfId="4387"/>
    <cellStyle name="연결된 셀 15 2 10 2 4 2" xfId="21528"/>
    <cellStyle name="연결된 셀 15 2 10 2 5" xfId="21525"/>
    <cellStyle name="연결된 셀 15 2 10 3" xfId="4388"/>
    <cellStyle name="연결된 셀 15 2 10 3 2" xfId="4389"/>
    <cellStyle name="연결된 셀 15 2 10 3 2 2" xfId="21530"/>
    <cellStyle name="연결된 셀 15 2 10 3 3" xfId="4390"/>
    <cellStyle name="연결된 셀 15 2 10 3 3 2" xfId="21531"/>
    <cellStyle name="연결된 셀 15 2 10 3 4" xfId="4391"/>
    <cellStyle name="연결된 셀 15 2 10 3 4 2" xfId="21532"/>
    <cellStyle name="연결된 셀 15 2 10 3 5" xfId="21529"/>
    <cellStyle name="연결된 셀 15 2 10 4" xfId="4392"/>
    <cellStyle name="연결된 셀 15 2 10 4 2" xfId="4393"/>
    <cellStyle name="연결된 셀 15 2 10 4 2 2" xfId="21534"/>
    <cellStyle name="연결된 셀 15 2 10 4 3" xfId="4394"/>
    <cellStyle name="연결된 셀 15 2 10 4 3 2" xfId="21535"/>
    <cellStyle name="연결된 셀 15 2 10 4 4" xfId="4395"/>
    <cellStyle name="연결된 셀 15 2 10 4 4 2" xfId="21536"/>
    <cellStyle name="연결된 셀 15 2 10 4 5" xfId="21533"/>
    <cellStyle name="연결된 셀 15 2 10 5" xfId="4396"/>
    <cellStyle name="연결된 셀 15 2 10 5 2" xfId="21537"/>
    <cellStyle name="연결된 셀 15 2 10 6" xfId="4397"/>
    <cellStyle name="연결된 셀 15 2 10 6 2" xfId="21538"/>
    <cellStyle name="연결된 셀 15 2 10 7" xfId="4398"/>
    <cellStyle name="연결된 셀 15 2 10 7 2" xfId="21539"/>
    <cellStyle name="연결된 셀 15 2 10 8" xfId="21524"/>
    <cellStyle name="연결된 셀 15 2 11" xfId="4399"/>
    <cellStyle name="연결된 셀 15 2 11 2" xfId="4400"/>
    <cellStyle name="연결된 셀 15 2 11 2 2" xfId="4401"/>
    <cellStyle name="연결된 셀 15 2 11 2 2 2" xfId="21542"/>
    <cellStyle name="연결된 셀 15 2 11 2 3" xfId="4402"/>
    <cellStyle name="연결된 셀 15 2 11 2 3 2" xfId="21543"/>
    <cellStyle name="연결된 셀 15 2 11 2 4" xfId="4403"/>
    <cellStyle name="연결된 셀 15 2 11 2 4 2" xfId="21544"/>
    <cellStyle name="연결된 셀 15 2 11 2 5" xfId="21541"/>
    <cellStyle name="연결된 셀 15 2 11 3" xfId="4404"/>
    <cellStyle name="연결된 셀 15 2 11 3 2" xfId="4405"/>
    <cellStyle name="연결된 셀 15 2 11 3 2 2" xfId="21546"/>
    <cellStyle name="연결된 셀 15 2 11 3 3" xfId="4406"/>
    <cellStyle name="연결된 셀 15 2 11 3 3 2" xfId="21547"/>
    <cellStyle name="연결된 셀 15 2 11 3 4" xfId="4407"/>
    <cellStyle name="연결된 셀 15 2 11 3 4 2" xfId="21548"/>
    <cellStyle name="연결된 셀 15 2 11 3 5" xfId="21545"/>
    <cellStyle name="연결된 셀 15 2 11 4" xfId="4408"/>
    <cellStyle name="연결된 셀 15 2 11 4 2" xfId="4409"/>
    <cellStyle name="연결된 셀 15 2 11 4 2 2" xfId="21550"/>
    <cellStyle name="연결된 셀 15 2 11 4 3" xfId="4410"/>
    <cellStyle name="연결된 셀 15 2 11 4 3 2" xfId="21551"/>
    <cellStyle name="연결된 셀 15 2 11 4 4" xfId="4411"/>
    <cellStyle name="연결된 셀 15 2 11 4 4 2" xfId="21552"/>
    <cellStyle name="연결된 셀 15 2 11 4 5" xfId="21549"/>
    <cellStyle name="연결된 셀 15 2 11 5" xfId="4412"/>
    <cellStyle name="연결된 셀 15 2 11 5 2" xfId="21553"/>
    <cellStyle name="연결된 셀 15 2 11 6" xfId="4413"/>
    <cellStyle name="연결된 셀 15 2 11 6 2" xfId="21554"/>
    <cellStyle name="연결된 셀 15 2 11 7" xfId="4414"/>
    <cellStyle name="연결된 셀 15 2 11 7 2" xfId="21555"/>
    <cellStyle name="연결된 셀 15 2 11 8" xfId="21540"/>
    <cellStyle name="연결된 셀 15 2 12" xfId="4415"/>
    <cellStyle name="연결된 셀 15 2 12 2" xfId="4416"/>
    <cellStyle name="연결된 셀 15 2 12 2 2" xfId="21557"/>
    <cellStyle name="연결된 셀 15 2 12 3" xfId="4417"/>
    <cellStyle name="연결된 셀 15 2 12 3 2" xfId="21558"/>
    <cellStyle name="연결된 셀 15 2 12 4" xfId="4418"/>
    <cellStyle name="연결된 셀 15 2 12 4 2" xfId="21559"/>
    <cellStyle name="연결된 셀 15 2 12 5" xfId="21556"/>
    <cellStyle name="연결된 셀 15 2 13" xfId="4419"/>
    <cellStyle name="연결된 셀 15 2 13 2" xfId="21560"/>
    <cellStyle name="연결된 셀 15 2 14" xfId="4420"/>
    <cellStyle name="연결된 셀 15 2 14 2" xfId="21561"/>
    <cellStyle name="연결된 셀 15 2 15" xfId="4421"/>
    <cellStyle name="연결된 셀 15 2 15 2" xfId="21562"/>
    <cellStyle name="연결된 셀 15 2 16" xfId="21523"/>
    <cellStyle name="연결된 셀 15 2 2" xfId="4422"/>
    <cellStyle name="연결된 셀 15 2 2 2" xfId="4423"/>
    <cellStyle name="연결된 셀 15 2 2 2 2" xfId="4424"/>
    <cellStyle name="연결된 셀 15 2 2 2 2 2" xfId="21565"/>
    <cellStyle name="연결된 셀 15 2 2 2 3" xfId="4425"/>
    <cellStyle name="연결된 셀 15 2 2 2 3 2" xfId="21566"/>
    <cellStyle name="연결된 셀 15 2 2 2 4" xfId="4426"/>
    <cellStyle name="연결된 셀 15 2 2 2 4 2" xfId="21567"/>
    <cellStyle name="연결된 셀 15 2 2 2 5" xfId="21564"/>
    <cellStyle name="연결된 셀 15 2 2 3" xfId="4427"/>
    <cellStyle name="연결된 셀 15 2 2 3 2" xfId="4428"/>
    <cellStyle name="연결된 셀 15 2 2 3 2 2" xfId="21569"/>
    <cellStyle name="연결된 셀 15 2 2 3 3" xfId="4429"/>
    <cellStyle name="연결된 셀 15 2 2 3 3 2" xfId="21570"/>
    <cellStyle name="연결된 셀 15 2 2 3 4" xfId="4430"/>
    <cellStyle name="연결된 셀 15 2 2 3 4 2" xfId="21571"/>
    <cellStyle name="연결된 셀 15 2 2 3 5" xfId="21568"/>
    <cellStyle name="연결된 셀 15 2 2 4" xfId="4431"/>
    <cellStyle name="연결된 셀 15 2 2 4 2" xfId="4432"/>
    <cellStyle name="연결된 셀 15 2 2 4 2 2" xfId="21573"/>
    <cellStyle name="연결된 셀 15 2 2 4 3" xfId="4433"/>
    <cellStyle name="연결된 셀 15 2 2 4 3 2" xfId="21574"/>
    <cellStyle name="연결된 셀 15 2 2 4 4" xfId="4434"/>
    <cellStyle name="연결된 셀 15 2 2 4 4 2" xfId="21575"/>
    <cellStyle name="연결된 셀 15 2 2 4 5" xfId="21572"/>
    <cellStyle name="연결된 셀 15 2 2 5" xfId="4435"/>
    <cellStyle name="연결된 셀 15 2 2 5 2" xfId="21576"/>
    <cellStyle name="연결된 셀 15 2 2 6" xfId="4436"/>
    <cellStyle name="연결된 셀 15 2 2 6 2" xfId="21577"/>
    <cellStyle name="연결된 셀 15 2 2 7" xfId="4437"/>
    <cellStyle name="연결된 셀 15 2 2 7 2" xfId="21578"/>
    <cellStyle name="연결된 셀 15 2 2 8" xfId="21563"/>
    <cellStyle name="연결된 셀 15 2 3" xfId="4438"/>
    <cellStyle name="연결된 셀 15 2 3 2" xfId="4439"/>
    <cellStyle name="연결된 셀 15 2 3 2 2" xfId="4440"/>
    <cellStyle name="연결된 셀 15 2 3 2 2 2" xfId="21581"/>
    <cellStyle name="연결된 셀 15 2 3 2 3" xfId="4441"/>
    <cellStyle name="연결된 셀 15 2 3 2 3 2" xfId="21582"/>
    <cellStyle name="연결된 셀 15 2 3 2 4" xfId="4442"/>
    <cellStyle name="연결된 셀 15 2 3 2 4 2" xfId="21583"/>
    <cellStyle name="연결된 셀 15 2 3 2 5" xfId="21580"/>
    <cellStyle name="연결된 셀 15 2 3 3" xfId="4443"/>
    <cellStyle name="연결된 셀 15 2 3 3 2" xfId="4444"/>
    <cellStyle name="연결된 셀 15 2 3 3 2 2" xfId="21585"/>
    <cellStyle name="연결된 셀 15 2 3 3 3" xfId="4445"/>
    <cellStyle name="연결된 셀 15 2 3 3 3 2" xfId="21586"/>
    <cellStyle name="연결된 셀 15 2 3 3 4" xfId="4446"/>
    <cellStyle name="연결된 셀 15 2 3 3 4 2" xfId="21587"/>
    <cellStyle name="연결된 셀 15 2 3 3 5" xfId="21584"/>
    <cellStyle name="연결된 셀 15 2 3 4" xfId="4447"/>
    <cellStyle name="연결된 셀 15 2 3 4 2" xfId="4448"/>
    <cellStyle name="연결된 셀 15 2 3 4 2 2" xfId="21589"/>
    <cellStyle name="연결된 셀 15 2 3 4 3" xfId="4449"/>
    <cellStyle name="연결된 셀 15 2 3 4 3 2" xfId="21590"/>
    <cellStyle name="연결된 셀 15 2 3 4 4" xfId="4450"/>
    <cellStyle name="연결된 셀 15 2 3 4 4 2" xfId="21591"/>
    <cellStyle name="연결된 셀 15 2 3 4 5" xfId="21588"/>
    <cellStyle name="연결된 셀 15 2 3 5" xfId="4451"/>
    <cellStyle name="연결된 셀 15 2 3 5 2" xfId="21592"/>
    <cellStyle name="연결된 셀 15 2 3 6" xfId="4452"/>
    <cellStyle name="연결된 셀 15 2 3 6 2" xfId="21593"/>
    <cellStyle name="연결된 셀 15 2 3 7" xfId="4453"/>
    <cellStyle name="연결된 셀 15 2 3 7 2" xfId="21594"/>
    <cellStyle name="연결된 셀 15 2 3 8" xfId="21579"/>
    <cellStyle name="연결된 셀 15 2 4" xfId="4454"/>
    <cellStyle name="연결된 셀 15 2 4 2" xfId="4455"/>
    <cellStyle name="연결된 셀 15 2 4 2 2" xfId="4456"/>
    <cellStyle name="연결된 셀 15 2 4 2 2 2" xfId="21597"/>
    <cellStyle name="연결된 셀 15 2 4 2 3" xfId="4457"/>
    <cellStyle name="연결된 셀 15 2 4 2 3 2" xfId="21598"/>
    <cellStyle name="연결된 셀 15 2 4 2 4" xfId="4458"/>
    <cellStyle name="연결된 셀 15 2 4 2 4 2" xfId="21599"/>
    <cellStyle name="연결된 셀 15 2 4 2 5" xfId="21596"/>
    <cellStyle name="연결된 셀 15 2 4 3" xfId="4459"/>
    <cellStyle name="연결된 셀 15 2 4 3 2" xfId="4460"/>
    <cellStyle name="연결된 셀 15 2 4 3 2 2" xfId="21601"/>
    <cellStyle name="연결된 셀 15 2 4 3 3" xfId="4461"/>
    <cellStyle name="연결된 셀 15 2 4 3 3 2" xfId="21602"/>
    <cellStyle name="연결된 셀 15 2 4 3 4" xfId="4462"/>
    <cellStyle name="연결된 셀 15 2 4 3 4 2" xfId="21603"/>
    <cellStyle name="연결된 셀 15 2 4 3 5" xfId="21600"/>
    <cellStyle name="연결된 셀 15 2 4 4" xfId="4463"/>
    <cellStyle name="연결된 셀 15 2 4 4 2" xfId="4464"/>
    <cellStyle name="연결된 셀 15 2 4 4 2 2" xfId="21605"/>
    <cellStyle name="연결된 셀 15 2 4 4 3" xfId="4465"/>
    <cellStyle name="연결된 셀 15 2 4 4 3 2" xfId="21606"/>
    <cellStyle name="연결된 셀 15 2 4 4 4" xfId="4466"/>
    <cellStyle name="연결된 셀 15 2 4 4 4 2" xfId="21607"/>
    <cellStyle name="연결된 셀 15 2 4 4 5" xfId="21604"/>
    <cellStyle name="연결된 셀 15 2 4 5" xfId="4467"/>
    <cellStyle name="연결된 셀 15 2 4 5 2" xfId="21608"/>
    <cellStyle name="연결된 셀 15 2 4 6" xfId="4468"/>
    <cellStyle name="연결된 셀 15 2 4 6 2" xfId="21609"/>
    <cellStyle name="연결된 셀 15 2 4 7" xfId="4469"/>
    <cellStyle name="연결된 셀 15 2 4 7 2" xfId="21610"/>
    <cellStyle name="연결된 셀 15 2 4 8" xfId="21595"/>
    <cellStyle name="연결된 셀 15 2 5" xfId="4470"/>
    <cellStyle name="연결된 셀 15 2 5 2" xfId="4471"/>
    <cellStyle name="연결된 셀 15 2 5 2 2" xfId="4472"/>
    <cellStyle name="연결된 셀 15 2 5 2 2 2" xfId="21613"/>
    <cellStyle name="연결된 셀 15 2 5 2 3" xfId="4473"/>
    <cellStyle name="연결된 셀 15 2 5 2 3 2" xfId="21614"/>
    <cellStyle name="연결된 셀 15 2 5 2 4" xfId="4474"/>
    <cellStyle name="연결된 셀 15 2 5 2 4 2" xfId="21615"/>
    <cellStyle name="연결된 셀 15 2 5 2 5" xfId="21612"/>
    <cellStyle name="연결된 셀 15 2 5 3" xfId="4475"/>
    <cellStyle name="연결된 셀 15 2 5 3 2" xfId="4476"/>
    <cellStyle name="연결된 셀 15 2 5 3 2 2" xfId="21617"/>
    <cellStyle name="연결된 셀 15 2 5 3 3" xfId="4477"/>
    <cellStyle name="연결된 셀 15 2 5 3 3 2" xfId="21618"/>
    <cellStyle name="연결된 셀 15 2 5 3 4" xfId="4478"/>
    <cellStyle name="연결된 셀 15 2 5 3 4 2" xfId="21619"/>
    <cellStyle name="연결된 셀 15 2 5 3 5" xfId="21616"/>
    <cellStyle name="연결된 셀 15 2 5 4" xfId="4479"/>
    <cellStyle name="연결된 셀 15 2 5 4 2" xfId="4480"/>
    <cellStyle name="연결된 셀 15 2 5 4 2 2" xfId="21621"/>
    <cellStyle name="연결된 셀 15 2 5 4 3" xfId="4481"/>
    <cellStyle name="연결된 셀 15 2 5 4 3 2" xfId="21622"/>
    <cellStyle name="연결된 셀 15 2 5 4 4" xfId="4482"/>
    <cellStyle name="연결된 셀 15 2 5 4 4 2" xfId="21623"/>
    <cellStyle name="연결된 셀 15 2 5 4 5" xfId="21620"/>
    <cellStyle name="연결된 셀 15 2 5 5" xfId="4483"/>
    <cellStyle name="연결된 셀 15 2 5 5 2" xfId="21624"/>
    <cellStyle name="연결된 셀 15 2 5 6" xfId="4484"/>
    <cellStyle name="연결된 셀 15 2 5 6 2" xfId="21625"/>
    <cellStyle name="연결된 셀 15 2 5 7" xfId="4485"/>
    <cellStyle name="연결된 셀 15 2 5 7 2" xfId="21626"/>
    <cellStyle name="연결된 셀 15 2 5 8" xfId="21611"/>
    <cellStyle name="연결된 셀 15 2 6" xfId="4486"/>
    <cellStyle name="연결된 셀 15 2 6 2" xfId="4487"/>
    <cellStyle name="연결된 셀 15 2 6 2 2" xfId="4488"/>
    <cellStyle name="연결된 셀 15 2 6 2 2 2" xfId="21629"/>
    <cellStyle name="연결된 셀 15 2 6 2 3" xfId="4489"/>
    <cellStyle name="연결된 셀 15 2 6 2 3 2" xfId="21630"/>
    <cellStyle name="연결된 셀 15 2 6 2 4" xfId="4490"/>
    <cellStyle name="연결된 셀 15 2 6 2 4 2" xfId="21631"/>
    <cellStyle name="연결된 셀 15 2 6 2 5" xfId="21628"/>
    <cellStyle name="연결된 셀 15 2 6 3" xfId="4491"/>
    <cellStyle name="연결된 셀 15 2 6 3 2" xfId="4492"/>
    <cellStyle name="연결된 셀 15 2 6 3 2 2" xfId="21633"/>
    <cellStyle name="연결된 셀 15 2 6 3 3" xfId="4493"/>
    <cellStyle name="연결된 셀 15 2 6 3 3 2" xfId="21634"/>
    <cellStyle name="연결된 셀 15 2 6 3 4" xfId="4494"/>
    <cellStyle name="연결된 셀 15 2 6 3 4 2" xfId="21635"/>
    <cellStyle name="연결된 셀 15 2 6 3 5" xfId="21632"/>
    <cellStyle name="연결된 셀 15 2 6 4" xfId="4495"/>
    <cellStyle name="연결된 셀 15 2 6 4 2" xfId="4496"/>
    <cellStyle name="연결된 셀 15 2 6 4 2 2" xfId="21637"/>
    <cellStyle name="연결된 셀 15 2 6 4 3" xfId="4497"/>
    <cellStyle name="연결된 셀 15 2 6 4 3 2" xfId="21638"/>
    <cellStyle name="연결된 셀 15 2 6 4 4" xfId="4498"/>
    <cellStyle name="연결된 셀 15 2 6 4 4 2" xfId="21639"/>
    <cellStyle name="연결된 셀 15 2 6 4 5" xfId="21636"/>
    <cellStyle name="연결된 셀 15 2 6 5" xfId="4499"/>
    <cellStyle name="연결된 셀 15 2 6 5 2" xfId="21640"/>
    <cellStyle name="연결된 셀 15 2 6 6" xfId="4500"/>
    <cellStyle name="연결된 셀 15 2 6 6 2" xfId="21641"/>
    <cellStyle name="연결된 셀 15 2 6 7" xfId="4501"/>
    <cellStyle name="연결된 셀 15 2 6 7 2" xfId="21642"/>
    <cellStyle name="연결된 셀 15 2 6 8" xfId="21627"/>
    <cellStyle name="연결된 셀 15 2 7" xfId="4502"/>
    <cellStyle name="연결된 셀 15 2 7 2" xfId="4503"/>
    <cellStyle name="연결된 셀 15 2 7 2 2" xfId="4504"/>
    <cellStyle name="연결된 셀 15 2 7 2 2 2" xfId="21645"/>
    <cellStyle name="연결된 셀 15 2 7 2 3" xfId="4505"/>
    <cellStyle name="연결된 셀 15 2 7 2 3 2" xfId="21646"/>
    <cellStyle name="연결된 셀 15 2 7 2 4" xfId="4506"/>
    <cellStyle name="연결된 셀 15 2 7 2 4 2" xfId="21647"/>
    <cellStyle name="연결된 셀 15 2 7 2 5" xfId="21644"/>
    <cellStyle name="연결된 셀 15 2 7 3" xfId="4507"/>
    <cellStyle name="연결된 셀 15 2 7 3 2" xfId="4508"/>
    <cellStyle name="연결된 셀 15 2 7 3 2 2" xfId="21649"/>
    <cellStyle name="연결된 셀 15 2 7 3 3" xfId="4509"/>
    <cellStyle name="연결된 셀 15 2 7 3 3 2" xfId="21650"/>
    <cellStyle name="연결된 셀 15 2 7 3 4" xfId="4510"/>
    <cellStyle name="연결된 셀 15 2 7 3 4 2" xfId="21651"/>
    <cellStyle name="연결된 셀 15 2 7 3 5" xfId="21648"/>
    <cellStyle name="연결된 셀 15 2 7 4" xfId="4511"/>
    <cellStyle name="연결된 셀 15 2 7 4 2" xfId="4512"/>
    <cellStyle name="연결된 셀 15 2 7 4 2 2" xfId="21653"/>
    <cellStyle name="연결된 셀 15 2 7 4 3" xfId="4513"/>
    <cellStyle name="연결된 셀 15 2 7 4 3 2" xfId="21654"/>
    <cellStyle name="연결된 셀 15 2 7 4 4" xfId="4514"/>
    <cellStyle name="연결된 셀 15 2 7 4 4 2" xfId="21655"/>
    <cellStyle name="연결된 셀 15 2 7 4 5" xfId="21652"/>
    <cellStyle name="연결된 셀 15 2 7 5" xfId="4515"/>
    <cellStyle name="연결된 셀 15 2 7 5 2" xfId="21656"/>
    <cellStyle name="연결된 셀 15 2 7 6" xfId="4516"/>
    <cellStyle name="연결된 셀 15 2 7 6 2" xfId="21657"/>
    <cellStyle name="연결된 셀 15 2 7 7" xfId="4517"/>
    <cellStyle name="연결된 셀 15 2 7 7 2" xfId="21658"/>
    <cellStyle name="연결된 셀 15 2 7 8" xfId="21643"/>
    <cellStyle name="연결된 셀 15 2 8" xfId="4518"/>
    <cellStyle name="연결된 셀 15 2 8 2" xfId="4519"/>
    <cellStyle name="연결된 셀 15 2 8 2 2" xfId="4520"/>
    <cellStyle name="연결된 셀 15 2 8 2 2 2" xfId="21661"/>
    <cellStyle name="연결된 셀 15 2 8 2 3" xfId="4521"/>
    <cellStyle name="연결된 셀 15 2 8 2 3 2" xfId="21662"/>
    <cellStyle name="연결된 셀 15 2 8 2 4" xfId="4522"/>
    <cellStyle name="연결된 셀 15 2 8 2 4 2" xfId="21663"/>
    <cellStyle name="연결된 셀 15 2 8 2 5" xfId="21660"/>
    <cellStyle name="연결된 셀 15 2 8 3" xfId="4523"/>
    <cellStyle name="연결된 셀 15 2 8 3 2" xfId="4524"/>
    <cellStyle name="연결된 셀 15 2 8 3 2 2" xfId="21665"/>
    <cellStyle name="연결된 셀 15 2 8 3 3" xfId="4525"/>
    <cellStyle name="연결된 셀 15 2 8 3 3 2" xfId="21666"/>
    <cellStyle name="연결된 셀 15 2 8 3 4" xfId="4526"/>
    <cellStyle name="연결된 셀 15 2 8 3 4 2" xfId="21667"/>
    <cellStyle name="연결된 셀 15 2 8 3 5" xfId="21664"/>
    <cellStyle name="연결된 셀 15 2 8 4" xfId="4527"/>
    <cellStyle name="연결된 셀 15 2 8 4 2" xfId="4528"/>
    <cellStyle name="연결된 셀 15 2 8 4 2 2" xfId="21669"/>
    <cellStyle name="연결된 셀 15 2 8 4 3" xfId="4529"/>
    <cellStyle name="연결된 셀 15 2 8 4 3 2" xfId="21670"/>
    <cellStyle name="연결된 셀 15 2 8 4 4" xfId="4530"/>
    <cellStyle name="연결된 셀 15 2 8 4 4 2" xfId="21671"/>
    <cellStyle name="연결된 셀 15 2 8 4 5" xfId="21668"/>
    <cellStyle name="연결된 셀 15 2 8 5" xfId="4531"/>
    <cellStyle name="연결된 셀 15 2 8 5 2" xfId="21672"/>
    <cellStyle name="연결된 셀 15 2 8 6" xfId="4532"/>
    <cellStyle name="연결된 셀 15 2 8 6 2" xfId="21673"/>
    <cellStyle name="연결된 셀 15 2 8 7" xfId="4533"/>
    <cellStyle name="연결된 셀 15 2 8 7 2" xfId="21674"/>
    <cellStyle name="연결된 셀 15 2 8 8" xfId="21659"/>
    <cellStyle name="연결된 셀 15 2 9" xfId="4534"/>
    <cellStyle name="연결된 셀 15 2 9 2" xfId="4535"/>
    <cellStyle name="연결된 셀 15 2 9 2 2" xfId="4536"/>
    <cellStyle name="연결된 셀 15 2 9 2 2 2" xfId="21677"/>
    <cellStyle name="연결된 셀 15 2 9 2 3" xfId="4537"/>
    <cellStyle name="연결된 셀 15 2 9 2 3 2" xfId="21678"/>
    <cellStyle name="연결된 셀 15 2 9 2 4" xfId="4538"/>
    <cellStyle name="연결된 셀 15 2 9 2 4 2" xfId="21679"/>
    <cellStyle name="연결된 셀 15 2 9 2 5" xfId="21676"/>
    <cellStyle name="연결된 셀 15 2 9 3" xfId="4539"/>
    <cellStyle name="연결된 셀 15 2 9 3 2" xfId="4540"/>
    <cellStyle name="연결된 셀 15 2 9 3 2 2" xfId="21681"/>
    <cellStyle name="연결된 셀 15 2 9 3 3" xfId="4541"/>
    <cellStyle name="연결된 셀 15 2 9 3 3 2" xfId="21682"/>
    <cellStyle name="연결된 셀 15 2 9 3 4" xfId="4542"/>
    <cellStyle name="연결된 셀 15 2 9 3 4 2" xfId="21683"/>
    <cellStyle name="연결된 셀 15 2 9 3 5" xfId="21680"/>
    <cellStyle name="연결된 셀 15 2 9 4" xfId="4543"/>
    <cellStyle name="연결된 셀 15 2 9 4 2" xfId="4544"/>
    <cellStyle name="연결된 셀 15 2 9 4 2 2" xfId="21685"/>
    <cellStyle name="연결된 셀 15 2 9 4 3" xfId="4545"/>
    <cellStyle name="연결된 셀 15 2 9 4 3 2" xfId="21686"/>
    <cellStyle name="연결된 셀 15 2 9 4 4" xfId="4546"/>
    <cellStyle name="연결된 셀 15 2 9 4 4 2" xfId="21687"/>
    <cellStyle name="연결된 셀 15 2 9 4 5" xfId="21684"/>
    <cellStyle name="연결된 셀 15 2 9 5" xfId="4547"/>
    <cellStyle name="연결된 셀 15 2 9 5 2" xfId="21688"/>
    <cellStyle name="연결된 셀 15 2 9 6" xfId="4548"/>
    <cellStyle name="연결된 셀 15 2 9 6 2" xfId="21689"/>
    <cellStyle name="연결된 셀 15 2 9 7" xfId="4549"/>
    <cellStyle name="연결된 셀 15 2 9 7 2" xfId="21690"/>
    <cellStyle name="연결된 셀 15 2 9 8" xfId="21675"/>
    <cellStyle name="연결된 셀 15 3" xfId="4550"/>
    <cellStyle name="연결된 셀 15 3 2" xfId="4551"/>
    <cellStyle name="연결된 셀 15 3 2 2" xfId="4552"/>
    <cellStyle name="연결된 셀 15 3 2 2 2" xfId="21693"/>
    <cellStyle name="연결된 셀 15 3 2 3" xfId="4553"/>
    <cellStyle name="연결된 셀 15 3 2 3 2" xfId="21694"/>
    <cellStyle name="연결된 셀 15 3 2 4" xfId="4554"/>
    <cellStyle name="연결된 셀 15 3 2 4 2" xfId="21695"/>
    <cellStyle name="연결된 셀 15 3 2 5" xfId="21692"/>
    <cellStyle name="연결된 셀 15 3 3" xfId="4555"/>
    <cellStyle name="연결된 셀 15 3 3 2" xfId="4556"/>
    <cellStyle name="연결된 셀 15 3 3 2 2" xfId="21697"/>
    <cellStyle name="연결된 셀 15 3 3 3" xfId="4557"/>
    <cellStyle name="연결된 셀 15 3 3 3 2" xfId="21698"/>
    <cellStyle name="연결된 셀 15 3 3 4" xfId="4558"/>
    <cellStyle name="연결된 셀 15 3 3 4 2" xfId="21699"/>
    <cellStyle name="연결된 셀 15 3 3 5" xfId="21696"/>
    <cellStyle name="연결된 셀 15 3 4" xfId="4559"/>
    <cellStyle name="연결된 셀 15 3 4 2" xfId="4560"/>
    <cellStyle name="연결된 셀 15 3 4 2 2" xfId="21701"/>
    <cellStyle name="연결된 셀 15 3 4 3" xfId="4561"/>
    <cellStyle name="연결된 셀 15 3 4 3 2" xfId="21702"/>
    <cellStyle name="연결된 셀 15 3 4 4" xfId="4562"/>
    <cellStyle name="연결된 셀 15 3 4 4 2" xfId="21703"/>
    <cellStyle name="연결된 셀 15 3 4 5" xfId="21700"/>
    <cellStyle name="연결된 셀 15 3 5" xfId="4563"/>
    <cellStyle name="연결된 셀 15 3 5 2" xfId="21704"/>
    <cellStyle name="연결된 셀 15 3 6" xfId="4564"/>
    <cellStyle name="연결된 셀 15 3 6 2" xfId="21705"/>
    <cellStyle name="연결된 셀 15 3 7" xfId="4565"/>
    <cellStyle name="연결된 셀 15 3 7 2" xfId="21706"/>
    <cellStyle name="연결된 셀 15 3 8" xfId="21691"/>
    <cellStyle name="연결된 셀 15 4" xfId="4566"/>
    <cellStyle name="연결된 셀 15 4 2" xfId="4567"/>
    <cellStyle name="연결된 셀 15 4 2 2" xfId="4568"/>
    <cellStyle name="연결된 셀 15 4 2 2 2" xfId="21709"/>
    <cellStyle name="연결된 셀 15 4 2 3" xfId="4569"/>
    <cellStyle name="연결된 셀 15 4 2 3 2" xfId="21710"/>
    <cellStyle name="연결된 셀 15 4 2 4" xfId="4570"/>
    <cellStyle name="연결된 셀 15 4 2 4 2" xfId="21711"/>
    <cellStyle name="연결된 셀 15 4 2 5" xfId="21708"/>
    <cellStyle name="연결된 셀 15 4 3" xfId="4571"/>
    <cellStyle name="연결된 셀 15 4 3 2" xfId="4572"/>
    <cellStyle name="연결된 셀 15 4 3 2 2" xfId="21713"/>
    <cellStyle name="연결된 셀 15 4 3 3" xfId="4573"/>
    <cellStyle name="연결된 셀 15 4 3 3 2" xfId="21714"/>
    <cellStyle name="연결된 셀 15 4 3 4" xfId="4574"/>
    <cellStyle name="연결된 셀 15 4 3 4 2" xfId="21715"/>
    <cellStyle name="연결된 셀 15 4 3 5" xfId="21712"/>
    <cellStyle name="연결된 셀 15 4 4" xfId="4575"/>
    <cellStyle name="연결된 셀 15 4 4 2" xfId="4576"/>
    <cellStyle name="연결된 셀 15 4 4 2 2" xfId="21717"/>
    <cellStyle name="연결된 셀 15 4 4 3" xfId="4577"/>
    <cellStyle name="연결된 셀 15 4 4 3 2" xfId="21718"/>
    <cellStyle name="연결된 셀 15 4 4 4" xfId="4578"/>
    <cellStyle name="연결된 셀 15 4 4 4 2" xfId="21719"/>
    <cellStyle name="연결된 셀 15 4 4 5" xfId="21716"/>
    <cellStyle name="연결된 셀 15 4 5" xfId="4579"/>
    <cellStyle name="연결된 셀 15 4 5 2" xfId="21720"/>
    <cellStyle name="연결된 셀 15 4 6" xfId="4580"/>
    <cellStyle name="연결된 셀 15 4 6 2" xfId="21721"/>
    <cellStyle name="연결된 셀 15 4 7" xfId="4581"/>
    <cellStyle name="연결된 셀 15 4 7 2" xfId="21722"/>
    <cellStyle name="연결된 셀 15 4 8" xfId="21707"/>
    <cellStyle name="연결된 셀 15 5" xfId="4582"/>
    <cellStyle name="연결된 셀 15 5 2" xfId="4583"/>
    <cellStyle name="연결된 셀 15 5 2 2" xfId="4584"/>
    <cellStyle name="연결된 셀 15 5 2 2 2" xfId="21725"/>
    <cellStyle name="연결된 셀 15 5 2 3" xfId="4585"/>
    <cellStyle name="연결된 셀 15 5 2 3 2" xfId="21726"/>
    <cellStyle name="연결된 셀 15 5 2 4" xfId="4586"/>
    <cellStyle name="연결된 셀 15 5 2 4 2" xfId="21727"/>
    <cellStyle name="연결된 셀 15 5 2 5" xfId="21724"/>
    <cellStyle name="연결된 셀 15 5 3" xfId="4587"/>
    <cellStyle name="연결된 셀 15 5 3 2" xfId="4588"/>
    <cellStyle name="연결된 셀 15 5 3 2 2" xfId="21729"/>
    <cellStyle name="연결된 셀 15 5 3 3" xfId="4589"/>
    <cellStyle name="연결된 셀 15 5 3 3 2" xfId="21730"/>
    <cellStyle name="연결된 셀 15 5 3 4" xfId="4590"/>
    <cellStyle name="연결된 셀 15 5 3 4 2" xfId="21731"/>
    <cellStyle name="연결된 셀 15 5 3 5" xfId="21728"/>
    <cellStyle name="연결된 셀 15 5 4" xfId="4591"/>
    <cellStyle name="연결된 셀 15 5 4 2" xfId="4592"/>
    <cellStyle name="연결된 셀 15 5 4 2 2" xfId="21733"/>
    <cellStyle name="연결된 셀 15 5 4 3" xfId="4593"/>
    <cellStyle name="연결된 셀 15 5 4 3 2" xfId="21734"/>
    <cellStyle name="연결된 셀 15 5 4 4" xfId="4594"/>
    <cellStyle name="연결된 셀 15 5 4 4 2" xfId="21735"/>
    <cellStyle name="연결된 셀 15 5 4 5" xfId="21732"/>
    <cellStyle name="연결된 셀 15 5 5" xfId="4595"/>
    <cellStyle name="연결된 셀 15 5 5 2" xfId="21736"/>
    <cellStyle name="연결된 셀 15 5 6" xfId="4596"/>
    <cellStyle name="연결된 셀 15 5 6 2" xfId="21737"/>
    <cellStyle name="연결된 셀 15 5 7" xfId="4597"/>
    <cellStyle name="연결된 셀 15 5 7 2" xfId="21738"/>
    <cellStyle name="연결된 셀 15 5 8" xfId="21723"/>
    <cellStyle name="연결된 셀 15 6" xfId="4598"/>
    <cellStyle name="연결된 셀 15 6 2" xfId="4599"/>
    <cellStyle name="연결된 셀 15 6 2 2" xfId="4600"/>
    <cellStyle name="연결된 셀 15 6 2 2 2" xfId="21741"/>
    <cellStyle name="연결된 셀 15 6 2 3" xfId="4601"/>
    <cellStyle name="연결된 셀 15 6 2 3 2" xfId="21742"/>
    <cellStyle name="연결된 셀 15 6 2 4" xfId="4602"/>
    <cellStyle name="연결된 셀 15 6 2 4 2" xfId="21743"/>
    <cellStyle name="연결된 셀 15 6 2 5" xfId="21740"/>
    <cellStyle name="연결된 셀 15 6 3" xfId="4603"/>
    <cellStyle name="연결된 셀 15 6 3 2" xfId="4604"/>
    <cellStyle name="연결된 셀 15 6 3 2 2" xfId="21745"/>
    <cellStyle name="연결된 셀 15 6 3 3" xfId="4605"/>
    <cellStyle name="연결된 셀 15 6 3 3 2" xfId="21746"/>
    <cellStyle name="연결된 셀 15 6 3 4" xfId="4606"/>
    <cellStyle name="연결된 셀 15 6 3 4 2" xfId="21747"/>
    <cellStyle name="연결된 셀 15 6 3 5" xfId="21744"/>
    <cellStyle name="연결된 셀 15 6 4" xfId="4607"/>
    <cellStyle name="연결된 셀 15 6 4 2" xfId="4608"/>
    <cellStyle name="연결된 셀 15 6 4 2 2" xfId="21749"/>
    <cellStyle name="연결된 셀 15 6 4 3" xfId="4609"/>
    <cellStyle name="연결된 셀 15 6 4 3 2" xfId="21750"/>
    <cellStyle name="연결된 셀 15 6 4 4" xfId="4610"/>
    <cellStyle name="연결된 셀 15 6 4 4 2" xfId="21751"/>
    <cellStyle name="연결된 셀 15 6 4 5" xfId="21748"/>
    <cellStyle name="연결된 셀 15 6 5" xfId="4611"/>
    <cellStyle name="연결된 셀 15 6 5 2" xfId="21752"/>
    <cellStyle name="연결된 셀 15 6 6" xfId="4612"/>
    <cellStyle name="연결된 셀 15 6 6 2" xfId="21753"/>
    <cellStyle name="연결된 셀 15 6 7" xfId="4613"/>
    <cellStyle name="연결된 셀 15 6 7 2" xfId="21754"/>
    <cellStyle name="연결된 셀 15 6 8" xfId="21739"/>
    <cellStyle name="연결된 셀 15 7" xfId="4614"/>
    <cellStyle name="연결된 셀 15 7 2" xfId="4615"/>
    <cellStyle name="연결된 셀 15 7 2 2" xfId="4616"/>
    <cellStyle name="연결된 셀 15 7 2 2 2" xfId="21757"/>
    <cellStyle name="연결된 셀 15 7 2 3" xfId="4617"/>
    <cellStyle name="연결된 셀 15 7 2 3 2" xfId="21758"/>
    <cellStyle name="연결된 셀 15 7 2 4" xfId="4618"/>
    <cellStyle name="연결된 셀 15 7 2 4 2" xfId="21759"/>
    <cellStyle name="연결된 셀 15 7 2 5" xfId="21756"/>
    <cellStyle name="연결된 셀 15 7 3" xfId="4619"/>
    <cellStyle name="연결된 셀 15 7 3 2" xfId="4620"/>
    <cellStyle name="연결된 셀 15 7 3 2 2" xfId="21761"/>
    <cellStyle name="연결된 셀 15 7 3 3" xfId="4621"/>
    <cellStyle name="연결된 셀 15 7 3 3 2" xfId="21762"/>
    <cellStyle name="연결된 셀 15 7 3 4" xfId="4622"/>
    <cellStyle name="연결된 셀 15 7 3 4 2" xfId="21763"/>
    <cellStyle name="연결된 셀 15 7 3 5" xfId="21760"/>
    <cellStyle name="연결된 셀 15 7 4" xfId="4623"/>
    <cellStyle name="연결된 셀 15 7 4 2" xfId="4624"/>
    <cellStyle name="연결된 셀 15 7 4 2 2" xfId="21765"/>
    <cellStyle name="연결된 셀 15 7 4 3" xfId="4625"/>
    <cellStyle name="연결된 셀 15 7 4 3 2" xfId="21766"/>
    <cellStyle name="연결된 셀 15 7 4 4" xfId="4626"/>
    <cellStyle name="연결된 셀 15 7 4 4 2" xfId="21767"/>
    <cellStyle name="연결된 셀 15 7 4 5" xfId="21764"/>
    <cellStyle name="연결된 셀 15 7 5" xfId="4627"/>
    <cellStyle name="연결된 셀 15 7 5 2" xfId="21768"/>
    <cellStyle name="연결된 셀 15 7 6" xfId="4628"/>
    <cellStyle name="연결된 셀 15 7 6 2" xfId="21769"/>
    <cellStyle name="연결된 셀 15 7 7" xfId="4629"/>
    <cellStyle name="연결된 셀 15 7 7 2" xfId="21770"/>
    <cellStyle name="연결된 셀 15 7 8" xfId="21755"/>
    <cellStyle name="연결된 셀 15 8" xfId="4630"/>
    <cellStyle name="연결된 셀 15 8 2" xfId="4631"/>
    <cellStyle name="연결된 셀 15 8 2 2" xfId="4632"/>
    <cellStyle name="연결된 셀 15 8 2 2 2" xfId="21773"/>
    <cellStyle name="연결된 셀 15 8 2 3" xfId="4633"/>
    <cellStyle name="연결된 셀 15 8 2 3 2" xfId="21774"/>
    <cellStyle name="연결된 셀 15 8 2 4" xfId="4634"/>
    <cellStyle name="연결된 셀 15 8 2 4 2" xfId="21775"/>
    <cellStyle name="연결된 셀 15 8 2 5" xfId="21772"/>
    <cellStyle name="연결된 셀 15 8 3" xfId="4635"/>
    <cellStyle name="연결된 셀 15 8 3 2" xfId="4636"/>
    <cellStyle name="연결된 셀 15 8 3 2 2" xfId="21777"/>
    <cellStyle name="연결된 셀 15 8 3 3" xfId="4637"/>
    <cellStyle name="연결된 셀 15 8 3 3 2" xfId="21778"/>
    <cellStyle name="연결된 셀 15 8 3 4" xfId="4638"/>
    <cellStyle name="연결된 셀 15 8 3 4 2" xfId="21779"/>
    <cellStyle name="연결된 셀 15 8 3 5" xfId="21776"/>
    <cellStyle name="연결된 셀 15 8 4" xfId="4639"/>
    <cellStyle name="연결된 셀 15 8 4 2" xfId="4640"/>
    <cellStyle name="연결된 셀 15 8 4 2 2" xfId="21781"/>
    <cellStyle name="연결된 셀 15 8 4 3" xfId="4641"/>
    <cellStyle name="연결된 셀 15 8 4 3 2" xfId="21782"/>
    <cellStyle name="연결된 셀 15 8 4 4" xfId="4642"/>
    <cellStyle name="연결된 셀 15 8 4 4 2" xfId="21783"/>
    <cellStyle name="연결된 셀 15 8 4 5" xfId="21780"/>
    <cellStyle name="연결된 셀 15 8 5" xfId="4643"/>
    <cellStyle name="연결된 셀 15 8 5 2" xfId="21784"/>
    <cellStyle name="연결된 셀 15 8 6" xfId="4644"/>
    <cellStyle name="연결된 셀 15 8 6 2" xfId="21785"/>
    <cellStyle name="연결된 셀 15 8 7" xfId="4645"/>
    <cellStyle name="연결된 셀 15 8 7 2" xfId="21786"/>
    <cellStyle name="연결된 셀 15 8 8" xfId="21771"/>
    <cellStyle name="연결된 셀 15 9" xfId="4646"/>
    <cellStyle name="연결된 셀 15 9 2" xfId="4647"/>
    <cellStyle name="연결된 셀 15 9 2 2" xfId="4648"/>
    <cellStyle name="연결된 셀 15 9 2 2 2" xfId="21789"/>
    <cellStyle name="연결된 셀 15 9 2 3" xfId="4649"/>
    <cellStyle name="연결된 셀 15 9 2 3 2" xfId="21790"/>
    <cellStyle name="연결된 셀 15 9 2 4" xfId="4650"/>
    <cellStyle name="연결된 셀 15 9 2 4 2" xfId="21791"/>
    <cellStyle name="연결된 셀 15 9 2 5" xfId="21788"/>
    <cellStyle name="연결된 셀 15 9 3" xfId="4651"/>
    <cellStyle name="연결된 셀 15 9 3 2" xfId="4652"/>
    <cellStyle name="연결된 셀 15 9 3 2 2" xfId="21793"/>
    <cellStyle name="연결된 셀 15 9 3 3" xfId="4653"/>
    <cellStyle name="연결된 셀 15 9 3 3 2" xfId="21794"/>
    <cellStyle name="연결된 셀 15 9 3 4" xfId="4654"/>
    <cellStyle name="연결된 셀 15 9 3 4 2" xfId="21795"/>
    <cellStyle name="연결된 셀 15 9 3 5" xfId="21792"/>
    <cellStyle name="연결된 셀 15 9 4" xfId="4655"/>
    <cellStyle name="연결된 셀 15 9 4 2" xfId="4656"/>
    <cellStyle name="연결된 셀 15 9 4 2 2" xfId="21797"/>
    <cellStyle name="연결된 셀 15 9 4 3" xfId="4657"/>
    <cellStyle name="연결된 셀 15 9 4 3 2" xfId="21798"/>
    <cellStyle name="연결된 셀 15 9 4 4" xfId="4658"/>
    <cellStyle name="연결된 셀 15 9 4 4 2" xfId="21799"/>
    <cellStyle name="연결된 셀 15 9 4 5" xfId="21796"/>
    <cellStyle name="연결된 셀 15 9 5" xfId="4659"/>
    <cellStyle name="연결된 셀 15 9 5 2" xfId="21800"/>
    <cellStyle name="연결된 셀 15 9 6" xfId="4660"/>
    <cellStyle name="연결된 셀 15 9 6 2" xfId="21801"/>
    <cellStyle name="연결된 셀 15 9 7" xfId="4661"/>
    <cellStyle name="연결된 셀 15 9 7 2" xfId="21802"/>
    <cellStyle name="연결된 셀 15 9 8" xfId="21787"/>
    <cellStyle name="연결된 셀 16" xfId="4662"/>
    <cellStyle name="연결된 셀 16 10" xfId="4663"/>
    <cellStyle name="연결된 셀 16 10 2" xfId="4664"/>
    <cellStyle name="연결된 셀 16 10 2 2" xfId="4665"/>
    <cellStyle name="연결된 셀 16 10 2 2 2" xfId="21806"/>
    <cellStyle name="연결된 셀 16 10 2 3" xfId="4666"/>
    <cellStyle name="연결된 셀 16 10 2 3 2" xfId="21807"/>
    <cellStyle name="연결된 셀 16 10 2 4" xfId="4667"/>
    <cellStyle name="연결된 셀 16 10 2 4 2" xfId="21808"/>
    <cellStyle name="연결된 셀 16 10 2 5" xfId="21805"/>
    <cellStyle name="연결된 셀 16 10 3" xfId="4668"/>
    <cellStyle name="연결된 셀 16 10 3 2" xfId="4669"/>
    <cellStyle name="연결된 셀 16 10 3 2 2" xfId="21810"/>
    <cellStyle name="연결된 셀 16 10 3 3" xfId="4670"/>
    <cellStyle name="연결된 셀 16 10 3 3 2" xfId="21811"/>
    <cellStyle name="연결된 셀 16 10 3 4" xfId="4671"/>
    <cellStyle name="연결된 셀 16 10 3 4 2" xfId="21812"/>
    <cellStyle name="연결된 셀 16 10 3 5" xfId="21809"/>
    <cellStyle name="연결된 셀 16 10 4" xfId="4672"/>
    <cellStyle name="연결된 셀 16 10 4 2" xfId="4673"/>
    <cellStyle name="연결된 셀 16 10 4 2 2" xfId="21814"/>
    <cellStyle name="연결된 셀 16 10 4 3" xfId="4674"/>
    <cellStyle name="연결된 셀 16 10 4 3 2" xfId="21815"/>
    <cellStyle name="연결된 셀 16 10 4 4" xfId="4675"/>
    <cellStyle name="연결된 셀 16 10 4 4 2" xfId="21816"/>
    <cellStyle name="연결된 셀 16 10 4 5" xfId="21813"/>
    <cellStyle name="연결된 셀 16 10 5" xfId="4676"/>
    <cellStyle name="연결된 셀 16 10 5 2" xfId="21817"/>
    <cellStyle name="연결된 셀 16 10 6" xfId="4677"/>
    <cellStyle name="연결된 셀 16 10 6 2" xfId="21818"/>
    <cellStyle name="연결된 셀 16 10 7" xfId="4678"/>
    <cellStyle name="연결된 셀 16 10 7 2" xfId="21819"/>
    <cellStyle name="연결된 셀 16 10 8" xfId="21804"/>
    <cellStyle name="연결된 셀 16 11" xfId="4679"/>
    <cellStyle name="연결된 셀 16 11 2" xfId="4680"/>
    <cellStyle name="연결된 셀 16 11 2 2" xfId="4681"/>
    <cellStyle name="연결된 셀 16 11 2 2 2" xfId="21822"/>
    <cellStyle name="연결된 셀 16 11 2 3" xfId="4682"/>
    <cellStyle name="연결된 셀 16 11 2 3 2" xfId="21823"/>
    <cellStyle name="연결된 셀 16 11 2 4" xfId="4683"/>
    <cellStyle name="연결된 셀 16 11 2 4 2" xfId="21824"/>
    <cellStyle name="연결된 셀 16 11 2 5" xfId="21821"/>
    <cellStyle name="연결된 셀 16 11 3" xfId="4684"/>
    <cellStyle name="연결된 셀 16 11 3 2" xfId="4685"/>
    <cellStyle name="연결된 셀 16 11 3 2 2" xfId="21826"/>
    <cellStyle name="연결된 셀 16 11 3 3" xfId="4686"/>
    <cellStyle name="연결된 셀 16 11 3 3 2" xfId="21827"/>
    <cellStyle name="연결된 셀 16 11 3 4" xfId="4687"/>
    <cellStyle name="연결된 셀 16 11 3 4 2" xfId="21828"/>
    <cellStyle name="연결된 셀 16 11 3 5" xfId="21825"/>
    <cellStyle name="연결된 셀 16 11 4" xfId="4688"/>
    <cellStyle name="연결된 셀 16 11 4 2" xfId="4689"/>
    <cellStyle name="연결된 셀 16 11 4 2 2" xfId="21830"/>
    <cellStyle name="연결된 셀 16 11 4 3" xfId="4690"/>
    <cellStyle name="연결된 셀 16 11 4 3 2" xfId="21831"/>
    <cellStyle name="연결된 셀 16 11 4 4" xfId="4691"/>
    <cellStyle name="연결된 셀 16 11 4 4 2" xfId="21832"/>
    <cellStyle name="연결된 셀 16 11 4 5" xfId="21829"/>
    <cellStyle name="연결된 셀 16 11 5" xfId="4692"/>
    <cellStyle name="연결된 셀 16 11 5 2" xfId="21833"/>
    <cellStyle name="연결된 셀 16 11 6" xfId="4693"/>
    <cellStyle name="연결된 셀 16 11 6 2" xfId="21834"/>
    <cellStyle name="연결된 셀 16 11 7" xfId="4694"/>
    <cellStyle name="연결된 셀 16 11 7 2" xfId="21835"/>
    <cellStyle name="연결된 셀 16 11 8" xfId="21820"/>
    <cellStyle name="연결된 셀 16 12" xfId="4695"/>
    <cellStyle name="연결된 셀 16 12 2" xfId="4696"/>
    <cellStyle name="연결된 셀 16 12 2 2" xfId="4697"/>
    <cellStyle name="연결된 셀 16 12 2 2 2" xfId="21838"/>
    <cellStyle name="연결된 셀 16 12 2 3" xfId="4698"/>
    <cellStyle name="연결된 셀 16 12 2 3 2" xfId="21839"/>
    <cellStyle name="연결된 셀 16 12 2 4" xfId="4699"/>
    <cellStyle name="연결된 셀 16 12 2 4 2" xfId="21840"/>
    <cellStyle name="연결된 셀 16 12 2 5" xfId="21837"/>
    <cellStyle name="연결된 셀 16 12 3" xfId="4700"/>
    <cellStyle name="연결된 셀 16 12 3 2" xfId="4701"/>
    <cellStyle name="연결된 셀 16 12 3 2 2" xfId="21842"/>
    <cellStyle name="연결된 셀 16 12 3 3" xfId="4702"/>
    <cellStyle name="연결된 셀 16 12 3 3 2" xfId="21843"/>
    <cellStyle name="연결된 셀 16 12 3 4" xfId="4703"/>
    <cellStyle name="연결된 셀 16 12 3 4 2" xfId="21844"/>
    <cellStyle name="연결된 셀 16 12 3 5" xfId="21841"/>
    <cellStyle name="연결된 셀 16 12 4" xfId="4704"/>
    <cellStyle name="연결된 셀 16 12 4 2" xfId="4705"/>
    <cellStyle name="연결된 셀 16 12 4 2 2" xfId="21846"/>
    <cellStyle name="연결된 셀 16 12 4 3" xfId="4706"/>
    <cellStyle name="연결된 셀 16 12 4 3 2" xfId="21847"/>
    <cellStyle name="연결된 셀 16 12 4 4" xfId="4707"/>
    <cellStyle name="연결된 셀 16 12 4 4 2" xfId="21848"/>
    <cellStyle name="연결된 셀 16 12 4 5" xfId="21845"/>
    <cellStyle name="연결된 셀 16 12 5" xfId="4708"/>
    <cellStyle name="연결된 셀 16 12 5 2" xfId="21849"/>
    <cellStyle name="연결된 셀 16 12 6" xfId="4709"/>
    <cellStyle name="연결된 셀 16 12 6 2" xfId="21850"/>
    <cellStyle name="연결된 셀 16 12 7" xfId="4710"/>
    <cellStyle name="연결된 셀 16 12 7 2" xfId="21851"/>
    <cellStyle name="연결된 셀 16 12 8" xfId="21836"/>
    <cellStyle name="연결된 셀 16 13" xfId="4711"/>
    <cellStyle name="연결된 셀 16 13 2" xfId="4712"/>
    <cellStyle name="연결된 셀 16 13 2 2" xfId="21853"/>
    <cellStyle name="연결된 셀 16 13 3" xfId="4713"/>
    <cellStyle name="연결된 셀 16 13 3 2" xfId="21854"/>
    <cellStyle name="연결된 셀 16 13 4" xfId="4714"/>
    <cellStyle name="연결된 셀 16 13 4 2" xfId="21855"/>
    <cellStyle name="연결된 셀 16 13 5" xfId="21852"/>
    <cellStyle name="연결된 셀 16 14" xfId="4715"/>
    <cellStyle name="연결된 셀 16 14 2" xfId="21856"/>
    <cellStyle name="연결된 셀 16 15" xfId="4716"/>
    <cellStyle name="연결된 셀 16 15 2" xfId="21857"/>
    <cellStyle name="연결된 셀 16 16" xfId="4717"/>
    <cellStyle name="연결된 셀 16 16 2" xfId="21858"/>
    <cellStyle name="연결된 셀 16 17" xfId="21803"/>
    <cellStyle name="연결된 셀 16 2" xfId="4718"/>
    <cellStyle name="연결된 셀 16 2 10" xfId="4719"/>
    <cellStyle name="연결된 셀 16 2 10 2" xfId="4720"/>
    <cellStyle name="연결된 셀 16 2 10 2 2" xfId="4721"/>
    <cellStyle name="연결된 셀 16 2 10 2 2 2" xfId="21862"/>
    <cellStyle name="연결된 셀 16 2 10 2 3" xfId="4722"/>
    <cellStyle name="연결된 셀 16 2 10 2 3 2" xfId="21863"/>
    <cellStyle name="연결된 셀 16 2 10 2 4" xfId="4723"/>
    <cellStyle name="연결된 셀 16 2 10 2 4 2" xfId="21864"/>
    <cellStyle name="연결된 셀 16 2 10 2 5" xfId="21861"/>
    <cellStyle name="연결된 셀 16 2 10 3" xfId="4724"/>
    <cellStyle name="연결된 셀 16 2 10 3 2" xfId="4725"/>
    <cellStyle name="연결된 셀 16 2 10 3 2 2" xfId="21866"/>
    <cellStyle name="연결된 셀 16 2 10 3 3" xfId="4726"/>
    <cellStyle name="연결된 셀 16 2 10 3 3 2" xfId="21867"/>
    <cellStyle name="연결된 셀 16 2 10 3 4" xfId="4727"/>
    <cellStyle name="연결된 셀 16 2 10 3 4 2" xfId="21868"/>
    <cellStyle name="연결된 셀 16 2 10 3 5" xfId="21865"/>
    <cellStyle name="연결된 셀 16 2 10 4" xfId="4728"/>
    <cellStyle name="연결된 셀 16 2 10 4 2" xfId="4729"/>
    <cellStyle name="연결된 셀 16 2 10 4 2 2" xfId="21870"/>
    <cellStyle name="연결된 셀 16 2 10 4 3" xfId="4730"/>
    <cellStyle name="연결된 셀 16 2 10 4 3 2" xfId="21871"/>
    <cellStyle name="연결된 셀 16 2 10 4 4" xfId="4731"/>
    <cellStyle name="연결된 셀 16 2 10 4 4 2" xfId="21872"/>
    <cellStyle name="연결된 셀 16 2 10 4 5" xfId="21869"/>
    <cellStyle name="연결된 셀 16 2 10 5" xfId="4732"/>
    <cellStyle name="연결된 셀 16 2 10 5 2" xfId="21873"/>
    <cellStyle name="연결된 셀 16 2 10 6" xfId="4733"/>
    <cellStyle name="연결된 셀 16 2 10 6 2" xfId="21874"/>
    <cellStyle name="연결된 셀 16 2 10 7" xfId="4734"/>
    <cellStyle name="연결된 셀 16 2 10 7 2" xfId="21875"/>
    <cellStyle name="연결된 셀 16 2 10 8" xfId="21860"/>
    <cellStyle name="연결된 셀 16 2 11" xfId="4735"/>
    <cellStyle name="연결된 셀 16 2 11 2" xfId="4736"/>
    <cellStyle name="연결된 셀 16 2 11 2 2" xfId="4737"/>
    <cellStyle name="연결된 셀 16 2 11 2 2 2" xfId="21878"/>
    <cellStyle name="연결된 셀 16 2 11 2 3" xfId="4738"/>
    <cellStyle name="연결된 셀 16 2 11 2 3 2" xfId="21879"/>
    <cellStyle name="연결된 셀 16 2 11 2 4" xfId="4739"/>
    <cellStyle name="연결된 셀 16 2 11 2 4 2" xfId="21880"/>
    <cellStyle name="연결된 셀 16 2 11 2 5" xfId="21877"/>
    <cellStyle name="연결된 셀 16 2 11 3" xfId="4740"/>
    <cellStyle name="연결된 셀 16 2 11 3 2" xfId="4741"/>
    <cellStyle name="연결된 셀 16 2 11 3 2 2" xfId="21882"/>
    <cellStyle name="연결된 셀 16 2 11 3 3" xfId="4742"/>
    <cellStyle name="연결된 셀 16 2 11 3 3 2" xfId="21883"/>
    <cellStyle name="연결된 셀 16 2 11 3 4" xfId="4743"/>
    <cellStyle name="연결된 셀 16 2 11 3 4 2" xfId="21884"/>
    <cellStyle name="연결된 셀 16 2 11 3 5" xfId="21881"/>
    <cellStyle name="연결된 셀 16 2 11 4" xfId="4744"/>
    <cellStyle name="연결된 셀 16 2 11 4 2" xfId="4745"/>
    <cellStyle name="연결된 셀 16 2 11 4 2 2" xfId="21886"/>
    <cellStyle name="연결된 셀 16 2 11 4 3" xfId="4746"/>
    <cellStyle name="연결된 셀 16 2 11 4 3 2" xfId="21887"/>
    <cellStyle name="연결된 셀 16 2 11 4 4" xfId="4747"/>
    <cellStyle name="연결된 셀 16 2 11 4 4 2" xfId="21888"/>
    <cellStyle name="연결된 셀 16 2 11 4 5" xfId="21885"/>
    <cellStyle name="연결된 셀 16 2 11 5" xfId="4748"/>
    <cellStyle name="연결된 셀 16 2 11 5 2" xfId="21889"/>
    <cellStyle name="연결된 셀 16 2 11 6" xfId="4749"/>
    <cellStyle name="연결된 셀 16 2 11 6 2" xfId="21890"/>
    <cellStyle name="연결된 셀 16 2 11 7" xfId="4750"/>
    <cellStyle name="연결된 셀 16 2 11 7 2" xfId="21891"/>
    <cellStyle name="연결된 셀 16 2 11 8" xfId="21876"/>
    <cellStyle name="연결된 셀 16 2 12" xfId="4751"/>
    <cellStyle name="연결된 셀 16 2 12 2" xfId="4752"/>
    <cellStyle name="연결된 셀 16 2 12 2 2" xfId="21893"/>
    <cellStyle name="연결된 셀 16 2 12 3" xfId="4753"/>
    <cellStyle name="연결된 셀 16 2 12 3 2" xfId="21894"/>
    <cellStyle name="연결된 셀 16 2 12 4" xfId="4754"/>
    <cellStyle name="연결된 셀 16 2 12 4 2" xfId="21895"/>
    <cellStyle name="연결된 셀 16 2 12 5" xfId="21892"/>
    <cellStyle name="연결된 셀 16 2 13" xfId="4755"/>
    <cellStyle name="연결된 셀 16 2 13 2" xfId="21896"/>
    <cellStyle name="연결된 셀 16 2 14" xfId="4756"/>
    <cellStyle name="연결된 셀 16 2 14 2" xfId="21897"/>
    <cellStyle name="연결된 셀 16 2 15" xfId="4757"/>
    <cellStyle name="연결된 셀 16 2 15 2" xfId="21898"/>
    <cellStyle name="연결된 셀 16 2 16" xfId="21859"/>
    <cellStyle name="연결된 셀 16 2 2" xfId="4758"/>
    <cellStyle name="연결된 셀 16 2 2 2" xfId="4759"/>
    <cellStyle name="연결된 셀 16 2 2 2 2" xfId="4760"/>
    <cellStyle name="연결된 셀 16 2 2 2 2 2" xfId="21901"/>
    <cellStyle name="연결된 셀 16 2 2 2 3" xfId="4761"/>
    <cellStyle name="연결된 셀 16 2 2 2 3 2" xfId="21902"/>
    <cellStyle name="연결된 셀 16 2 2 2 4" xfId="4762"/>
    <cellStyle name="연결된 셀 16 2 2 2 4 2" xfId="21903"/>
    <cellStyle name="연결된 셀 16 2 2 2 5" xfId="21900"/>
    <cellStyle name="연결된 셀 16 2 2 3" xfId="4763"/>
    <cellStyle name="연결된 셀 16 2 2 3 2" xfId="4764"/>
    <cellStyle name="연결된 셀 16 2 2 3 2 2" xfId="21905"/>
    <cellStyle name="연결된 셀 16 2 2 3 3" xfId="4765"/>
    <cellStyle name="연결된 셀 16 2 2 3 3 2" xfId="21906"/>
    <cellStyle name="연결된 셀 16 2 2 3 4" xfId="4766"/>
    <cellStyle name="연결된 셀 16 2 2 3 4 2" xfId="21907"/>
    <cellStyle name="연결된 셀 16 2 2 3 5" xfId="21904"/>
    <cellStyle name="연결된 셀 16 2 2 4" xfId="4767"/>
    <cellStyle name="연결된 셀 16 2 2 4 2" xfId="4768"/>
    <cellStyle name="연결된 셀 16 2 2 4 2 2" xfId="21909"/>
    <cellStyle name="연결된 셀 16 2 2 4 3" xfId="4769"/>
    <cellStyle name="연결된 셀 16 2 2 4 3 2" xfId="21910"/>
    <cellStyle name="연결된 셀 16 2 2 4 4" xfId="4770"/>
    <cellStyle name="연결된 셀 16 2 2 4 4 2" xfId="21911"/>
    <cellStyle name="연결된 셀 16 2 2 4 5" xfId="21908"/>
    <cellStyle name="연결된 셀 16 2 2 5" xfId="4771"/>
    <cellStyle name="연결된 셀 16 2 2 5 2" xfId="21912"/>
    <cellStyle name="연결된 셀 16 2 2 6" xfId="4772"/>
    <cellStyle name="연결된 셀 16 2 2 6 2" xfId="21913"/>
    <cellStyle name="연결된 셀 16 2 2 7" xfId="4773"/>
    <cellStyle name="연결된 셀 16 2 2 7 2" xfId="21914"/>
    <cellStyle name="연결된 셀 16 2 2 8" xfId="21899"/>
    <cellStyle name="연결된 셀 16 2 3" xfId="4774"/>
    <cellStyle name="연결된 셀 16 2 3 2" xfId="4775"/>
    <cellStyle name="연결된 셀 16 2 3 2 2" xfId="4776"/>
    <cellStyle name="연결된 셀 16 2 3 2 2 2" xfId="21917"/>
    <cellStyle name="연결된 셀 16 2 3 2 3" xfId="4777"/>
    <cellStyle name="연결된 셀 16 2 3 2 3 2" xfId="21918"/>
    <cellStyle name="연결된 셀 16 2 3 2 4" xfId="4778"/>
    <cellStyle name="연결된 셀 16 2 3 2 4 2" xfId="21919"/>
    <cellStyle name="연결된 셀 16 2 3 2 5" xfId="21916"/>
    <cellStyle name="연결된 셀 16 2 3 3" xfId="4779"/>
    <cellStyle name="연결된 셀 16 2 3 3 2" xfId="4780"/>
    <cellStyle name="연결된 셀 16 2 3 3 2 2" xfId="21921"/>
    <cellStyle name="연결된 셀 16 2 3 3 3" xfId="4781"/>
    <cellStyle name="연결된 셀 16 2 3 3 3 2" xfId="21922"/>
    <cellStyle name="연결된 셀 16 2 3 3 4" xfId="4782"/>
    <cellStyle name="연결된 셀 16 2 3 3 4 2" xfId="21923"/>
    <cellStyle name="연결된 셀 16 2 3 3 5" xfId="21920"/>
    <cellStyle name="연결된 셀 16 2 3 4" xfId="4783"/>
    <cellStyle name="연결된 셀 16 2 3 4 2" xfId="4784"/>
    <cellStyle name="연결된 셀 16 2 3 4 2 2" xfId="21925"/>
    <cellStyle name="연결된 셀 16 2 3 4 3" xfId="4785"/>
    <cellStyle name="연결된 셀 16 2 3 4 3 2" xfId="21926"/>
    <cellStyle name="연결된 셀 16 2 3 4 4" xfId="4786"/>
    <cellStyle name="연결된 셀 16 2 3 4 4 2" xfId="21927"/>
    <cellStyle name="연결된 셀 16 2 3 4 5" xfId="21924"/>
    <cellStyle name="연결된 셀 16 2 3 5" xfId="4787"/>
    <cellStyle name="연결된 셀 16 2 3 5 2" xfId="21928"/>
    <cellStyle name="연결된 셀 16 2 3 6" xfId="4788"/>
    <cellStyle name="연결된 셀 16 2 3 6 2" xfId="21929"/>
    <cellStyle name="연결된 셀 16 2 3 7" xfId="4789"/>
    <cellStyle name="연결된 셀 16 2 3 7 2" xfId="21930"/>
    <cellStyle name="연결된 셀 16 2 3 8" xfId="21915"/>
    <cellStyle name="연결된 셀 16 2 4" xfId="4790"/>
    <cellStyle name="연결된 셀 16 2 4 2" xfId="4791"/>
    <cellStyle name="연결된 셀 16 2 4 2 2" xfId="4792"/>
    <cellStyle name="연결된 셀 16 2 4 2 2 2" xfId="21933"/>
    <cellStyle name="연결된 셀 16 2 4 2 3" xfId="4793"/>
    <cellStyle name="연결된 셀 16 2 4 2 3 2" xfId="21934"/>
    <cellStyle name="연결된 셀 16 2 4 2 4" xfId="4794"/>
    <cellStyle name="연결된 셀 16 2 4 2 4 2" xfId="21935"/>
    <cellStyle name="연결된 셀 16 2 4 2 5" xfId="21932"/>
    <cellStyle name="연결된 셀 16 2 4 3" xfId="4795"/>
    <cellStyle name="연결된 셀 16 2 4 3 2" xfId="4796"/>
    <cellStyle name="연결된 셀 16 2 4 3 2 2" xfId="21937"/>
    <cellStyle name="연결된 셀 16 2 4 3 3" xfId="4797"/>
    <cellStyle name="연결된 셀 16 2 4 3 3 2" xfId="21938"/>
    <cellStyle name="연결된 셀 16 2 4 3 4" xfId="4798"/>
    <cellStyle name="연결된 셀 16 2 4 3 4 2" xfId="21939"/>
    <cellStyle name="연결된 셀 16 2 4 3 5" xfId="21936"/>
    <cellStyle name="연결된 셀 16 2 4 4" xfId="4799"/>
    <cellStyle name="연결된 셀 16 2 4 4 2" xfId="4800"/>
    <cellStyle name="연결된 셀 16 2 4 4 2 2" xfId="21941"/>
    <cellStyle name="연결된 셀 16 2 4 4 3" xfId="4801"/>
    <cellStyle name="연결된 셀 16 2 4 4 3 2" xfId="21942"/>
    <cellStyle name="연결된 셀 16 2 4 4 4" xfId="4802"/>
    <cellStyle name="연결된 셀 16 2 4 4 4 2" xfId="21943"/>
    <cellStyle name="연결된 셀 16 2 4 4 5" xfId="21940"/>
    <cellStyle name="연결된 셀 16 2 4 5" xfId="4803"/>
    <cellStyle name="연결된 셀 16 2 4 5 2" xfId="21944"/>
    <cellStyle name="연결된 셀 16 2 4 6" xfId="4804"/>
    <cellStyle name="연결된 셀 16 2 4 6 2" xfId="21945"/>
    <cellStyle name="연결된 셀 16 2 4 7" xfId="4805"/>
    <cellStyle name="연결된 셀 16 2 4 7 2" xfId="21946"/>
    <cellStyle name="연결된 셀 16 2 4 8" xfId="21931"/>
    <cellStyle name="연결된 셀 16 2 5" xfId="4806"/>
    <cellStyle name="연결된 셀 16 2 5 2" xfId="4807"/>
    <cellStyle name="연결된 셀 16 2 5 2 2" xfId="4808"/>
    <cellStyle name="연결된 셀 16 2 5 2 2 2" xfId="21949"/>
    <cellStyle name="연결된 셀 16 2 5 2 3" xfId="4809"/>
    <cellStyle name="연결된 셀 16 2 5 2 3 2" xfId="21950"/>
    <cellStyle name="연결된 셀 16 2 5 2 4" xfId="4810"/>
    <cellStyle name="연결된 셀 16 2 5 2 4 2" xfId="21951"/>
    <cellStyle name="연결된 셀 16 2 5 2 5" xfId="21948"/>
    <cellStyle name="연결된 셀 16 2 5 3" xfId="4811"/>
    <cellStyle name="연결된 셀 16 2 5 3 2" xfId="4812"/>
    <cellStyle name="연결된 셀 16 2 5 3 2 2" xfId="21953"/>
    <cellStyle name="연결된 셀 16 2 5 3 3" xfId="4813"/>
    <cellStyle name="연결된 셀 16 2 5 3 3 2" xfId="21954"/>
    <cellStyle name="연결된 셀 16 2 5 3 4" xfId="4814"/>
    <cellStyle name="연결된 셀 16 2 5 3 4 2" xfId="21955"/>
    <cellStyle name="연결된 셀 16 2 5 3 5" xfId="21952"/>
    <cellStyle name="연결된 셀 16 2 5 4" xfId="4815"/>
    <cellStyle name="연결된 셀 16 2 5 4 2" xfId="4816"/>
    <cellStyle name="연결된 셀 16 2 5 4 2 2" xfId="21957"/>
    <cellStyle name="연결된 셀 16 2 5 4 3" xfId="4817"/>
    <cellStyle name="연결된 셀 16 2 5 4 3 2" xfId="21958"/>
    <cellStyle name="연결된 셀 16 2 5 4 4" xfId="4818"/>
    <cellStyle name="연결된 셀 16 2 5 4 4 2" xfId="21959"/>
    <cellStyle name="연결된 셀 16 2 5 4 5" xfId="21956"/>
    <cellStyle name="연결된 셀 16 2 5 5" xfId="4819"/>
    <cellStyle name="연결된 셀 16 2 5 5 2" xfId="21960"/>
    <cellStyle name="연결된 셀 16 2 5 6" xfId="4820"/>
    <cellStyle name="연결된 셀 16 2 5 6 2" xfId="21961"/>
    <cellStyle name="연결된 셀 16 2 5 7" xfId="4821"/>
    <cellStyle name="연결된 셀 16 2 5 7 2" xfId="21962"/>
    <cellStyle name="연결된 셀 16 2 5 8" xfId="21947"/>
    <cellStyle name="연결된 셀 16 2 6" xfId="4822"/>
    <cellStyle name="연결된 셀 16 2 6 2" xfId="4823"/>
    <cellStyle name="연결된 셀 16 2 6 2 2" xfId="4824"/>
    <cellStyle name="연결된 셀 16 2 6 2 2 2" xfId="21965"/>
    <cellStyle name="연결된 셀 16 2 6 2 3" xfId="4825"/>
    <cellStyle name="연결된 셀 16 2 6 2 3 2" xfId="21966"/>
    <cellStyle name="연결된 셀 16 2 6 2 4" xfId="4826"/>
    <cellStyle name="연결된 셀 16 2 6 2 4 2" xfId="21967"/>
    <cellStyle name="연결된 셀 16 2 6 2 5" xfId="21964"/>
    <cellStyle name="연결된 셀 16 2 6 3" xfId="4827"/>
    <cellStyle name="연결된 셀 16 2 6 3 2" xfId="4828"/>
    <cellStyle name="연결된 셀 16 2 6 3 2 2" xfId="21969"/>
    <cellStyle name="연결된 셀 16 2 6 3 3" xfId="4829"/>
    <cellStyle name="연결된 셀 16 2 6 3 3 2" xfId="21970"/>
    <cellStyle name="연결된 셀 16 2 6 3 4" xfId="4830"/>
    <cellStyle name="연결된 셀 16 2 6 3 4 2" xfId="21971"/>
    <cellStyle name="연결된 셀 16 2 6 3 5" xfId="21968"/>
    <cellStyle name="연결된 셀 16 2 6 4" xfId="4831"/>
    <cellStyle name="연결된 셀 16 2 6 4 2" xfId="4832"/>
    <cellStyle name="연결된 셀 16 2 6 4 2 2" xfId="21973"/>
    <cellStyle name="연결된 셀 16 2 6 4 3" xfId="4833"/>
    <cellStyle name="연결된 셀 16 2 6 4 3 2" xfId="21974"/>
    <cellStyle name="연결된 셀 16 2 6 4 4" xfId="4834"/>
    <cellStyle name="연결된 셀 16 2 6 4 4 2" xfId="21975"/>
    <cellStyle name="연결된 셀 16 2 6 4 5" xfId="21972"/>
    <cellStyle name="연결된 셀 16 2 6 5" xfId="4835"/>
    <cellStyle name="연결된 셀 16 2 6 5 2" xfId="21976"/>
    <cellStyle name="연결된 셀 16 2 6 6" xfId="4836"/>
    <cellStyle name="연결된 셀 16 2 6 6 2" xfId="21977"/>
    <cellStyle name="연결된 셀 16 2 6 7" xfId="4837"/>
    <cellStyle name="연결된 셀 16 2 6 7 2" xfId="21978"/>
    <cellStyle name="연결된 셀 16 2 6 8" xfId="21963"/>
    <cellStyle name="연결된 셀 16 2 7" xfId="4838"/>
    <cellStyle name="연결된 셀 16 2 7 2" xfId="4839"/>
    <cellStyle name="연결된 셀 16 2 7 2 2" xfId="4840"/>
    <cellStyle name="연결된 셀 16 2 7 2 2 2" xfId="21981"/>
    <cellStyle name="연결된 셀 16 2 7 2 3" xfId="4841"/>
    <cellStyle name="연결된 셀 16 2 7 2 3 2" xfId="21982"/>
    <cellStyle name="연결된 셀 16 2 7 2 4" xfId="4842"/>
    <cellStyle name="연결된 셀 16 2 7 2 4 2" xfId="21983"/>
    <cellStyle name="연결된 셀 16 2 7 2 5" xfId="21980"/>
    <cellStyle name="연결된 셀 16 2 7 3" xfId="4843"/>
    <cellStyle name="연결된 셀 16 2 7 3 2" xfId="4844"/>
    <cellStyle name="연결된 셀 16 2 7 3 2 2" xfId="21985"/>
    <cellStyle name="연결된 셀 16 2 7 3 3" xfId="4845"/>
    <cellStyle name="연결된 셀 16 2 7 3 3 2" xfId="21986"/>
    <cellStyle name="연결된 셀 16 2 7 3 4" xfId="4846"/>
    <cellStyle name="연결된 셀 16 2 7 3 4 2" xfId="21987"/>
    <cellStyle name="연결된 셀 16 2 7 3 5" xfId="21984"/>
    <cellStyle name="연결된 셀 16 2 7 4" xfId="4847"/>
    <cellStyle name="연결된 셀 16 2 7 4 2" xfId="4848"/>
    <cellStyle name="연결된 셀 16 2 7 4 2 2" xfId="21989"/>
    <cellStyle name="연결된 셀 16 2 7 4 3" xfId="4849"/>
    <cellStyle name="연결된 셀 16 2 7 4 3 2" xfId="21990"/>
    <cellStyle name="연결된 셀 16 2 7 4 4" xfId="4850"/>
    <cellStyle name="연결된 셀 16 2 7 4 4 2" xfId="21991"/>
    <cellStyle name="연결된 셀 16 2 7 4 5" xfId="21988"/>
    <cellStyle name="연결된 셀 16 2 7 5" xfId="4851"/>
    <cellStyle name="연결된 셀 16 2 7 5 2" xfId="21992"/>
    <cellStyle name="연결된 셀 16 2 7 6" xfId="4852"/>
    <cellStyle name="연결된 셀 16 2 7 6 2" xfId="21993"/>
    <cellStyle name="연결된 셀 16 2 7 7" xfId="4853"/>
    <cellStyle name="연결된 셀 16 2 7 7 2" xfId="21994"/>
    <cellStyle name="연결된 셀 16 2 7 8" xfId="21979"/>
    <cellStyle name="연결된 셀 16 2 8" xfId="4854"/>
    <cellStyle name="연결된 셀 16 2 8 2" xfId="4855"/>
    <cellStyle name="연결된 셀 16 2 8 2 2" xfId="4856"/>
    <cellStyle name="연결된 셀 16 2 8 2 2 2" xfId="21997"/>
    <cellStyle name="연결된 셀 16 2 8 2 3" xfId="4857"/>
    <cellStyle name="연결된 셀 16 2 8 2 3 2" xfId="21998"/>
    <cellStyle name="연결된 셀 16 2 8 2 4" xfId="4858"/>
    <cellStyle name="연결된 셀 16 2 8 2 4 2" xfId="21999"/>
    <cellStyle name="연결된 셀 16 2 8 2 5" xfId="21996"/>
    <cellStyle name="연결된 셀 16 2 8 3" xfId="4859"/>
    <cellStyle name="연결된 셀 16 2 8 3 2" xfId="4860"/>
    <cellStyle name="연결된 셀 16 2 8 3 2 2" xfId="22001"/>
    <cellStyle name="연결된 셀 16 2 8 3 3" xfId="4861"/>
    <cellStyle name="연결된 셀 16 2 8 3 3 2" xfId="22002"/>
    <cellStyle name="연결된 셀 16 2 8 3 4" xfId="4862"/>
    <cellStyle name="연결된 셀 16 2 8 3 4 2" xfId="22003"/>
    <cellStyle name="연결된 셀 16 2 8 3 5" xfId="22000"/>
    <cellStyle name="연결된 셀 16 2 8 4" xfId="4863"/>
    <cellStyle name="연결된 셀 16 2 8 4 2" xfId="4864"/>
    <cellStyle name="연결된 셀 16 2 8 4 2 2" xfId="22005"/>
    <cellStyle name="연결된 셀 16 2 8 4 3" xfId="4865"/>
    <cellStyle name="연결된 셀 16 2 8 4 3 2" xfId="22006"/>
    <cellStyle name="연결된 셀 16 2 8 4 4" xfId="4866"/>
    <cellStyle name="연결된 셀 16 2 8 4 4 2" xfId="22007"/>
    <cellStyle name="연결된 셀 16 2 8 4 5" xfId="22004"/>
    <cellStyle name="연결된 셀 16 2 8 5" xfId="4867"/>
    <cellStyle name="연결된 셀 16 2 8 5 2" xfId="22008"/>
    <cellStyle name="연결된 셀 16 2 8 6" xfId="4868"/>
    <cellStyle name="연결된 셀 16 2 8 6 2" xfId="22009"/>
    <cellStyle name="연결된 셀 16 2 8 7" xfId="4869"/>
    <cellStyle name="연결된 셀 16 2 8 7 2" xfId="22010"/>
    <cellStyle name="연결된 셀 16 2 8 8" xfId="21995"/>
    <cellStyle name="연결된 셀 16 2 9" xfId="4870"/>
    <cellStyle name="연결된 셀 16 2 9 2" xfId="4871"/>
    <cellStyle name="연결된 셀 16 2 9 2 2" xfId="4872"/>
    <cellStyle name="연결된 셀 16 2 9 2 2 2" xfId="22013"/>
    <cellStyle name="연결된 셀 16 2 9 2 3" xfId="4873"/>
    <cellStyle name="연결된 셀 16 2 9 2 3 2" xfId="22014"/>
    <cellStyle name="연결된 셀 16 2 9 2 4" xfId="4874"/>
    <cellStyle name="연결된 셀 16 2 9 2 4 2" xfId="22015"/>
    <cellStyle name="연결된 셀 16 2 9 2 5" xfId="22012"/>
    <cellStyle name="연결된 셀 16 2 9 3" xfId="4875"/>
    <cellStyle name="연결된 셀 16 2 9 3 2" xfId="4876"/>
    <cellStyle name="연결된 셀 16 2 9 3 2 2" xfId="22017"/>
    <cellStyle name="연결된 셀 16 2 9 3 3" xfId="4877"/>
    <cellStyle name="연결된 셀 16 2 9 3 3 2" xfId="22018"/>
    <cellStyle name="연결된 셀 16 2 9 3 4" xfId="4878"/>
    <cellStyle name="연결된 셀 16 2 9 3 4 2" xfId="22019"/>
    <cellStyle name="연결된 셀 16 2 9 3 5" xfId="22016"/>
    <cellStyle name="연결된 셀 16 2 9 4" xfId="4879"/>
    <cellStyle name="연결된 셀 16 2 9 4 2" xfId="4880"/>
    <cellStyle name="연결된 셀 16 2 9 4 2 2" xfId="22021"/>
    <cellStyle name="연결된 셀 16 2 9 4 3" xfId="4881"/>
    <cellStyle name="연결된 셀 16 2 9 4 3 2" xfId="22022"/>
    <cellStyle name="연결된 셀 16 2 9 4 4" xfId="4882"/>
    <cellStyle name="연결된 셀 16 2 9 4 4 2" xfId="22023"/>
    <cellStyle name="연결된 셀 16 2 9 4 5" xfId="22020"/>
    <cellStyle name="연결된 셀 16 2 9 5" xfId="4883"/>
    <cellStyle name="연결된 셀 16 2 9 5 2" xfId="22024"/>
    <cellStyle name="연결된 셀 16 2 9 6" xfId="4884"/>
    <cellStyle name="연결된 셀 16 2 9 6 2" xfId="22025"/>
    <cellStyle name="연결된 셀 16 2 9 7" xfId="4885"/>
    <cellStyle name="연결된 셀 16 2 9 7 2" xfId="22026"/>
    <cellStyle name="연결된 셀 16 2 9 8" xfId="22011"/>
    <cellStyle name="연결된 셀 16 3" xfId="4886"/>
    <cellStyle name="연결된 셀 16 3 2" xfId="4887"/>
    <cellStyle name="연결된 셀 16 3 2 2" xfId="4888"/>
    <cellStyle name="연결된 셀 16 3 2 2 2" xfId="22029"/>
    <cellStyle name="연결된 셀 16 3 2 3" xfId="4889"/>
    <cellStyle name="연결된 셀 16 3 2 3 2" xfId="22030"/>
    <cellStyle name="연결된 셀 16 3 2 4" xfId="4890"/>
    <cellStyle name="연결된 셀 16 3 2 4 2" xfId="22031"/>
    <cellStyle name="연결된 셀 16 3 2 5" xfId="22028"/>
    <cellStyle name="연결된 셀 16 3 3" xfId="4891"/>
    <cellStyle name="연결된 셀 16 3 3 2" xfId="4892"/>
    <cellStyle name="연결된 셀 16 3 3 2 2" xfId="22033"/>
    <cellStyle name="연결된 셀 16 3 3 3" xfId="4893"/>
    <cellStyle name="연결된 셀 16 3 3 3 2" xfId="22034"/>
    <cellStyle name="연결된 셀 16 3 3 4" xfId="4894"/>
    <cellStyle name="연결된 셀 16 3 3 4 2" xfId="22035"/>
    <cellStyle name="연결된 셀 16 3 3 5" xfId="22032"/>
    <cellStyle name="연결된 셀 16 3 4" xfId="4895"/>
    <cellStyle name="연결된 셀 16 3 4 2" xfId="4896"/>
    <cellStyle name="연결된 셀 16 3 4 2 2" xfId="22037"/>
    <cellStyle name="연결된 셀 16 3 4 3" xfId="4897"/>
    <cellStyle name="연결된 셀 16 3 4 3 2" xfId="22038"/>
    <cellStyle name="연결된 셀 16 3 4 4" xfId="4898"/>
    <cellStyle name="연결된 셀 16 3 4 4 2" xfId="22039"/>
    <cellStyle name="연결된 셀 16 3 4 5" xfId="22036"/>
    <cellStyle name="연결된 셀 16 3 5" xfId="4899"/>
    <cellStyle name="연결된 셀 16 3 5 2" xfId="22040"/>
    <cellStyle name="연결된 셀 16 3 6" xfId="4900"/>
    <cellStyle name="연결된 셀 16 3 6 2" xfId="22041"/>
    <cellStyle name="연결된 셀 16 3 7" xfId="4901"/>
    <cellStyle name="연결된 셀 16 3 7 2" xfId="22042"/>
    <cellStyle name="연결된 셀 16 3 8" xfId="22027"/>
    <cellStyle name="연결된 셀 16 4" xfId="4902"/>
    <cellStyle name="연결된 셀 16 4 2" xfId="4903"/>
    <cellStyle name="연결된 셀 16 4 2 2" xfId="4904"/>
    <cellStyle name="연결된 셀 16 4 2 2 2" xfId="22045"/>
    <cellStyle name="연결된 셀 16 4 2 3" xfId="4905"/>
    <cellStyle name="연결된 셀 16 4 2 3 2" xfId="22046"/>
    <cellStyle name="연결된 셀 16 4 2 4" xfId="4906"/>
    <cellStyle name="연결된 셀 16 4 2 4 2" xfId="22047"/>
    <cellStyle name="연결된 셀 16 4 2 5" xfId="22044"/>
    <cellStyle name="연결된 셀 16 4 3" xfId="4907"/>
    <cellStyle name="연결된 셀 16 4 3 2" xfId="4908"/>
    <cellStyle name="연결된 셀 16 4 3 2 2" xfId="22049"/>
    <cellStyle name="연결된 셀 16 4 3 3" xfId="4909"/>
    <cellStyle name="연결된 셀 16 4 3 3 2" xfId="22050"/>
    <cellStyle name="연결된 셀 16 4 3 4" xfId="4910"/>
    <cellStyle name="연결된 셀 16 4 3 4 2" xfId="22051"/>
    <cellStyle name="연결된 셀 16 4 3 5" xfId="22048"/>
    <cellStyle name="연결된 셀 16 4 4" xfId="4911"/>
    <cellStyle name="연결된 셀 16 4 4 2" xfId="4912"/>
    <cellStyle name="연결된 셀 16 4 4 2 2" xfId="22053"/>
    <cellStyle name="연결된 셀 16 4 4 3" xfId="4913"/>
    <cellStyle name="연결된 셀 16 4 4 3 2" xfId="22054"/>
    <cellStyle name="연결된 셀 16 4 4 4" xfId="4914"/>
    <cellStyle name="연결된 셀 16 4 4 4 2" xfId="22055"/>
    <cellStyle name="연결된 셀 16 4 4 5" xfId="22052"/>
    <cellStyle name="연결된 셀 16 4 5" xfId="4915"/>
    <cellStyle name="연결된 셀 16 4 5 2" xfId="22056"/>
    <cellStyle name="연결된 셀 16 4 6" xfId="4916"/>
    <cellStyle name="연결된 셀 16 4 6 2" xfId="22057"/>
    <cellStyle name="연결된 셀 16 4 7" xfId="4917"/>
    <cellStyle name="연결된 셀 16 4 7 2" xfId="22058"/>
    <cellStyle name="연결된 셀 16 4 8" xfId="22043"/>
    <cellStyle name="연결된 셀 16 5" xfId="4918"/>
    <cellStyle name="연결된 셀 16 5 2" xfId="4919"/>
    <cellStyle name="연결된 셀 16 5 2 2" xfId="4920"/>
    <cellStyle name="연결된 셀 16 5 2 2 2" xfId="22061"/>
    <cellStyle name="연결된 셀 16 5 2 3" xfId="4921"/>
    <cellStyle name="연결된 셀 16 5 2 3 2" xfId="22062"/>
    <cellStyle name="연결된 셀 16 5 2 4" xfId="4922"/>
    <cellStyle name="연결된 셀 16 5 2 4 2" xfId="22063"/>
    <cellStyle name="연결된 셀 16 5 2 5" xfId="22060"/>
    <cellStyle name="연결된 셀 16 5 3" xfId="4923"/>
    <cellStyle name="연결된 셀 16 5 3 2" xfId="4924"/>
    <cellStyle name="연결된 셀 16 5 3 2 2" xfId="22065"/>
    <cellStyle name="연결된 셀 16 5 3 3" xfId="4925"/>
    <cellStyle name="연결된 셀 16 5 3 3 2" xfId="22066"/>
    <cellStyle name="연결된 셀 16 5 3 4" xfId="4926"/>
    <cellStyle name="연결된 셀 16 5 3 4 2" xfId="22067"/>
    <cellStyle name="연결된 셀 16 5 3 5" xfId="22064"/>
    <cellStyle name="연결된 셀 16 5 4" xfId="4927"/>
    <cellStyle name="연결된 셀 16 5 4 2" xfId="4928"/>
    <cellStyle name="연결된 셀 16 5 4 2 2" xfId="22069"/>
    <cellStyle name="연결된 셀 16 5 4 3" xfId="4929"/>
    <cellStyle name="연결된 셀 16 5 4 3 2" xfId="22070"/>
    <cellStyle name="연결된 셀 16 5 4 4" xfId="4930"/>
    <cellStyle name="연결된 셀 16 5 4 4 2" xfId="22071"/>
    <cellStyle name="연결된 셀 16 5 4 5" xfId="22068"/>
    <cellStyle name="연결된 셀 16 5 5" xfId="4931"/>
    <cellStyle name="연결된 셀 16 5 5 2" xfId="22072"/>
    <cellStyle name="연결된 셀 16 5 6" xfId="4932"/>
    <cellStyle name="연결된 셀 16 5 6 2" xfId="22073"/>
    <cellStyle name="연결된 셀 16 5 7" xfId="4933"/>
    <cellStyle name="연결된 셀 16 5 7 2" xfId="22074"/>
    <cellStyle name="연결된 셀 16 5 8" xfId="22059"/>
    <cellStyle name="연결된 셀 16 6" xfId="4934"/>
    <cellStyle name="연결된 셀 16 6 2" xfId="4935"/>
    <cellStyle name="연결된 셀 16 6 2 2" xfId="4936"/>
    <cellStyle name="연결된 셀 16 6 2 2 2" xfId="22077"/>
    <cellStyle name="연결된 셀 16 6 2 3" xfId="4937"/>
    <cellStyle name="연결된 셀 16 6 2 3 2" xfId="22078"/>
    <cellStyle name="연결된 셀 16 6 2 4" xfId="4938"/>
    <cellStyle name="연결된 셀 16 6 2 4 2" xfId="22079"/>
    <cellStyle name="연결된 셀 16 6 2 5" xfId="22076"/>
    <cellStyle name="연결된 셀 16 6 3" xfId="4939"/>
    <cellStyle name="연결된 셀 16 6 3 2" xfId="4940"/>
    <cellStyle name="연결된 셀 16 6 3 2 2" xfId="22081"/>
    <cellStyle name="연결된 셀 16 6 3 3" xfId="4941"/>
    <cellStyle name="연결된 셀 16 6 3 3 2" xfId="22082"/>
    <cellStyle name="연결된 셀 16 6 3 4" xfId="4942"/>
    <cellStyle name="연결된 셀 16 6 3 4 2" xfId="22083"/>
    <cellStyle name="연결된 셀 16 6 3 5" xfId="22080"/>
    <cellStyle name="연결된 셀 16 6 4" xfId="4943"/>
    <cellStyle name="연결된 셀 16 6 4 2" xfId="4944"/>
    <cellStyle name="연결된 셀 16 6 4 2 2" xfId="22085"/>
    <cellStyle name="연결된 셀 16 6 4 3" xfId="4945"/>
    <cellStyle name="연결된 셀 16 6 4 3 2" xfId="22086"/>
    <cellStyle name="연결된 셀 16 6 4 4" xfId="4946"/>
    <cellStyle name="연결된 셀 16 6 4 4 2" xfId="22087"/>
    <cellStyle name="연결된 셀 16 6 4 5" xfId="22084"/>
    <cellStyle name="연결된 셀 16 6 5" xfId="4947"/>
    <cellStyle name="연결된 셀 16 6 5 2" xfId="22088"/>
    <cellStyle name="연결된 셀 16 6 6" xfId="4948"/>
    <cellStyle name="연결된 셀 16 6 6 2" xfId="22089"/>
    <cellStyle name="연결된 셀 16 6 7" xfId="4949"/>
    <cellStyle name="연결된 셀 16 6 7 2" xfId="22090"/>
    <cellStyle name="연결된 셀 16 6 8" xfId="22075"/>
    <cellStyle name="연결된 셀 16 7" xfId="4950"/>
    <cellStyle name="연결된 셀 16 7 2" xfId="4951"/>
    <cellStyle name="연결된 셀 16 7 2 2" xfId="4952"/>
    <cellStyle name="연결된 셀 16 7 2 2 2" xfId="22093"/>
    <cellStyle name="연결된 셀 16 7 2 3" xfId="4953"/>
    <cellStyle name="연결된 셀 16 7 2 3 2" xfId="22094"/>
    <cellStyle name="연결된 셀 16 7 2 4" xfId="4954"/>
    <cellStyle name="연결된 셀 16 7 2 4 2" xfId="22095"/>
    <cellStyle name="연결된 셀 16 7 2 5" xfId="22092"/>
    <cellStyle name="연결된 셀 16 7 3" xfId="4955"/>
    <cellStyle name="연결된 셀 16 7 3 2" xfId="4956"/>
    <cellStyle name="연결된 셀 16 7 3 2 2" xfId="22097"/>
    <cellStyle name="연결된 셀 16 7 3 3" xfId="4957"/>
    <cellStyle name="연결된 셀 16 7 3 3 2" xfId="22098"/>
    <cellStyle name="연결된 셀 16 7 3 4" xfId="4958"/>
    <cellStyle name="연결된 셀 16 7 3 4 2" xfId="22099"/>
    <cellStyle name="연결된 셀 16 7 3 5" xfId="22096"/>
    <cellStyle name="연결된 셀 16 7 4" xfId="4959"/>
    <cellStyle name="연결된 셀 16 7 4 2" xfId="4960"/>
    <cellStyle name="연결된 셀 16 7 4 2 2" xfId="22101"/>
    <cellStyle name="연결된 셀 16 7 4 3" xfId="4961"/>
    <cellStyle name="연결된 셀 16 7 4 3 2" xfId="22102"/>
    <cellStyle name="연결된 셀 16 7 4 4" xfId="4962"/>
    <cellStyle name="연결된 셀 16 7 4 4 2" xfId="22103"/>
    <cellStyle name="연결된 셀 16 7 4 5" xfId="22100"/>
    <cellStyle name="연결된 셀 16 7 5" xfId="4963"/>
    <cellStyle name="연결된 셀 16 7 5 2" xfId="22104"/>
    <cellStyle name="연결된 셀 16 7 6" xfId="4964"/>
    <cellStyle name="연결된 셀 16 7 6 2" xfId="22105"/>
    <cellStyle name="연결된 셀 16 7 7" xfId="4965"/>
    <cellStyle name="연결된 셀 16 7 7 2" xfId="22106"/>
    <cellStyle name="연결된 셀 16 7 8" xfId="22091"/>
    <cellStyle name="연결된 셀 16 8" xfId="4966"/>
    <cellStyle name="연결된 셀 16 8 2" xfId="4967"/>
    <cellStyle name="연결된 셀 16 8 2 2" xfId="4968"/>
    <cellStyle name="연결된 셀 16 8 2 2 2" xfId="22109"/>
    <cellStyle name="연결된 셀 16 8 2 3" xfId="4969"/>
    <cellStyle name="연결된 셀 16 8 2 3 2" xfId="22110"/>
    <cellStyle name="연결된 셀 16 8 2 4" xfId="4970"/>
    <cellStyle name="연결된 셀 16 8 2 4 2" xfId="22111"/>
    <cellStyle name="연결된 셀 16 8 2 5" xfId="22108"/>
    <cellStyle name="연결된 셀 16 8 3" xfId="4971"/>
    <cellStyle name="연결된 셀 16 8 3 2" xfId="4972"/>
    <cellStyle name="연결된 셀 16 8 3 2 2" xfId="22113"/>
    <cellStyle name="연결된 셀 16 8 3 3" xfId="4973"/>
    <cellStyle name="연결된 셀 16 8 3 3 2" xfId="22114"/>
    <cellStyle name="연결된 셀 16 8 3 4" xfId="4974"/>
    <cellStyle name="연결된 셀 16 8 3 4 2" xfId="22115"/>
    <cellStyle name="연결된 셀 16 8 3 5" xfId="22112"/>
    <cellStyle name="연결된 셀 16 8 4" xfId="4975"/>
    <cellStyle name="연결된 셀 16 8 4 2" xfId="4976"/>
    <cellStyle name="연결된 셀 16 8 4 2 2" xfId="22117"/>
    <cellStyle name="연결된 셀 16 8 4 3" xfId="4977"/>
    <cellStyle name="연결된 셀 16 8 4 3 2" xfId="22118"/>
    <cellStyle name="연결된 셀 16 8 4 4" xfId="4978"/>
    <cellStyle name="연결된 셀 16 8 4 4 2" xfId="22119"/>
    <cellStyle name="연결된 셀 16 8 4 5" xfId="22116"/>
    <cellStyle name="연결된 셀 16 8 5" xfId="4979"/>
    <cellStyle name="연결된 셀 16 8 5 2" xfId="22120"/>
    <cellStyle name="연결된 셀 16 8 6" xfId="4980"/>
    <cellStyle name="연결된 셀 16 8 6 2" xfId="22121"/>
    <cellStyle name="연결된 셀 16 8 7" xfId="4981"/>
    <cellStyle name="연결된 셀 16 8 7 2" xfId="22122"/>
    <cellStyle name="연결된 셀 16 8 8" xfId="22107"/>
    <cellStyle name="연결된 셀 16 9" xfId="4982"/>
    <cellStyle name="연결된 셀 16 9 2" xfId="4983"/>
    <cellStyle name="연결된 셀 16 9 2 2" xfId="4984"/>
    <cellStyle name="연결된 셀 16 9 2 2 2" xfId="22125"/>
    <cellStyle name="연결된 셀 16 9 2 3" xfId="4985"/>
    <cellStyle name="연결된 셀 16 9 2 3 2" xfId="22126"/>
    <cellStyle name="연결된 셀 16 9 2 4" xfId="4986"/>
    <cellStyle name="연결된 셀 16 9 2 4 2" xfId="22127"/>
    <cellStyle name="연결된 셀 16 9 2 5" xfId="22124"/>
    <cellStyle name="연결된 셀 16 9 3" xfId="4987"/>
    <cellStyle name="연결된 셀 16 9 3 2" xfId="4988"/>
    <cellStyle name="연결된 셀 16 9 3 2 2" xfId="22129"/>
    <cellStyle name="연결된 셀 16 9 3 3" xfId="4989"/>
    <cellStyle name="연결된 셀 16 9 3 3 2" xfId="22130"/>
    <cellStyle name="연결된 셀 16 9 3 4" xfId="4990"/>
    <cellStyle name="연결된 셀 16 9 3 4 2" xfId="22131"/>
    <cellStyle name="연결된 셀 16 9 3 5" xfId="22128"/>
    <cellStyle name="연결된 셀 16 9 4" xfId="4991"/>
    <cellStyle name="연결된 셀 16 9 4 2" xfId="4992"/>
    <cellStyle name="연결된 셀 16 9 4 2 2" xfId="22133"/>
    <cellStyle name="연결된 셀 16 9 4 3" xfId="4993"/>
    <cellStyle name="연결된 셀 16 9 4 3 2" xfId="22134"/>
    <cellStyle name="연결된 셀 16 9 4 4" xfId="4994"/>
    <cellStyle name="연결된 셀 16 9 4 4 2" xfId="22135"/>
    <cellStyle name="연결된 셀 16 9 4 5" xfId="22132"/>
    <cellStyle name="연결된 셀 16 9 5" xfId="4995"/>
    <cellStyle name="연결된 셀 16 9 5 2" xfId="22136"/>
    <cellStyle name="연결된 셀 16 9 6" xfId="4996"/>
    <cellStyle name="연결된 셀 16 9 6 2" xfId="22137"/>
    <cellStyle name="연결된 셀 16 9 7" xfId="4997"/>
    <cellStyle name="연결된 셀 16 9 7 2" xfId="22138"/>
    <cellStyle name="연결된 셀 16 9 8" xfId="22123"/>
    <cellStyle name="연결된 셀 17" xfId="4998"/>
    <cellStyle name="연결된 셀 17 10" xfId="4999"/>
    <cellStyle name="연결된 셀 17 10 2" xfId="5000"/>
    <cellStyle name="연결된 셀 17 10 2 2" xfId="5001"/>
    <cellStyle name="연결된 셀 17 10 2 2 2" xfId="22142"/>
    <cellStyle name="연결된 셀 17 10 2 3" xfId="5002"/>
    <cellStyle name="연결된 셀 17 10 2 3 2" xfId="22143"/>
    <cellStyle name="연결된 셀 17 10 2 4" xfId="5003"/>
    <cellStyle name="연결된 셀 17 10 2 4 2" xfId="22144"/>
    <cellStyle name="연결된 셀 17 10 2 5" xfId="22141"/>
    <cellStyle name="연결된 셀 17 10 3" xfId="5004"/>
    <cellStyle name="연결된 셀 17 10 3 2" xfId="5005"/>
    <cellStyle name="연결된 셀 17 10 3 2 2" xfId="22146"/>
    <cellStyle name="연결된 셀 17 10 3 3" xfId="5006"/>
    <cellStyle name="연결된 셀 17 10 3 3 2" xfId="22147"/>
    <cellStyle name="연결된 셀 17 10 3 4" xfId="5007"/>
    <cellStyle name="연결된 셀 17 10 3 4 2" xfId="22148"/>
    <cellStyle name="연결된 셀 17 10 3 5" xfId="22145"/>
    <cellStyle name="연결된 셀 17 10 4" xfId="5008"/>
    <cellStyle name="연결된 셀 17 10 4 2" xfId="5009"/>
    <cellStyle name="연결된 셀 17 10 4 2 2" xfId="22150"/>
    <cellStyle name="연결된 셀 17 10 4 3" xfId="5010"/>
    <cellStyle name="연결된 셀 17 10 4 3 2" xfId="22151"/>
    <cellStyle name="연결된 셀 17 10 4 4" xfId="5011"/>
    <cellStyle name="연결된 셀 17 10 4 4 2" xfId="22152"/>
    <cellStyle name="연결된 셀 17 10 4 5" xfId="22149"/>
    <cellStyle name="연결된 셀 17 10 5" xfId="5012"/>
    <cellStyle name="연결된 셀 17 10 5 2" xfId="22153"/>
    <cellStyle name="연결된 셀 17 10 6" xfId="5013"/>
    <cellStyle name="연결된 셀 17 10 6 2" xfId="22154"/>
    <cellStyle name="연결된 셀 17 10 7" xfId="5014"/>
    <cellStyle name="연결된 셀 17 10 7 2" xfId="22155"/>
    <cellStyle name="연결된 셀 17 10 8" xfId="22140"/>
    <cellStyle name="연결된 셀 17 11" xfId="5015"/>
    <cellStyle name="연결된 셀 17 11 2" xfId="5016"/>
    <cellStyle name="연결된 셀 17 11 2 2" xfId="5017"/>
    <cellStyle name="연결된 셀 17 11 2 2 2" xfId="22158"/>
    <cellStyle name="연결된 셀 17 11 2 3" xfId="5018"/>
    <cellStyle name="연결된 셀 17 11 2 3 2" xfId="22159"/>
    <cellStyle name="연결된 셀 17 11 2 4" xfId="5019"/>
    <cellStyle name="연결된 셀 17 11 2 4 2" xfId="22160"/>
    <cellStyle name="연결된 셀 17 11 2 5" xfId="22157"/>
    <cellStyle name="연결된 셀 17 11 3" xfId="5020"/>
    <cellStyle name="연결된 셀 17 11 3 2" xfId="5021"/>
    <cellStyle name="연결된 셀 17 11 3 2 2" xfId="22162"/>
    <cellStyle name="연결된 셀 17 11 3 3" xfId="5022"/>
    <cellStyle name="연결된 셀 17 11 3 3 2" xfId="22163"/>
    <cellStyle name="연결된 셀 17 11 3 4" xfId="5023"/>
    <cellStyle name="연결된 셀 17 11 3 4 2" xfId="22164"/>
    <cellStyle name="연결된 셀 17 11 3 5" xfId="22161"/>
    <cellStyle name="연결된 셀 17 11 4" xfId="5024"/>
    <cellStyle name="연결된 셀 17 11 4 2" xfId="5025"/>
    <cellStyle name="연결된 셀 17 11 4 2 2" xfId="22166"/>
    <cellStyle name="연결된 셀 17 11 4 3" xfId="5026"/>
    <cellStyle name="연결된 셀 17 11 4 3 2" xfId="22167"/>
    <cellStyle name="연결된 셀 17 11 4 4" xfId="5027"/>
    <cellStyle name="연결된 셀 17 11 4 4 2" xfId="22168"/>
    <cellStyle name="연결된 셀 17 11 4 5" xfId="22165"/>
    <cellStyle name="연결된 셀 17 11 5" xfId="5028"/>
    <cellStyle name="연결된 셀 17 11 5 2" xfId="22169"/>
    <cellStyle name="연결된 셀 17 11 6" xfId="5029"/>
    <cellStyle name="연결된 셀 17 11 6 2" xfId="22170"/>
    <cellStyle name="연결된 셀 17 11 7" xfId="5030"/>
    <cellStyle name="연결된 셀 17 11 7 2" xfId="22171"/>
    <cellStyle name="연결된 셀 17 11 8" xfId="22156"/>
    <cellStyle name="연결된 셀 17 12" xfId="5031"/>
    <cellStyle name="연결된 셀 17 12 2" xfId="5032"/>
    <cellStyle name="연결된 셀 17 12 2 2" xfId="5033"/>
    <cellStyle name="연결된 셀 17 12 2 2 2" xfId="22174"/>
    <cellStyle name="연결된 셀 17 12 2 3" xfId="5034"/>
    <cellStyle name="연결된 셀 17 12 2 3 2" xfId="22175"/>
    <cellStyle name="연결된 셀 17 12 2 4" xfId="5035"/>
    <cellStyle name="연결된 셀 17 12 2 4 2" xfId="22176"/>
    <cellStyle name="연결된 셀 17 12 2 5" xfId="22173"/>
    <cellStyle name="연결된 셀 17 12 3" xfId="5036"/>
    <cellStyle name="연결된 셀 17 12 3 2" xfId="5037"/>
    <cellStyle name="연결된 셀 17 12 3 2 2" xfId="22178"/>
    <cellStyle name="연결된 셀 17 12 3 3" xfId="5038"/>
    <cellStyle name="연결된 셀 17 12 3 3 2" xfId="22179"/>
    <cellStyle name="연결된 셀 17 12 3 4" xfId="5039"/>
    <cellStyle name="연결된 셀 17 12 3 4 2" xfId="22180"/>
    <cellStyle name="연결된 셀 17 12 3 5" xfId="22177"/>
    <cellStyle name="연결된 셀 17 12 4" xfId="5040"/>
    <cellStyle name="연결된 셀 17 12 4 2" xfId="5041"/>
    <cellStyle name="연결된 셀 17 12 4 2 2" xfId="22182"/>
    <cellStyle name="연결된 셀 17 12 4 3" xfId="5042"/>
    <cellStyle name="연결된 셀 17 12 4 3 2" xfId="22183"/>
    <cellStyle name="연결된 셀 17 12 4 4" xfId="5043"/>
    <cellStyle name="연결된 셀 17 12 4 4 2" xfId="22184"/>
    <cellStyle name="연결된 셀 17 12 4 5" xfId="22181"/>
    <cellStyle name="연결된 셀 17 12 5" xfId="5044"/>
    <cellStyle name="연결된 셀 17 12 5 2" xfId="22185"/>
    <cellStyle name="연결된 셀 17 12 6" xfId="5045"/>
    <cellStyle name="연결된 셀 17 12 6 2" xfId="22186"/>
    <cellStyle name="연결된 셀 17 12 7" xfId="5046"/>
    <cellStyle name="연결된 셀 17 12 7 2" xfId="22187"/>
    <cellStyle name="연결된 셀 17 12 8" xfId="22172"/>
    <cellStyle name="연결된 셀 17 13" xfId="5047"/>
    <cellStyle name="연결된 셀 17 13 2" xfId="5048"/>
    <cellStyle name="연결된 셀 17 13 2 2" xfId="22189"/>
    <cellStyle name="연결된 셀 17 13 3" xfId="5049"/>
    <cellStyle name="연결된 셀 17 13 3 2" xfId="22190"/>
    <cellStyle name="연결된 셀 17 13 4" xfId="5050"/>
    <cellStyle name="연결된 셀 17 13 4 2" xfId="22191"/>
    <cellStyle name="연결된 셀 17 13 5" xfId="22188"/>
    <cellStyle name="연결된 셀 17 14" xfId="5051"/>
    <cellStyle name="연결된 셀 17 14 2" xfId="22192"/>
    <cellStyle name="연결된 셀 17 15" xfId="5052"/>
    <cellStyle name="연결된 셀 17 15 2" xfId="22193"/>
    <cellStyle name="연결된 셀 17 16" xfId="5053"/>
    <cellStyle name="연결된 셀 17 16 2" xfId="22194"/>
    <cellStyle name="연결된 셀 17 17" xfId="22139"/>
    <cellStyle name="연결된 셀 17 2" xfId="5054"/>
    <cellStyle name="연결된 셀 17 2 10" xfId="5055"/>
    <cellStyle name="연결된 셀 17 2 10 2" xfId="5056"/>
    <cellStyle name="연결된 셀 17 2 10 2 2" xfId="5057"/>
    <cellStyle name="연결된 셀 17 2 10 2 2 2" xfId="22198"/>
    <cellStyle name="연결된 셀 17 2 10 2 3" xfId="5058"/>
    <cellStyle name="연결된 셀 17 2 10 2 3 2" xfId="22199"/>
    <cellStyle name="연결된 셀 17 2 10 2 4" xfId="5059"/>
    <cellStyle name="연결된 셀 17 2 10 2 4 2" xfId="22200"/>
    <cellStyle name="연결된 셀 17 2 10 2 5" xfId="22197"/>
    <cellStyle name="연결된 셀 17 2 10 3" xfId="5060"/>
    <cellStyle name="연결된 셀 17 2 10 3 2" xfId="5061"/>
    <cellStyle name="연결된 셀 17 2 10 3 2 2" xfId="22202"/>
    <cellStyle name="연결된 셀 17 2 10 3 3" xfId="5062"/>
    <cellStyle name="연결된 셀 17 2 10 3 3 2" xfId="22203"/>
    <cellStyle name="연결된 셀 17 2 10 3 4" xfId="5063"/>
    <cellStyle name="연결된 셀 17 2 10 3 4 2" xfId="22204"/>
    <cellStyle name="연결된 셀 17 2 10 3 5" xfId="22201"/>
    <cellStyle name="연결된 셀 17 2 10 4" xfId="5064"/>
    <cellStyle name="연결된 셀 17 2 10 4 2" xfId="5065"/>
    <cellStyle name="연결된 셀 17 2 10 4 2 2" xfId="22206"/>
    <cellStyle name="연결된 셀 17 2 10 4 3" xfId="5066"/>
    <cellStyle name="연결된 셀 17 2 10 4 3 2" xfId="22207"/>
    <cellStyle name="연결된 셀 17 2 10 4 4" xfId="5067"/>
    <cellStyle name="연결된 셀 17 2 10 4 4 2" xfId="22208"/>
    <cellStyle name="연결된 셀 17 2 10 4 5" xfId="22205"/>
    <cellStyle name="연결된 셀 17 2 10 5" xfId="5068"/>
    <cellStyle name="연결된 셀 17 2 10 5 2" xfId="22209"/>
    <cellStyle name="연결된 셀 17 2 10 6" xfId="5069"/>
    <cellStyle name="연결된 셀 17 2 10 6 2" xfId="22210"/>
    <cellStyle name="연결된 셀 17 2 10 7" xfId="5070"/>
    <cellStyle name="연결된 셀 17 2 10 7 2" xfId="22211"/>
    <cellStyle name="연결된 셀 17 2 10 8" xfId="22196"/>
    <cellStyle name="연결된 셀 17 2 11" xfId="5071"/>
    <cellStyle name="연결된 셀 17 2 11 2" xfId="5072"/>
    <cellStyle name="연결된 셀 17 2 11 2 2" xfId="5073"/>
    <cellStyle name="연결된 셀 17 2 11 2 2 2" xfId="22214"/>
    <cellStyle name="연결된 셀 17 2 11 2 3" xfId="5074"/>
    <cellStyle name="연결된 셀 17 2 11 2 3 2" xfId="22215"/>
    <cellStyle name="연결된 셀 17 2 11 2 4" xfId="5075"/>
    <cellStyle name="연결된 셀 17 2 11 2 4 2" xfId="22216"/>
    <cellStyle name="연결된 셀 17 2 11 2 5" xfId="22213"/>
    <cellStyle name="연결된 셀 17 2 11 3" xfId="5076"/>
    <cellStyle name="연결된 셀 17 2 11 3 2" xfId="5077"/>
    <cellStyle name="연결된 셀 17 2 11 3 2 2" xfId="22218"/>
    <cellStyle name="연결된 셀 17 2 11 3 3" xfId="5078"/>
    <cellStyle name="연결된 셀 17 2 11 3 3 2" xfId="22219"/>
    <cellStyle name="연결된 셀 17 2 11 3 4" xfId="5079"/>
    <cellStyle name="연결된 셀 17 2 11 3 4 2" xfId="22220"/>
    <cellStyle name="연결된 셀 17 2 11 3 5" xfId="22217"/>
    <cellStyle name="연결된 셀 17 2 11 4" xfId="5080"/>
    <cellStyle name="연결된 셀 17 2 11 4 2" xfId="5081"/>
    <cellStyle name="연결된 셀 17 2 11 4 2 2" xfId="22222"/>
    <cellStyle name="연결된 셀 17 2 11 4 3" xfId="5082"/>
    <cellStyle name="연결된 셀 17 2 11 4 3 2" xfId="22223"/>
    <cellStyle name="연결된 셀 17 2 11 4 4" xfId="5083"/>
    <cellStyle name="연결된 셀 17 2 11 4 4 2" xfId="22224"/>
    <cellStyle name="연결된 셀 17 2 11 4 5" xfId="22221"/>
    <cellStyle name="연결된 셀 17 2 11 5" xfId="5084"/>
    <cellStyle name="연결된 셀 17 2 11 5 2" xfId="22225"/>
    <cellStyle name="연결된 셀 17 2 11 6" xfId="5085"/>
    <cellStyle name="연결된 셀 17 2 11 6 2" xfId="22226"/>
    <cellStyle name="연결된 셀 17 2 11 7" xfId="5086"/>
    <cellStyle name="연결된 셀 17 2 11 7 2" xfId="22227"/>
    <cellStyle name="연결된 셀 17 2 11 8" xfId="22212"/>
    <cellStyle name="연결된 셀 17 2 12" xfId="5087"/>
    <cellStyle name="연결된 셀 17 2 12 2" xfId="5088"/>
    <cellStyle name="연결된 셀 17 2 12 2 2" xfId="22229"/>
    <cellStyle name="연결된 셀 17 2 12 3" xfId="5089"/>
    <cellStyle name="연결된 셀 17 2 12 3 2" xfId="22230"/>
    <cellStyle name="연결된 셀 17 2 12 4" xfId="5090"/>
    <cellStyle name="연결된 셀 17 2 12 4 2" xfId="22231"/>
    <cellStyle name="연결된 셀 17 2 12 5" xfId="22228"/>
    <cellStyle name="연결된 셀 17 2 13" xfId="5091"/>
    <cellStyle name="연결된 셀 17 2 13 2" xfId="22232"/>
    <cellStyle name="연결된 셀 17 2 14" xfId="5092"/>
    <cellStyle name="연결된 셀 17 2 14 2" xfId="22233"/>
    <cellStyle name="연결된 셀 17 2 15" xfId="5093"/>
    <cellStyle name="연결된 셀 17 2 15 2" xfId="22234"/>
    <cellStyle name="연결된 셀 17 2 16" xfId="22195"/>
    <cellStyle name="연결된 셀 17 2 2" xfId="5094"/>
    <cellStyle name="연결된 셀 17 2 2 2" xfId="5095"/>
    <cellStyle name="연결된 셀 17 2 2 2 2" xfId="5096"/>
    <cellStyle name="연결된 셀 17 2 2 2 2 2" xfId="22237"/>
    <cellStyle name="연결된 셀 17 2 2 2 3" xfId="5097"/>
    <cellStyle name="연결된 셀 17 2 2 2 3 2" xfId="22238"/>
    <cellStyle name="연결된 셀 17 2 2 2 4" xfId="5098"/>
    <cellStyle name="연결된 셀 17 2 2 2 4 2" xfId="22239"/>
    <cellStyle name="연결된 셀 17 2 2 2 5" xfId="22236"/>
    <cellStyle name="연결된 셀 17 2 2 3" xfId="5099"/>
    <cellStyle name="연결된 셀 17 2 2 3 2" xfId="5100"/>
    <cellStyle name="연결된 셀 17 2 2 3 2 2" xfId="22241"/>
    <cellStyle name="연결된 셀 17 2 2 3 3" xfId="5101"/>
    <cellStyle name="연결된 셀 17 2 2 3 3 2" xfId="22242"/>
    <cellStyle name="연결된 셀 17 2 2 3 4" xfId="5102"/>
    <cellStyle name="연결된 셀 17 2 2 3 4 2" xfId="22243"/>
    <cellStyle name="연결된 셀 17 2 2 3 5" xfId="22240"/>
    <cellStyle name="연결된 셀 17 2 2 4" xfId="5103"/>
    <cellStyle name="연결된 셀 17 2 2 4 2" xfId="5104"/>
    <cellStyle name="연결된 셀 17 2 2 4 2 2" xfId="22245"/>
    <cellStyle name="연결된 셀 17 2 2 4 3" xfId="5105"/>
    <cellStyle name="연결된 셀 17 2 2 4 3 2" xfId="22246"/>
    <cellStyle name="연결된 셀 17 2 2 4 4" xfId="5106"/>
    <cellStyle name="연결된 셀 17 2 2 4 4 2" xfId="22247"/>
    <cellStyle name="연결된 셀 17 2 2 4 5" xfId="22244"/>
    <cellStyle name="연결된 셀 17 2 2 5" xfId="5107"/>
    <cellStyle name="연결된 셀 17 2 2 5 2" xfId="22248"/>
    <cellStyle name="연결된 셀 17 2 2 6" xfId="5108"/>
    <cellStyle name="연결된 셀 17 2 2 6 2" xfId="22249"/>
    <cellStyle name="연결된 셀 17 2 2 7" xfId="5109"/>
    <cellStyle name="연결된 셀 17 2 2 7 2" xfId="22250"/>
    <cellStyle name="연결된 셀 17 2 2 8" xfId="22235"/>
    <cellStyle name="연결된 셀 17 2 3" xfId="5110"/>
    <cellStyle name="연결된 셀 17 2 3 2" xfId="5111"/>
    <cellStyle name="연결된 셀 17 2 3 2 2" xfId="5112"/>
    <cellStyle name="연결된 셀 17 2 3 2 2 2" xfId="22253"/>
    <cellStyle name="연결된 셀 17 2 3 2 3" xfId="5113"/>
    <cellStyle name="연결된 셀 17 2 3 2 3 2" xfId="22254"/>
    <cellStyle name="연결된 셀 17 2 3 2 4" xfId="5114"/>
    <cellStyle name="연결된 셀 17 2 3 2 4 2" xfId="22255"/>
    <cellStyle name="연결된 셀 17 2 3 2 5" xfId="22252"/>
    <cellStyle name="연결된 셀 17 2 3 3" xfId="5115"/>
    <cellStyle name="연결된 셀 17 2 3 3 2" xfId="5116"/>
    <cellStyle name="연결된 셀 17 2 3 3 2 2" xfId="22257"/>
    <cellStyle name="연결된 셀 17 2 3 3 3" xfId="5117"/>
    <cellStyle name="연결된 셀 17 2 3 3 3 2" xfId="22258"/>
    <cellStyle name="연결된 셀 17 2 3 3 4" xfId="5118"/>
    <cellStyle name="연결된 셀 17 2 3 3 4 2" xfId="22259"/>
    <cellStyle name="연결된 셀 17 2 3 3 5" xfId="22256"/>
    <cellStyle name="연결된 셀 17 2 3 4" xfId="5119"/>
    <cellStyle name="연결된 셀 17 2 3 4 2" xfId="5120"/>
    <cellStyle name="연결된 셀 17 2 3 4 2 2" xfId="22261"/>
    <cellStyle name="연결된 셀 17 2 3 4 3" xfId="5121"/>
    <cellStyle name="연결된 셀 17 2 3 4 3 2" xfId="22262"/>
    <cellStyle name="연결된 셀 17 2 3 4 4" xfId="5122"/>
    <cellStyle name="연결된 셀 17 2 3 4 4 2" xfId="22263"/>
    <cellStyle name="연결된 셀 17 2 3 4 5" xfId="22260"/>
    <cellStyle name="연결된 셀 17 2 3 5" xfId="5123"/>
    <cellStyle name="연결된 셀 17 2 3 5 2" xfId="22264"/>
    <cellStyle name="연결된 셀 17 2 3 6" xfId="5124"/>
    <cellStyle name="연결된 셀 17 2 3 6 2" xfId="22265"/>
    <cellStyle name="연결된 셀 17 2 3 7" xfId="5125"/>
    <cellStyle name="연결된 셀 17 2 3 7 2" xfId="22266"/>
    <cellStyle name="연결된 셀 17 2 3 8" xfId="22251"/>
    <cellStyle name="연결된 셀 17 2 4" xfId="5126"/>
    <cellStyle name="연결된 셀 17 2 4 2" xfId="5127"/>
    <cellStyle name="연결된 셀 17 2 4 2 2" xfId="5128"/>
    <cellStyle name="연결된 셀 17 2 4 2 2 2" xfId="22269"/>
    <cellStyle name="연결된 셀 17 2 4 2 3" xfId="5129"/>
    <cellStyle name="연결된 셀 17 2 4 2 3 2" xfId="22270"/>
    <cellStyle name="연결된 셀 17 2 4 2 4" xfId="5130"/>
    <cellStyle name="연결된 셀 17 2 4 2 4 2" xfId="22271"/>
    <cellStyle name="연결된 셀 17 2 4 2 5" xfId="22268"/>
    <cellStyle name="연결된 셀 17 2 4 3" xfId="5131"/>
    <cellStyle name="연결된 셀 17 2 4 3 2" xfId="5132"/>
    <cellStyle name="연결된 셀 17 2 4 3 2 2" xfId="22273"/>
    <cellStyle name="연결된 셀 17 2 4 3 3" xfId="5133"/>
    <cellStyle name="연결된 셀 17 2 4 3 3 2" xfId="22274"/>
    <cellStyle name="연결된 셀 17 2 4 3 4" xfId="5134"/>
    <cellStyle name="연결된 셀 17 2 4 3 4 2" xfId="22275"/>
    <cellStyle name="연결된 셀 17 2 4 3 5" xfId="22272"/>
    <cellStyle name="연결된 셀 17 2 4 4" xfId="5135"/>
    <cellStyle name="연결된 셀 17 2 4 4 2" xfId="5136"/>
    <cellStyle name="연결된 셀 17 2 4 4 2 2" xfId="22277"/>
    <cellStyle name="연결된 셀 17 2 4 4 3" xfId="5137"/>
    <cellStyle name="연결된 셀 17 2 4 4 3 2" xfId="22278"/>
    <cellStyle name="연결된 셀 17 2 4 4 4" xfId="5138"/>
    <cellStyle name="연결된 셀 17 2 4 4 4 2" xfId="22279"/>
    <cellStyle name="연결된 셀 17 2 4 4 5" xfId="22276"/>
    <cellStyle name="연결된 셀 17 2 4 5" xfId="5139"/>
    <cellStyle name="연결된 셀 17 2 4 5 2" xfId="22280"/>
    <cellStyle name="연결된 셀 17 2 4 6" xfId="5140"/>
    <cellStyle name="연결된 셀 17 2 4 6 2" xfId="22281"/>
    <cellStyle name="연결된 셀 17 2 4 7" xfId="5141"/>
    <cellStyle name="연결된 셀 17 2 4 7 2" xfId="22282"/>
    <cellStyle name="연결된 셀 17 2 4 8" xfId="22267"/>
    <cellStyle name="연결된 셀 17 2 5" xfId="5142"/>
    <cellStyle name="연결된 셀 17 2 5 2" xfId="5143"/>
    <cellStyle name="연결된 셀 17 2 5 2 2" xfId="5144"/>
    <cellStyle name="연결된 셀 17 2 5 2 2 2" xfId="22285"/>
    <cellStyle name="연결된 셀 17 2 5 2 3" xfId="5145"/>
    <cellStyle name="연결된 셀 17 2 5 2 3 2" xfId="22286"/>
    <cellStyle name="연결된 셀 17 2 5 2 4" xfId="5146"/>
    <cellStyle name="연결된 셀 17 2 5 2 4 2" xfId="22287"/>
    <cellStyle name="연결된 셀 17 2 5 2 5" xfId="22284"/>
    <cellStyle name="연결된 셀 17 2 5 3" xfId="5147"/>
    <cellStyle name="연결된 셀 17 2 5 3 2" xfId="5148"/>
    <cellStyle name="연결된 셀 17 2 5 3 2 2" xfId="22289"/>
    <cellStyle name="연결된 셀 17 2 5 3 3" xfId="5149"/>
    <cellStyle name="연결된 셀 17 2 5 3 3 2" xfId="22290"/>
    <cellStyle name="연결된 셀 17 2 5 3 4" xfId="5150"/>
    <cellStyle name="연결된 셀 17 2 5 3 4 2" xfId="22291"/>
    <cellStyle name="연결된 셀 17 2 5 3 5" xfId="22288"/>
    <cellStyle name="연결된 셀 17 2 5 4" xfId="5151"/>
    <cellStyle name="연결된 셀 17 2 5 4 2" xfId="5152"/>
    <cellStyle name="연결된 셀 17 2 5 4 2 2" xfId="22293"/>
    <cellStyle name="연결된 셀 17 2 5 4 3" xfId="5153"/>
    <cellStyle name="연결된 셀 17 2 5 4 3 2" xfId="22294"/>
    <cellStyle name="연결된 셀 17 2 5 4 4" xfId="5154"/>
    <cellStyle name="연결된 셀 17 2 5 4 4 2" xfId="22295"/>
    <cellStyle name="연결된 셀 17 2 5 4 5" xfId="22292"/>
    <cellStyle name="연결된 셀 17 2 5 5" xfId="5155"/>
    <cellStyle name="연결된 셀 17 2 5 5 2" xfId="22296"/>
    <cellStyle name="연결된 셀 17 2 5 6" xfId="5156"/>
    <cellStyle name="연결된 셀 17 2 5 6 2" xfId="22297"/>
    <cellStyle name="연결된 셀 17 2 5 7" xfId="5157"/>
    <cellStyle name="연결된 셀 17 2 5 7 2" xfId="22298"/>
    <cellStyle name="연결된 셀 17 2 5 8" xfId="22283"/>
    <cellStyle name="연결된 셀 17 2 6" xfId="5158"/>
    <cellStyle name="연결된 셀 17 2 6 2" xfId="5159"/>
    <cellStyle name="연결된 셀 17 2 6 2 2" xfId="5160"/>
    <cellStyle name="연결된 셀 17 2 6 2 2 2" xfId="22301"/>
    <cellStyle name="연결된 셀 17 2 6 2 3" xfId="5161"/>
    <cellStyle name="연결된 셀 17 2 6 2 3 2" xfId="22302"/>
    <cellStyle name="연결된 셀 17 2 6 2 4" xfId="5162"/>
    <cellStyle name="연결된 셀 17 2 6 2 4 2" xfId="22303"/>
    <cellStyle name="연결된 셀 17 2 6 2 5" xfId="22300"/>
    <cellStyle name="연결된 셀 17 2 6 3" xfId="5163"/>
    <cellStyle name="연결된 셀 17 2 6 3 2" xfId="5164"/>
    <cellStyle name="연결된 셀 17 2 6 3 2 2" xfId="22305"/>
    <cellStyle name="연결된 셀 17 2 6 3 3" xfId="5165"/>
    <cellStyle name="연결된 셀 17 2 6 3 3 2" xfId="22306"/>
    <cellStyle name="연결된 셀 17 2 6 3 4" xfId="5166"/>
    <cellStyle name="연결된 셀 17 2 6 3 4 2" xfId="22307"/>
    <cellStyle name="연결된 셀 17 2 6 3 5" xfId="22304"/>
    <cellStyle name="연결된 셀 17 2 6 4" xfId="5167"/>
    <cellStyle name="연결된 셀 17 2 6 4 2" xfId="5168"/>
    <cellStyle name="연결된 셀 17 2 6 4 2 2" xfId="22309"/>
    <cellStyle name="연결된 셀 17 2 6 4 3" xfId="5169"/>
    <cellStyle name="연결된 셀 17 2 6 4 3 2" xfId="22310"/>
    <cellStyle name="연결된 셀 17 2 6 4 4" xfId="5170"/>
    <cellStyle name="연결된 셀 17 2 6 4 4 2" xfId="22311"/>
    <cellStyle name="연결된 셀 17 2 6 4 5" xfId="22308"/>
    <cellStyle name="연결된 셀 17 2 6 5" xfId="5171"/>
    <cellStyle name="연결된 셀 17 2 6 5 2" xfId="22312"/>
    <cellStyle name="연결된 셀 17 2 6 6" xfId="5172"/>
    <cellStyle name="연결된 셀 17 2 6 6 2" xfId="22313"/>
    <cellStyle name="연결된 셀 17 2 6 7" xfId="5173"/>
    <cellStyle name="연결된 셀 17 2 6 7 2" xfId="22314"/>
    <cellStyle name="연결된 셀 17 2 6 8" xfId="22299"/>
    <cellStyle name="연결된 셀 17 2 7" xfId="5174"/>
    <cellStyle name="연결된 셀 17 2 7 2" xfId="5175"/>
    <cellStyle name="연결된 셀 17 2 7 2 2" xfId="5176"/>
    <cellStyle name="연결된 셀 17 2 7 2 2 2" xfId="22317"/>
    <cellStyle name="연결된 셀 17 2 7 2 3" xfId="5177"/>
    <cellStyle name="연결된 셀 17 2 7 2 3 2" xfId="22318"/>
    <cellStyle name="연결된 셀 17 2 7 2 4" xfId="5178"/>
    <cellStyle name="연결된 셀 17 2 7 2 4 2" xfId="22319"/>
    <cellStyle name="연결된 셀 17 2 7 2 5" xfId="22316"/>
    <cellStyle name="연결된 셀 17 2 7 3" xfId="5179"/>
    <cellStyle name="연결된 셀 17 2 7 3 2" xfId="5180"/>
    <cellStyle name="연결된 셀 17 2 7 3 2 2" xfId="22321"/>
    <cellStyle name="연결된 셀 17 2 7 3 3" xfId="5181"/>
    <cellStyle name="연결된 셀 17 2 7 3 3 2" xfId="22322"/>
    <cellStyle name="연결된 셀 17 2 7 3 4" xfId="5182"/>
    <cellStyle name="연결된 셀 17 2 7 3 4 2" xfId="22323"/>
    <cellStyle name="연결된 셀 17 2 7 3 5" xfId="22320"/>
    <cellStyle name="연결된 셀 17 2 7 4" xfId="5183"/>
    <cellStyle name="연결된 셀 17 2 7 4 2" xfId="5184"/>
    <cellStyle name="연결된 셀 17 2 7 4 2 2" xfId="22325"/>
    <cellStyle name="연결된 셀 17 2 7 4 3" xfId="5185"/>
    <cellStyle name="연결된 셀 17 2 7 4 3 2" xfId="22326"/>
    <cellStyle name="연결된 셀 17 2 7 4 4" xfId="5186"/>
    <cellStyle name="연결된 셀 17 2 7 4 4 2" xfId="22327"/>
    <cellStyle name="연결된 셀 17 2 7 4 5" xfId="22324"/>
    <cellStyle name="연결된 셀 17 2 7 5" xfId="5187"/>
    <cellStyle name="연결된 셀 17 2 7 5 2" xfId="22328"/>
    <cellStyle name="연결된 셀 17 2 7 6" xfId="5188"/>
    <cellStyle name="연결된 셀 17 2 7 6 2" xfId="22329"/>
    <cellStyle name="연결된 셀 17 2 7 7" xfId="5189"/>
    <cellStyle name="연결된 셀 17 2 7 7 2" xfId="22330"/>
    <cellStyle name="연결된 셀 17 2 7 8" xfId="22315"/>
    <cellStyle name="연결된 셀 17 2 8" xfId="5190"/>
    <cellStyle name="연결된 셀 17 2 8 2" xfId="5191"/>
    <cellStyle name="연결된 셀 17 2 8 2 2" xfId="5192"/>
    <cellStyle name="연결된 셀 17 2 8 2 2 2" xfId="22333"/>
    <cellStyle name="연결된 셀 17 2 8 2 3" xfId="5193"/>
    <cellStyle name="연결된 셀 17 2 8 2 3 2" xfId="22334"/>
    <cellStyle name="연결된 셀 17 2 8 2 4" xfId="5194"/>
    <cellStyle name="연결된 셀 17 2 8 2 4 2" xfId="22335"/>
    <cellStyle name="연결된 셀 17 2 8 2 5" xfId="22332"/>
    <cellStyle name="연결된 셀 17 2 8 3" xfId="5195"/>
    <cellStyle name="연결된 셀 17 2 8 3 2" xfId="5196"/>
    <cellStyle name="연결된 셀 17 2 8 3 2 2" xfId="22337"/>
    <cellStyle name="연결된 셀 17 2 8 3 3" xfId="5197"/>
    <cellStyle name="연결된 셀 17 2 8 3 3 2" xfId="22338"/>
    <cellStyle name="연결된 셀 17 2 8 3 4" xfId="5198"/>
    <cellStyle name="연결된 셀 17 2 8 3 4 2" xfId="22339"/>
    <cellStyle name="연결된 셀 17 2 8 3 5" xfId="22336"/>
    <cellStyle name="연결된 셀 17 2 8 4" xfId="5199"/>
    <cellStyle name="연결된 셀 17 2 8 4 2" xfId="5200"/>
    <cellStyle name="연결된 셀 17 2 8 4 2 2" xfId="22341"/>
    <cellStyle name="연결된 셀 17 2 8 4 3" xfId="5201"/>
    <cellStyle name="연결된 셀 17 2 8 4 3 2" xfId="22342"/>
    <cellStyle name="연결된 셀 17 2 8 4 4" xfId="5202"/>
    <cellStyle name="연결된 셀 17 2 8 4 4 2" xfId="22343"/>
    <cellStyle name="연결된 셀 17 2 8 4 5" xfId="22340"/>
    <cellStyle name="연결된 셀 17 2 8 5" xfId="5203"/>
    <cellStyle name="연결된 셀 17 2 8 5 2" xfId="22344"/>
    <cellStyle name="연결된 셀 17 2 8 6" xfId="5204"/>
    <cellStyle name="연결된 셀 17 2 8 6 2" xfId="22345"/>
    <cellStyle name="연결된 셀 17 2 8 7" xfId="5205"/>
    <cellStyle name="연결된 셀 17 2 8 7 2" xfId="22346"/>
    <cellStyle name="연결된 셀 17 2 8 8" xfId="22331"/>
    <cellStyle name="연결된 셀 17 2 9" xfId="5206"/>
    <cellStyle name="연결된 셀 17 2 9 2" xfId="5207"/>
    <cellStyle name="연결된 셀 17 2 9 2 2" xfId="5208"/>
    <cellStyle name="연결된 셀 17 2 9 2 2 2" xfId="22349"/>
    <cellStyle name="연결된 셀 17 2 9 2 3" xfId="5209"/>
    <cellStyle name="연결된 셀 17 2 9 2 3 2" xfId="22350"/>
    <cellStyle name="연결된 셀 17 2 9 2 4" xfId="5210"/>
    <cellStyle name="연결된 셀 17 2 9 2 4 2" xfId="22351"/>
    <cellStyle name="연결된 셀 17 2 9 2 5" xfId="22348"/>
    <cellStyle name="연결된 셀 17 2 9 3" xfId="5211"/>
    <cellStyle name="연결된 셀 17 2 9 3 2" xfId="5212"/>
    <cellStyle name="연결된 셀 17 2 9 3 2 2" xfId="22353"/>
    <cellStyle name="연결된 셀 17 2 9 3 3" xfId="5213"/>
    <cellStyle name="연결된 셀 17 2 9 3 3 2" xfId="22354"/>
    <cellStyle name="연결된 셀 17 2 9 3 4" xfId="5214"/>
    <cellStyle name="연결된 셀 17 2 9 3 4 2" xfId="22355"/>
    <cellStyle name="연결된 셀 17 2 9 3 5" xfId="22352"/>
    <cellStyle name="연결된 셀 17 2 9 4" xfId="5215"/>
    <cellStyle name="연결된 셀 17 2 9 4 2" xfId="5216"/>
    <cellStyle name="연결된 셀 17 2 9 4 2 2" xfId="22357"/>
    <cellStyle name="연결된 셀 17 2 9 4 3" xfId="5217"/>
    <cellStyle name="연결된 셀 17 2 9 4 3 2" xfId="22358"/>
    <cellStyle name="연결된 셀 17 2 9 4 4" xfId="5218"/>
    <cellStyle name="연결된 셀 17 2 9 4 4 2" xfId="22359"/>
    <cellStyle name="연결된 셀 17 2 9 4 5" xfId="22356"/>
    <cellStyle name="연결된 셀 17 2 9 5" xfId="5219"/>
    <cellStyle name="연결된 셀 17 2 9 5 2" xfId="22360"/>
    <cellStyle name="연결된 셀 17 2 9 6" xfId="5220"/>
    <cellStyle name="연결된 셀 17 2 9 6 2" xfId="22361"/>
    <cellStyle name="연결된 셀 17 2 9 7" xfId="5221"/>
    <cellStyle name="연결된 셀 17 2 9 7 2" xfId="22362"/>
    <cellStyle name="연결된 셀 17 2 9 8" xfId="22347"/>
    <cellStyle name="연결된 셀 17 3" xfId="5222"/>
    <cellStyle name="연결된 셀 17 3 2" xfId="5223"/>
    <cellStyle name="연결된 셀 17 3 2 2" xfId="5224"/>
    <cellStyle name="연결된 셀 17 3 2 2 2" xfId="22365"/>
    <cellStyle name="연결된 셀 17 3 2 3" xfId="5225"/>
    <cellStyle name="연결된 셀 17 3 2 3 2" xfId="22366"/>
    <cellStyle name="연결된 셀 17 3 2 4" xfId="5226"/>
    <cellStyle name="연결된 셀 17 3 2 4 2" xfId="22367"/>
    <cellStyle name="연결된 셀 17 3 2 5" xfId="22364"/>
    <cellStyle name="연결된 셀 17 3 3" xfId="5227"/>
    <cellStyle name="연결된 셀 17 3 3 2" xfId="5228"/>
    <cellStyle name="연결된 셀 17 3 3 2 2" xfId="22369"/>
    <cellStyle name="연결된 셀 17 3 3 3" xfId="5229"/>
    <cellStyle name="연결된 셀 17 3 3 3 2" xfId="22370"/>
    <cellStyle name="연결된 셀 17 3 3 4" xfId="5230"/>
    <cellStyle name="연결된 셀 17 3 3 4 2" xfId="22371"/>
    <cellStyle name="연결된 셀 17 3 3 5" xfId="22368"/>
    <cellStyle name="연결된 셀 17 3 4" xfId="5231"/>
    <cellStyle name="연결된 셀 17 3 4 2" xfId="5232"/>
    <cellStyle name="연결된 셀 17 3 4 2 2" xfId="22373"/>
    <cellStyle name="연결된 셀 17 3 4 3" xfId="5233"/>
    <cellStyle name="연결된 셀 17 3 4 3 2" xfId="22374"/>
    <cellStyle name="연결된 셀 17 3 4 4" xfId="5234"/>
    <cellStyle name="연결된 셀 17 3 4 4 2" xfId="22375"/>
    <cellStyle name="연결된 셀 17 3 4 5" xfId="22372"/>
    <cellStyle name="연결된 셀 17 3 5" xfId="5235"/>
    <cellStyle name="연결된 셀 17 3 5 2" xfId="22376"/>
    <cellStyle name="연결된 셀 17 3 6" xfId="5236"/>
    <cellStyle name="연결된 셀 17 3 6 2" xfId="22377"/>
    <cellStyle name="연결된 셀 17 3 7" xfId="5237"/>
    <cellStyle name="연결된 셀 17 3 7 2" xfId="22378"/>
    <cellStyle name="연결된 셀 17 3 8" xfId="22363"/>
    <cellStyle name="연결된 셀 17 4" xfId="5238"/>
    <cellStyle name="연결된 셀 17 4 2" xfId="5239"/>
    <cellStyle name="연결된 셀 17 4 2 2" xfId="5240"/>
    <cellStyle name="연결된 셀 17 4 2 2 2" xfId="22381"/>
    <cellStyle name="연결된 셀 17 4 2 3" xfId="5241"/>
    <cellStyle name="연결된 셀 17 4 2 3 2" xfId="22382"/>
    <cellStyle name="연결된 셀 17 4 2 4" xfId="5242"/>
    <cellStyle name="연결된 셀 17 4 2 4 2" xfId="22383"/>
    <cellStyle name="연결된 셀 17 4 2 5" xfId="22380"/>
    <cellStyle name="연결된 셀 17 4 3" xfId="5243"/>
    <cellStyle name="연결된 셀 17 4 3 2" xfId="5244"/>
    <cellStyle name="연결된 셀 17 4 3 2 2" xfId="22385"/>
    <cellStyle name="연결된 셀 17 4 3 3" xfId="5245"/>
    <cellStyle name="연결된 셀 17 4 3 3 2" xfId="22386"/>
    <cellStyle name="연결된 셀 17 4 3 4" xfId="5246"/>
    <cellStyle name="연결된 셀 17 4 3 4 2" xfId="22387"/>
    <cellStyle name="연결된 셀 17 4 3 5" xfId="22384"/>
    <cellStyle name="연결된 셀 17 4 4" xfId="5247"/>
    <cellStyle name="연결된 셀 17 4 4 2" xfId="5248"/>
    <cellStyle name="연결된 셀 17 4 4 2 2" xfId="22389"/>
    <cellStyle name="연결된 셀 17 4 4 3" xfId="5249"/>
    <cellStyle name="연결된 셀 17 4 4 3 2" xfId="22390"/>
    <cellStyle name="연결된 셀 17 4 4 4" xfId="5250"/>
    <cellStyle name="연결된 셀 17 4 4 4 2" xfId="22391"/>
    <cellStyle name="연결된 셀 17 4 4 5" xfId="22388"/>
    <cellStyle name="연결된 셀 17 4 5" xfId="5251"/>
    <cellStyle name="연결된 셀 17 4 5 2" xfId="22392"/>
    <cellStyle name="연결된 셀 17 4 6" xfId="5252"/>
    <cellStyle name="연결된 셀 17 4 6 2" xfId="22393"/>
    <cellStyle name="연결된 셀 17 4 7" xfId="5253"/>
    <cellStyle name="연결된 셀 17 4 7 2" xfId="22394"/>
    <cellStyle name="연결된 셀 17 4 8" xfId="22379"/>
    <cellStyle name="연결된 셀 17 5" xfId="5254"/>
    <cellStyle name="연결된 셀 17 5 2" xfId="5255"/>
    <cellStyle name="연결된 셀 17 5 2 2" xfId="5256"/>
    <cellStyle name="연결된 셀 17 5 2 2 2" xfId="22397"/>
    <cellStyle name="연결된 셀 17 5 2 3" xfId="5257"/>
    <cellStyle name="연결된 셀 17 5 2 3 2" xfId="22398"/>
    <cellStyle name="연결된 셀 17 5 2 4" xfId="5258"/>
    <cellStyle name="연결된 셀 17 5 2 4 2" xfId="22399"/>
    <cellStyle name="연결된 셀 17 5 2 5" xfId="22396"/>
    <cellStyle name="연결된 셀 17 5 3" xfId="5259"/>
    <cellStyle name="연결된 셀 17 5 3 2" xfId="5260"/>
    <cellStyle name="연결된 셀 17 5 3 2 2" xfId="22401"/>
    <cellStyle name="연결된 셀 17 5 3 3" xfId="5261"/>
    <cellStyle name="연결된 셀 17 5 3 3 2" xfId="22402"/>
    <cellStyle name="연결된 셀 17 5 3 4" xfId="5262"/>
    <cellStyle name="연결된 셀 17 5 3 4 2" xfId="22403"/>
    <cellStyle name="연결된 셀 17 5 3 5" xfId="22400"/>
    <cellStyle name="연결된 셀 17 5 4" xfId="5263"/>
    <cellStyle name="연결된 셀 17 5 4 2" xfId="5264"/>
    <cellStyle name="연결된 셀 17 5 4 2 2" xfId="22405"/>
    <cellStyle name="연결된 셀 17 5 4 3" xfId="5265"/>
    <cellStyle name="연결된 셀 17 5 4 3 2" xfId="22406"/>
    <cellStyle name="연결된 셀 17 5 4 4" xfId="5266"/>
    <cellStyle name="연결된 셀 17 5 4 4 2" xfId="22407"/>
    <cellStyle name="연결된 셀 17 5 4 5" xfId="22404"/>
    <cellStyle name="연결된 셀 17 5 5" xfId="5267"/>
    <cellStyle name="연결된 셀 17 5 5 2" xfId="22408"/>
    <cellStyle name="연결된 셀 17 5 6" xfId="5268"/>
    <cellStyle name="연결된 셀 17 5 6 2" xfId="22409"/>
    <cellStyle name="연결된 셀 17 5 7" xfId="5269"/>
    <cellStyle name="연결된 셀 17 5 7 2" xfId="22410"/>
    <cellStyle name="연결된 셀 17 5 8" xfId="22395"/>
    <cellStyle name="연결된 셀 17 6" xfId="5270"/>
    <cellStyle name="연결된 셀 17 6 2" xfId="5271"/>
    <cellStyle name="연결된 셀 17 6 2 2" xfId="5272"/>
    <cellStyle name="연결된 셀 17 6 2 2 2" xfId="22413"/>
    <cellStyle name="연결된 셀 17 6 2 3" xfId="5273"/>
    <cellStyle name="연결된 셀 17 6 2 3 2" xfId="22414"/>
    <cellStyle name="연결된 셀 17 6 2 4" xfId="5274"/>
    <cellStyle name="연결된 셀 17 6 2 4 2" xfId="22415"/>
    <cellStyle name="연결된 셀 17 6 2 5" xfId="22412"/>
    <cellStyle name="연결된 셀 17 6 3" xfId="5275"/>
    <cellStyle name="연결된 셀 17 6 3 2" xfId="5276"/>
    <cellStyle name="연결된 셀 17 6 3 2 2" xfId="22417"/>
    <cellStyle name="연결된 셀 17 6 3 3" xfId="5277"/>
    <cellStyle name="연결된 셀 17 6 3 3 2" xfId="22418"/>
    <cellStyle name="연결된 셀 17 6 3 4" xfId="5278"/>
    <cellStyle name="연결된 셀 17 6 3 4 2" xfId="22419"/>
    <cellStyle name="연결된 셀 17 6 3 5" xfId="22416"/>
    <cellStyle name="연결된 셀 17 6 4" xfId="5279"/>
    <cellStyle name="연결된 셀 17 6 4 2" xfId="5280"/>
    <cellStyle name="연결된 셀 17 6 4 2 2" xfId="22421"/>
    <cellStyle name="연결된 셀 17 6 4 3" xfId="5281"/>
    <cellStyle name="연결된 셀 17 6 4 3 2" xfId="22422"/>
    <cellStyle name="연결된 셀 17 6 4 4" xfId="5282"/>
    <cellStyle name="연결된 셀 17 6 4 4 2" xfId="22423"/>
    <cellStyle name="연결된 셀 17 6 4 5" xfId="22420"/>
    <cellStyle name="연결된 셀 17 6 5" xfId="5283"/>
    <cellStyle name="연결된 셀 17 6 5 2" xfId="22424"/>
    <cellStyle name="연결된 셀 17 6 6" xfId="5284"/>
    <cellStyle name="연결된 셀 17 6 6 2" xfId="22425"/>
    <cellStyle name="연결된 셀 17 6 7" xfId="5285"/>
    <cellStyle name="연결된 셀 17 6 7 2" xfId="22426"/>
    <cellStyle name="연결된 셀 17 6 8" xfId="22411"/>
    <cellStyle name="연결된 셀 17 7" xfId="5286"/>
    <cellStyle name="연결된 셀 17 7 2" xfId="5287"/>
    <cellStyle name="연결된 셀 17 7 2 2" xfId="5288"/>
    <cellStyle name="연결된 셀 17 7 2 2 2" xfId="22429"/>
    <cellStyle name="연결된 셀 17 7 2 3" xfId="5289"/>
    <cellStyle name="연결된 셀 17 7 2 3 2" xfId="22430"/>
    <cellStyle name="연결된 셀 17 7 2 4" xfId="5290"/>
    <cellStyle name="연결된 셀 17 7 2 4 2" xfId="22431"/>
    <cellStyle name="연결된 셀 17 7 2 5" xfId="22428"/>
    <cellStyle name="연결된 셀 17 7 3" xfId="5291"/>
    <cellStyle name="연결된 셀 17 7 3 2" xfId="5292"/>
    <cellStyle name="연결된 셀 17 7 3 2 2" xfId="22433"/>
    <cellStyle name="연결된 셀 17 7 3 3" xfId="5293"/>
    <cellStyle name="연결된 셀 17 7 3 3 2" xfId="22434"/>
    <cellStyle name="연결된 셀 17 7 3 4" xfId="5294"/>
    <cellStyle name="연결된 셀 17 7 3 4 2" xfId="22435"/>
    <cellStyle name="연결된 셀 17 7 3 5" xfId="22432"/>
    <cellStyle name="연결된 셀 17 7 4" xfId="5295"/>
    <cellStyle name="연결된 셀 17 7 4 2" xfId="5296"/>
    <cellStyle name="연결된 셀 17 7 4 2 2" xfId="22437"/>
    <cellStyle name="연결된 셀 17 7 4 3" xfId="5297"/>
    <cellStyle name="연결된 셀 17 7 4 3 2" xfId="22438"/>
    <cellStyle name="연결된 셀 17 7 4 4" xfId="5298"/>
    <cellStyle name="연결된 셀 17 7 4 4 2" xfId="22439"/>
    <cellStyle name="연결된 셀 17 7 4 5" xfId="22436"/>
    <cellStyle name="연결된 셀 17 7 5" xfId="5299"/>
    <cellStyle name="연결된 셀 17 7 5 2" xfId="22440"/>
    <cellStyle name="연결된 셀 17 7 6" xfId="5300"/>
    <cellStyle name="연결된 셀 17 7 6 2" xfId="22441"/>
    <cellStyle name="연결된 셀 17 7 7" xfId="5301"/>
    <cellStyle name="연결된 셀 17 7 7 2" xfId="22442"/>
    <cellStyle name="연결된 셀 17 7 8" xfId="22427"/>
    <cellStyle name="연결된 셀 17 8" xfId="5302"/>
    <cellStyle name="연결된 셀 17 8 2" xfId="5303"/>
    <cellStyle name="연결된 셀 17 8 2 2" xfId="5304"/>
    <cellStyle name="연결된 셀 17 8 2 2 2" xfId="22445"/>
    <cellStyle name="연결된 셀 17 8 2 3" xfId="5305"/>
    <cellStyle name="연결된 셀 17 8 2 3 2" xfId="22446"/>
    <cellStyle name="연결된 셀 17 8 2 4" xfId="5306"/>
    <cellStyle name="연결된 셀 17 8 2 4 2" xfId="22447"/>
    <cellStyle name="연결된 셀 17 8 2 5" xfId="22444"/>
    <cellStyle name="연결된 셀 17 8 3" xfId="5307"/>
    <cellStyle name="연결된 셀 17 8 3 2" xfId="5308"/>
    <cellStyle name="연결된 셀 17 8 3 2 2" xfId="22449"/>
    <cellStyle name="연결된 셀 17 8 3 3" xfId="5309"/>
    <cellStyle name="연결된 셀 17 8 3 3 2" xfId="22450"/>
    <cellStyle name="연결된 셀 17 8 3 4" xfId="5310"/>
    <cellStyle name="연결된 셀 17 8 3 4 2" xfId="22451"/>
    <cellStyle name="연결된 셀 17 8 3 5" xfId="22448"/>
    <cellStyle name="연결된 셀 17 8 4" xfId="5311"/>
    <cellStyle name="연결된 셀 17 8 4 2" xfId="5312"/>
    <cellStyle name="연결된 셀 17 8 4 2 2" xfId="22453"/>
    <cellStyle name="연결된 셀 17 8 4 3" xfId="5313"/>
    <cellStyle name="연결된 셀 17 8 4 3 2" xfId="22454"/>
    <cellStyle name="연결된 셀 17 8 4 4" xfId="5314"/>
    <cellStyle name="연결된 셀 17 8 4 4 2" xfId="22455"/>
    <cellStyle name="연결된 셀 17 8 4 5" xfId="22452"/>
    <cellStyle name="연결된 셀 17 8 5" xfId="5315"/>
    <cellStyle name="연결된 셀 17 8 5 2" xfId="22456"/>
    <cellStyle name="연결된 셀 17 8 6" xfId="5316"/>
    <cellStyle name="연결된 셀 17 8 6 2" xfId="22457"/>
    <cellStyle name="연결된 셀 17 8 7" xfId="5317"/>
    <cellStyle name="연결된 셀 17 8 7 2" xfId="22458"/>
    <cellStyle name="연결된 셀 17 8 8" xfId="22443"/>
    <cellStyle name="연결된 셀 17 9" xfId="5318"/>
    <cellStyle name="연결된 셀 17 9 2" xfId="5319"/>
    <cellStyle name="연결된 셀 17 9 2 2" xfId="5320"/>
    <cellStyle name="연결된 셀 17 9 2 2 2" xfId="22461"/>
    <cellStyle name="연결된 셀 17 9 2 3" xfId="5321"/>
    <cellStyle name="연결된 셀 17 9 2 3 2" xfId="22462"/>
    <cellStyle name="연결된 셀 17 9 2 4" xfId="5322"/>
    <cellStyle name="연결된 셀 17 9 2 4 2" xfId="22463"/>
    <cellStyle name="연결된 셀 17 9 2 5" xfId="22460"/>
    <cellStyle name="연결된 셀 17 9 3" xfId="5323"/>
    <cellStyle name="연결된 셀 17 9 3 2" xfId="5324"/>
    <cellStyle name="연결된 셀 17 9 3 2 2" xfId="22465"/>
    <cellStyle name="연결된 셀 17 9 3 3" xfId="5325"/>
    <cellStyle name="연결된 셀 17 9 3 3 2" xfId="22466"/>
    <cellStyle name="연결된 셀 17 9 3 4" xfId="5326"/>
    <cellStyle name="연결된 셀 17 9 3 4 2" xfId="22467"/>
    <cellStyle name="연결된 셀 17 9 3 5" xfId="22464"/>
    <cellStyle name="연결된 셀 17 9 4" xfId="5327"/>
    <cellStyle name="연결된 셀 17 9 4 2" xfId="5328"/>
    <cellStyle name="연결된 셀 17 9 4 2 2" xfId="22469"/>
    <cellStyle name="연결된 셀 17 9 4 3" xfId="5329"/>
    <cellStyle name="연결된 셀 17 9 4 3 2" xfId="22470"/>
    <cellStyle name="연결된 셀 17 9 4 4" xfId="5330"/>
    <cellStyle name="연결된 셀 17 9 4 4 2" xfId="22471"/>
    <cellStyle name="연결된 셀 17 9 4 5" xfId="22468"/>
    <cellStyle name="연결된 셀 17 9 5" xfId="5331"/>
    <cellStyle name="연결된 셀 17 9 5 2" xfId="22472"/>
    <cellStyle name="연결된 셀 17 9 6" xfId="5332"/>
    <cellStyle name="연결된 셀 17 9 6 2" xfId="22473"/>
    <cellStyle name="연결된 셀 17 9 7" xfId="5333"/>
    <cellStyle name="연결된 셀 17 9 7 2" xfId="22474"/>
    <cellStyle name="연결된 셀 17 9 8" xfId="22459"/>
    <cellStyle name="연결된 셀 18" xfId="5334"/>
    <cellStyle name="연결된 셀 18 10" xfId="5335"/>
    <cellStyle name="연결된 셀 18 10 2" xfId="5336"/>
    <cellStyle name="연결된 셀 18 10 2 2" xfId="5337"/>
    <cellStyle name="연결된 셀 18 10 2 2 2" xfId="22478"/>
    <cellStyle name="연결된 셀 18 10 2 3" xfId="5338"/>
    <cellStyle name="연결된 셀 18 10 2 3 2" xfId="22479"/>
    <cellStyle name="연결된 셀 18 10 2 4" xfId="5339"/>
    <cellStyle name="연결된 셀 18 10 2 4 2" xfId="22480"/>
    <cellStyle name="연결된 셀 18 10 2 5" xfId="22477"/>
    <cellStyle name="연결된 셀 18 10 3" xfId="5340"/>
    <cellStyle name="연결된 셀 18 10 3 2" xfId="5341"/>
    <cellStyle name="연결된 셀 18 10 3 2 2" xfId="22482"/>
    <cellStyle name="연결된 셀 18 10 3 3" xfId="5342"/>
    <cellStyle name="연결된 셀 18 10 3 3 2" xfId="22483"/>
    <cellStyle name="연결된 셀 18 10 3 4" xfId="5343"/>
    <cellStyle name="연결된 셀 18 10 3 4 2" xfId="22484"/>
    <cellStyle name="연결된 셀 18 10 3 5" xfId="22481"/>
    <cellStyle name="연결된 셀 18 10 4" xfId="5344"/>
    <cellStyle name="연결된 셀 18 10 4 2" xfId="5345"/>
    <cellStyle name="연결된 셀 18 10 4 2 2" xfId="22486"/>
    <cellStyle name="연결된 셀 18 10 4 3" xfId="5346"/>
    <cellStyle name="연결된 셀 18 10 4 3 2" xfId="22487"/>
    <cellStyle name="연결된 셀 18 10 4 4" xfId="5347"/>
    <cellStyle name="연결된 셀 18 10 4 4 2" xfId="22488"/>
    <cellStyle name="연결된 셀 18 10 4 5" xfId="22485"/>
    <cellStyle name="연결된 셀 18 10 5" xfId="5348"/>
    <cellStyle name="연결된 셀 18 10 5 2" xfId="22489"/>
    <cellStyle name="연결된 셀 18 10 6" xfId="5349"/>
    <cellStyle name="연결된 셀 18 10 6 2" xfId="22490"/>
    <cellStyle name="연결된 셀 18 10 7" xfId="5350"/>
    <cellStyle name="연결된 셀 18 10 7 2" xfId="22491"/>
    <cellStyle name="연결된 셀 18 10 8" xfId="22476"/>
    <cellStyle name="연결된 셀 18 11" xfId="5351"/>
    <cellStyle name="연결된 셀 18 11 2" xfId="5352"/>
    <cellStyle name="연결된 셀 18 11 2 2" xfId="5353"/>
    <cellStyle name="연결된 셀 18 11 2 2 2" xfId="22494"/>
    <cellStyle name="연결된 셀 18 11 2 3" xfId="5354"/>
    <cellStyle name="연결된 셀 18 11 2 3 2" xfId="22495"/>
    <cellStyle name="연결된 셀 18 11 2 4" xfId="5355"/>
    <cellStyle name="연결된 셀 18 11 2 4 2" xfId="22496"/>
    <cellStyle name="연결된 셀 18 11 2 5" xfId="22493"/>
    <cellStyle name="연결된 셀 18 11 3" xfId="5356"/>
    <cellStyle name="연결된 셀 18 11 3 2" xfId="5357"/>
    <cellStyle name="연결된 셀 18 11 3 2 2" xfId="22498"/>
    <cellStyle name="연결된 셀 18 11 3 3" xfId="5358"/>
    <cellStyle name="연결된 셀 18 11 3 3 2" xfId="22499"/>
    <cellStyle name="연결된 셀 18 11 3 4" xfId="5359"/>
    <cellStyle name="연결된 셀 18 11 3 4 2" xfId="22500"/>
    <cellStyle name="연결된 셀 18 11 3 5" xfId="22497"/>
    <cellStyle name="연결된 셀 18 11 4" xfId="5360"/>
    <cellStyle name="연결된 셀 18 11 4 2" xfId="5361"/>
    <cellStyle name="연결된 셀 18 11 4 2 2" xfId="22502"/>
    <cellStyle name="연결된 셀 18 11 4 3" xfId="5362"/>
    <cellStyle name="연결된 셀 18 11 4 3 2" xfId="22503"/>
    <cellStyle name="연결된 셀 18 11 4 4" xfId="5363"/>
    <cellStyle name="연결된 셀 18 11 4 4 2" xfId="22504"/>
    <cellStyle name="연결된 셀 18 11 4 5" xfId="22501"/>
    <cellStyle name="연결된 셀 18 11 5" xfId="5364"/>
    <cellStyle name="연결된 셀 18 11 5 2" xfId="22505"/>
    <cellStyle name="연결된 셀 18 11 6" xfId="5365"/>
    <cellStyle name="연결된 셀 18 11 6 2" xfId="22506"/>
    <cellStyle name="연결된 셀 18 11 7" xfId="5366"/>
    <cellStyle name="연결된 셀 18 11 7 2" xfId="22507"/>
    <cellStyle name="연결된 셀 18 11 8" xfId="22492"/>
    <cellStyle name="연결된 셀 18 12" xfId="5367"/>
    <cellStyle name="연결된 셀 18 12 2" xfId="5368"/>
    <cellStyle name="연결된 셀 18 12 2 2" xfId="5369"/>
    <cellStyle name="연결된 셀 18 12 2 2 2" xfId="22510"/>
    <cellStyle name="연결된 셀 18 12 2 3" xfId="5370"/>
    <cellStyle name="연결된 셀 18 12 2 3 2" xfId="22511"/>
    <cellStyle name="연결된 셀 18 12 2 4" xfId="5371"/>
    <cellStyle name="연결된 셀 18 12 2 4 2" xfId="22512"/>
    <cellStyle name="연결된 셀 18 12 2 5" xfId="22509"/>
    <cellStyle name="연결된 셀 18 12 3" xfId="5372"/>
    <cellStyle name="연결된 셀 18 12 3 2" xfId="5373"/>
    <cellStyle name="연결된 셀 18 12 3 2 2" xfId="22514"/>
    <cellStyle name="연결된 셀 18 12 3 3" xfId="5374"/>
    <cellStyle name="연결된 셀 18 12 3 3 2" xfId="22515"/>
    <cellStyle name="연결된 셀 18 12 3 4" xfId="5375"/>
    <cellStyle name="연결된 셀 18 12 3 4 2" xfId="22516"/>
    <cellStyle name="연결된 셀 18 12 3 5" xfId="22513"/>
    <cellStyle name="연결된 셀 18 12 4" xfId="5376"/>
    <cellStyle name="연결된 셀 18 12 4 2" xfId="5377"/>
    <cellStyle name="연결된 셀 18 12 4 2 2" xfId="22518"/>
    <cellStyle name="연결된 셀 18 12 4 3" xfId="5378"/>
    <cellStyle name="연결된 셀 18 12 4 3 2" xfId="22519"/>
    <cellStyle name="연결된 셀 18 12 4 4" xfId="5379"/>
    <cellStyle name="연결된 셀 18 12 4 4 2" xfId="22520"/>
    <cellStyle name="연결된 셀 18 12 4 5" xfId="22517"/>
    <cellStyle name="연결된 셀 18 12 5" xfId="5380"/>
    <cellStyle name="연결된 셀 18 12 5 2" xfId="22521"/>
    <cellStyle name="연결된 셀 18 12 6" xfId="5381"/>
    <cellStyle name="연결된 셀 18 12 6 2" xfId="22522"/>
    <cellStyle name="연결된 셀 18 12 7" xfId="5382"/>
    <cellStyle name="연결된 셀 18 12 7 2" xfId="22523"/>
    <cellStyle name="연결된 셀 18 12 8" xfId="22508"/>
    <cellStyle name="연결된 셀 18 13" xfId="5383"/>
    <cellStyle name="연결된 셀 18 13 2" xfId="5384"/>
    <cellStyle name="연결된 셀 18 13 2 2" xfId="22525"/>
    <cellStyle name="연결된 셀 18 13 3" xfId="5385"/>
    <cellStyle name="연결된 셀 18 13 3 2" xfId="22526"/>
    <cellStyle name="연결된 셀 18 13 4" xfId="5386"/>
    <cellStyle name="연결된 셀 18 13 4 2" xfId="22527"/>
    <cellStyle name="연결된 셀 18 13 5" xfId="22524"/>
    <cellStyle name="연결된 셀 18 14" xfId="5387"/>
    <cellStyle name="연결된 셀 18 14 2" xfId="22528"/>
    <cellStyle name="연결된 셀 18 15" xfId="5388"/>
    <cellStyle name="연결된 셀 18 15 2" xfId="22529"/>
    <cellStyle name="연결된 셀 18 16" xfId="5389"/>
    <cellStyle name="연결된 셀 18 16 2" xfId="22530"/>
    <cellStyle name="연결된 셀 18 17" xfId="22475"/>
    <cellStyle name="연결된 셀 18 2" xfId="5390"/>
    <cellStyle name="연결된 셀 18 2 10" xfId="5391"/>
    <cellStyle name="연결된 셀 18 2 10 2" xfId="5392"/>
    <cellStyle name="연결된 셀 18 2 10 2 2" xfId="5393"/>
    <cellStyle name="연결된 셀 18 2 10 2 2 2" xfId="22534"/>
    <cellStyle name="연결된 셀 18 2 10 2 3" xfId="5394"/>
    <cellStyle name="연결된 셀 18 2 10 2 3 2" xfId="22535"/>
    <cellStyle name="연결된 셀 18 2 10 2 4" xfId="5395"/>
    <cellStyle name="연결된 셀 18 2 10 2 4 2" xfId="22536"/>
    <cellStyle name="연결된 셀 18 2 10 2 5" xfId="22533"/>
    <cellStyle name="연결된 셀 18 2 10 3" xfId="5396"/>
    <cellStyle name="연결된 셀 18 2 10 3 2" xfId="5397"/>
    <cellStyle name="연결된 셀 18 2 10 3 2 2" xfId="22538"/>
    <cellStyle name="연결된 셀 18 2 10 3 3" xfId="5398"/>
    <cellStyle name="연결된 셀 18 2 10 3 3 2" xfId="22539"/>
    <cellStyle name="연결된 셀 18 2 10 3 4" xfId="5399"/>
    <cellStyle name="연결된 셀 18 2 10 3 4 2" xfId="22540"/>
    <cellStyle name="연결된 셀 18 2 10 3 5" xfId="22537"/>
    <cellStyle name="연결된 셀 18 2 10 4" xfId="5400"/>
    <cellStyle name="연결된 셀 18 2 10 4 2" xfId="5401"/>
    <cellStyle name="연결된 셀 18 2 10 4 2 2" xfId="22542"/>
    <cellStyle name="연결된 셀 18 2 10 4 3" xfId="5402"/>
    <cellStyle name="연결된 셀 18 2 10 4 3 2" xfId="22543"/>
    <cellStyle name="연결된 셀 18 2 10 4 4" xfId="5403"/>
    <cellStyle name="연결된 셀 18 2 10 4 4 2" xfId="22544"/>
    <cellStyle name="연결된 셀 18 2 10 4 5" xfId="22541"/>
    <cellStyle name="연결된 셀 18 2 10 5" xfId="5404"/>
    <cellStyle name="연결된 셀 18 2 10 5 2" xfId="22545"/>
    <cellStyle name="연결된 셀 18 2 10 6" xfId="5405"/>
    <cellStyle name="연결된 셀 18 2 10 6 2" xfId="22546"/>
    <cellStyle name="연결된 셀 18 2 10 7" xfId="5406"/>
    <cellStyle name="연결된 셀 18 2 10 7 2" xfId="22547"/>
    <cellStyle name="연결된 셀 18 2 10 8" xfId="22532"/>
    <cellStyle name="연결된 셀 18 2 11" xfId="5407"/>
    <cellStyle name="연결된 셀 18 2 11 2" xfId="5408"/>
    <cellStyle name="연결된 셀 18 2 11 2 2" xfId="5409"/>
    <cellStyle name="연결된 셀 18 2 11 2 2 2" xfId="22550"/>
    <cellStyle name="연결된 셀 18 2 11 2 3" xfId="5410"/>
    <cellStyle name="연결된 셀 18 2 11 2 3 2" xfId="22551"/>
    <cellStyle name="연결된 셀 18 2 11 2 4" xfId="5411"/>
    <cellStyle name="연결된 셀 18 2 11 2 4 2" xfId="22552"/>
    <cellStyle name="연결된 셀 18 2 11 2 5" xfId="22549"/>
    <cellStyle name="연결된 셀 18 2 11 3" xfId="5412"/>
    <cellStyle name="연결된 셀 18 2 11 3 2" xfId="5413"/>
    <cellStyle name="연결된 셀 18 2 11 3 2 2" xfId="22554"/>
    <cellStyle name="연결된 셀 18 2 11 3 3" xfId="5414"/>
    <cellStyle name="연결된 셀 18 2 11 3 3 2" xfId="22555"/>
    <cellStyle name="연결된 셀 18 2 11 3 4" xfId="5415"/>
    <cellStyle name="연결된 셀 18 2 11 3 4 2" xfId="22556"/>
    <cellStyle name="연결된 셀 18 2 11 3 5" xfId="22553"/>
    <cellStyle name="연결된 셀 18 2 11 4" xfId="5416"/>
    <cellStyle name="연결된 셀 18 2 11 4 2" xfId="5417"/>
    <cellStyle name="연결된 셀 18 2 11 4 2 2" xfId="22558"/>
    <cellStyle name="연결된 셀 18 2 11 4 3" xfId="5418"/>
    <cellStyle name="연결된 셀 18 2 11 4 3 2" xfId="22559"/>
    <cellStyle name="연결된 셀 18 2 11 4 4" xfId="5419"/>
    <cellStyle name="연결된 셀 18 2 11 4 4 2" xfId="22560"/>
    <cellStyle name="연결된 셀 18 2 11 4 5" xfId="22557"/>
    <cellStyle name="연결된 셀 18 2 11 5" xfId="5420"/>
    <cellStyle name="연결된 셀 18 2 11 5 2" xfId="22561"/>
    <cellStyle name="연결된 셀 18 2 11 6" xfId="5421"/>
    <cellStyle name="연결된 셀 18 2 11 6 2" xfId="22562"/>
    <cellStyle name="연결된 셀 18 2 11 7" xfId="5422"/>
    <cellStyle name="연결된 셀 18 2 11 7 2" xfId="22563"/>
    <cellStyle name="연결된 셀 18 2 11 8" xfId="22548"/>
    <cellStyle name="연결된 셀 18 2 12" xfId="5423"/>
    <cellStyle name="연결된 셀 18 2 12 2" xfId="5424"/>
    <cellStyle name="연결된 셀 18 2 12 2 2" xfId="22565"/>
    <cellStyle name="연결된 셀 18 2 12 3" xfId="5425"/>
    <cellStyle name="연결된 셀 18 2 12 3 2" xfId="22566"/>
    <cellStyle name="연결된 셀 18 2 12 4" xfId="5426"/>
    <cellStyle name="연결된 셀 18 2 12 4 2" xfId="22567"/>
    <cellStyle name="연결된 셀 18 2 12 5" xfId="22564"/>
    <cellStyle name="연결된 셀 18 2 13" xfId="5427"/>
    <cellStyle name="연결된 셀 18 2 13 2" xfId="22568"/>
    <cellStyle name="연결된 셀 18 2 14" xfId="5428"/>
    <cellStyle name="연결된 셀 18 2 14 2" xfId="22569"/>
    <cellStyle name="연결된 셀 18 2 15" xfId="5429"/>
    <cellStyle name="연결된 셀 18 2 15 2" xfId="22570"/>
    <cellStyle name="연결된 셀 18 2 16" xfId="22531"/>
    <cellStyle name="연결된 셀 18 2 2" xfId="5430"/>
    <cellStyle name="연결된 셀 18 2 2 2" xfId="5431"/>
    <cellStyle name="연결된 셀 18 2 2 2 2" xfId="5432"/>
    <cellStyle name="연결된 셀 18 2 2 2 2 2" xfId="22573"/>
    <cellStyle name="연결된 셀 18 2 2 2 3" xfId="5433"/>
    <cellStyle name="연결된 셀 18 2 2 2 3 2" xfId="22574"/>
    <cellStyle name="연결된 셀 18 2 2 2 4" xfId="5434"/>
    <cellStyle name="연결된 셀 18 2 2 2 4 2" xfId="22575"/>
    <cellStyle name="연결된 셀 18 2 2 2 5" xfId="22572"/>
    <cellStyle name="연결된 셀 18 2 2 3" xfId="5435"/>
    <cellStyle name="연결된 셀 18 2 2 3 2" xfId="5436"/>
    <cellStyle name="연결된 셀 18 2 2 3 2 2" xfId="22577"/>
    <cellStyle name="연결된 셀 18 2 2 3 3" xfId="5437"/>
    <cellStyle name="연결된 셀 18 2 2 3 3 2" xfId="22578"/>
    <cellStyle name="연결된 셀 18 2 2 3 4" xfId="5438"/>
    <cellStyle name="연결된 셀 18 2 2 3 4 2" xfId="22579"/>
    <cellStyle name="연결된 셀 18 2 2 3 5" xfId="22576"/>
    <cellStyle name="연결된 셀 18 2 2 4" xfId="5439"/>
    <cellStyle name="연결된 셀 18 2 2 4 2" xfId="5440"/>
    <cellStyle name="연결된 셀 18 2 2 4 2 2" xfId="22581"/>
    <cellStyle name="연결된 셀 18 2 2 4 3" xfId="5441"/>
    <cellStyle name="연결된 셀 18 2 2 4 3 2" xfId="22582"/>
    <cellStyle name="연결된 셀 18 2 2 4 4" xfId="5442"/>
    <cellStyle name="연결된 셀 18 2 2 4 4 2" xfId="22583"/>
    <cellStyle name="연결된 셀 18 2 2 4 5" xfId="22580"/>
    <cellStyle name="연결된 셀 18 2 2 5" xfId="5443"/>
    <cellStyle name="연결된 셀 18 2 2 5 2" xfId="22584"/>
    <cellStyle name="연결된 셀 18 2 2 6" xfId="5444"/>
    <cellStyle name="연결된 셀 18 2 2 6 2" xfId="22585"/>
    <cellStyle name="연결된 셀 18 2 2 7" xfId="5445"/>
    <cellStyle name="연결된 셀 18 2 2 7 2" xfId="22586"/>
    <cellStyle name="연결된 셀 18 2 2 8" xfId="22571"/>
    <cellStyle name="연결된 셀 18 2 3" xfId="5446"/>
    <cellStyle name="연결된 셀 18 2 3 2" xfId="5447"/>
    <cellStyle name="연결된 셀 18 2 3 2 2" xfId="5448"/>
    <cellStyle name="연결된 셀 18 2 3 2 2 2" xfId="22589"/>
    <cellStyle name="연결된 셀 18 2 3 2 3" xfId="5449"/>
    <cellStyle name="연결된 셀 18 2 3 2 3 2" xfId="22590"/>
    <cellStyle name="연결된 셀 18 2 3 2 4" xfId="5450"/>
    <cellStyle name="연결된 셀 18 2 3 2 4 2" xfId="22591"/>
    <cellStyle name="연결된 셀 18 2 3 2 5" xfId="22588"/>
    <cellStyle name="연결된 셀 18 2 3 3" xfId="5451"/>
    <cellStyle name="연결된 셀 18 2 3 3 2" xfId="5452"/>
    <cellStyle name="연결된 셀 18 2 3 3 2 2" xfId="22593"/>
    <cellStyle name="연결된 셀 18 2 3 3 3" xfId="5453"/>
    <cellStyle name="연결된 셀 18 2 3 3 3 2" xfId="22594"/>
    <cellStyle name="연결된 셀 18 2 3 3 4" xfId="5454"/>
    <cellStyle name="연결된 셀 18 2 3 3 4 2" xfId="22595"/>
    <cellStyle name="연결된 셀 18 2 3 3 5" xfId="22592"/>
    <cellStyle name="연결된 셀 18 2 3 4" xfId="5455"/>
    <cellStyle name="연결된 셀 18 2 3 4 2" xfId="5456"/>
    <cellStyle name="연결된 셀 18 2 3 4 2 2" xfId="22597"/>
    <cellStyle name="연결된 셀 18 2 3 4 3" xfId="5457"/>
    <cellStyle name="연결된 셀 18 2 3 4 3 2" xfId="22598"/>
    <cellStyle name="연결된 셀 18 2 3 4 4" xfId="5458"/>
    <cellStyle name="연결된 셀 18 2 3 4 4 2" xfId="22599"/>
    <cellStyle name="연결된 셀 18 2 3 4 5" xfId="22596"/>
    <cellStyle name="연결된 셀 18 2 3 5" xfId="5459"/>
    <cellStyle name="연결된 셀 18 2 3 5 2" xfId="22600"/>
    <cellStyle name="연결된 셀 18 2 3 6" xfId="5460"/>
    <cellStyle name="연결된 셀 18 2 3 6 2" xfId="22601"/>
    <cellStyle name="연결된 셀 18 2 3 7" xfId="5461"/>
    <cellStyle name="연결된 셀 18 2 3 7 2" xfId="22602"/>
    <cellStyle name="연결된 셀 18 2 3 8" xfId="22587"/>
    <cellStyle name="연결된 셀 18 2 4" xfId="5462"/>
    <cellStyle name="연결된 셀 18 2 4 2" xfId="5463"/>
    <cellStyle name="연결된 셀 18 2 4 2 2" xfId="5464"/>
    <cellStyle name="연결된 셀 18 2 4 2 2 2" xfId="22605"/>
    <cellStyle name="연결된 셀 18 2 4 2 3" xfId="5465"/>
    <cellStyle name="연결된 셀 18 2 4 2 3 2" xfId="22606"/>
    <cellStyle name="연결된 셀 18 2 4 2 4" xfId="5466"/>
    <cellStyle name="연결된 셀 18 2 4 2 4 2" xfId="22607"/>
    <cellStyle name="연결된 셀 18 2 4 2 5" xfId="22604"/>
    <cellStyle name="연결된 셀 18 2 4 3" xfId="5467"/>
    <cellStyle name="연결된 셀 18 2 4 3 2" xfId="5468"/>
    <cellStyle name="연결된 셀 18 2 4 3 2 2" xfId="22609"/>
    <cellStyle name="연결된 셀 18 2 4 3 3" xfId="5469"/>
    <cellStyle name="연결된 셀 18 2 4 3 3 2" xfId="22610"/>
    <cellStyle name="연결된 셀 18 2 4 3 4" xfId="5470"/>
    <cellStyle name="연결된 셀 18 2 4 3 4 2" xfId="22611"/>
    <cellStyle name="연결된 셀 18 2 4 3 5" xfId="22608"/>
    <cellStyle name="연결된 셀 18 2 4 4" xfId="5471"/>
    <cellStyle name="연결된 셀 18 2 4 4 2" xfId="5472"/>
    <cellStyle name="연결된 셀 18 2 4 4 2 2" xfId="22613"/>
    <cellStyle name="연결된 셀 18 2 4 4 3" xfId="5473"/>
    <cellStyle name="연결된 셀 18 2 4 4 3 2" xfId="22614"/>
    <cellStyle name="연결된 셀 18 2 4 4 4" xfId="5474"/>
    <cellStyle name="연결된 셀 18 2 4 4 4 2" xfId="22615"/>
    <cellStyle name="연결된 셀 18 2 4 4 5" xfId="22612"/>
    <cellStyle name="연결된 셀 18 2 4 5" xfId="5475"/>
    <cellStyle name="연결된 셀 18 2 4 5 2" xfId="22616"/>
    <cellStyle name="연결된 셀 18 2 4 6" xfId="5476"/>
    <cellStyle name="연결된 셀 18 2 4 6 2" xfId="22617"/>
    <cellStyle name="연결된 셀 18 2 4 7" xfId="5477"/>
    <cellStyle name="연결된 셀 18 2 4 7 2" xfId="22618"/>
    <cellStyle name="연결된 셀 18 2 4 8" xfId="22603"/>
    <cellStyle name="연결된 셀 18 2 5" xfId="5478"/>
    <cellStyle name="연결된 셀 18 2 5 2" xfId="5479"/>
    <cellStyle name="연결된 셀 18 2 5 2 2" xfId="5480"/>
    <cellStyle name="연결된 셀 18 2 5 2 2 2" xfId="22621"/>
    <cellStyle name="연결된 셀 18 2 5 2 3" xfId="5481"/>
    <cellStyle name="연결된 셀 18 2 5 2 3 2" xfId="22622"/>
    <cellStyle name="연결된 셀 18 2 5 2 4" xfId="5482"/>
    <cellStyle name="연결된 셀 18 2 5 2 4 2" xfId="22623"/>
    <cellStyle name="연결된 셀 18 2 5 2 5" xfId="22620"/>
    <cellStyle name="연결된 셀 18 2 5 3" xfId="5483"/>
    <cellStyle name="연결된 셀 18 2 5 3 2" xfId="5484"/>
    <cellStyle name="연결된 셀 18 2 5 3 2 2" xfId="22625"/>
    <cellStyle name="연결된 셀 18 2 5 3 3" xfId="5485"/>
    <cellStyle name="연결된 셀 18 2 5 3 3 2" xfId="22626"/>
    <cellStyle name="연결된 셀 18 2 5 3 4" xfId="5486"/>
    <cellStyle name="연결된 셀 18 2 5 3 4 2" xfId="22627"/>
    <cellStyle name="연결된 셀 18 2 5 3 5" xfId="22624"/>
    <cellStyle name="연결된 셀 18 2 5 4" xfId="5487"/>
    <cellStyle name="연결된 셀 18 2 5 4 2" xfId="5488"/>
    <cellStyle name="연결된 셀 18 2 5 4 2 2" xfId="22629"/>
    <cellStyle name="연결된 셀 18 2 5 4 3" xfId="5489"/>
    <cellStyle name="연결된 셀 18 2 5 4 3 2" xfId="22630"/>
    <cellStyle name="연결된 셀 18 2 5 4 4" xfId="5490"/>
    <cellStyle name="연결된 셀 18 2 5 4 4 2" xfId="22631"/>
    <cellStyle name="연결된 셀 18 2 5 4 5" xfId="22628"/>
    <cellStyle name="연결된 셀 18 2 5 5" xfId="5491"/>
    <cellStyle name="연결된 셀 18 2 5 5 2" xfId="22632"/>
    <cellStyle name="연결된 셀 18 2 5 6" xfId="5492"/>
    <cellStyle name="연결된 셀 18 2 5 6 2" xfId="22633"/>
    <cellStyle name="연결된 셀 18 2 5 7" xfId="5493"/>
    <cellStyle name="연결된 셀 18 2 5 7 2" xfId="22634"/>
    <cellStyle name="연결된 셀 18 2 5 8" xfId="22619"/>
    <cellStyle name="연결된 셀 18 2 6" xfId="5494"/>
    <cellStyle name="연결된 셀 18 2 6 2" xfId="5495"/>
    <cellStyle name="연결된 셀 18 2 6 2 2" xfId="5496"/>
    <cellStyle name="연결된 셀 18 2 6 2 2 2" xfId="22637"/>
    <cellStyle name="연결된 셀 18 2 6 2 3" xfId="5497"/>
    <cellStyle name="연결된 셀 18 2 6 2 3 2" xfId="22638"/>
    <cellStyle name="연결된 셀 18 2 6 2 4" xfId="5498"/>
    <cellStyle name="연결된 셀 18 2 6 2 4 2" xfId="22639"/>
    <cellStyle name="연결된 셀 18 2 6 2 5" xfId="22636"/>
    <cellStyle name="연결된 셀 18 2 6 3" xfId="5499"/>
    <cellStyle name="연결된 셀 18 2 6 3 2" xfId="5500"/>
    <cellStyle name="연결된 셀 18 2 6 3 2 2" xfId="22641"/>
    <cellStyle name="연결된 셀 18 2 6 3 3" xfId="5501"/>
    <cellStyle name="연결된 셀 18 2 6 3 3 2" xfId="22642"/>
    <cellStyle name="연결된 셀 18 2 6 3 4" xfId="5502"/>
    <cellStyle name="연결된 셀 18 2 6 3 4 2" xfId="22643"/>
    <cellStyle name="연결된 셀 18 2 6 3 5" xfId="22640"/>
    <cellStyle name="연결된 셀 18 2 6 4" xfId="5503"/>
    <cellStyle name="연결된 셀 18 2 6 4 2" xfId="5504"/>
    <cellStyle name="연결된 셀 18 2 6 4 2 2" xfId="22645"/>
    <cellStyle name="연결된 셀 18 2 6 4 3" xfId="5505"/>
    <cellStyle name="연결된 셀 18 2 6 4 3 2" xfId="22646"/>
    <cellStyle name="연결된 셀 18 2 6 4 4" xfId="5506"/>
    <cellStyle name="연결된 셀 18 2 6 4 4 2" xfId="22647"/>
    <cellStyle name="연결된 셀 18 2 6 4 5" xfId="22644"/>
    <cellStyle name="연결된 셀 18 2 6 5" xfId="5507"/>
    <cellStyle name="연결된 셀 18 2 6 5 2" xfId="22648"/>
    <cellStyle name="연결된 셀 18 2 6 6" xfId="5508"/>
    <cellStyle name="연결된 셀 18 2 6 6 2" xfId="22649"/>
    <cellStyle name="연결된 셀 18 2 6 7" xfId="5509"/>
    <cellStyle name="연결된 셀 18 2 6 7 2" xfId="22650"/>
    <cellStyle name="연결된 셀 18 2 6 8" xfId="22635"/>
    <cellStyle name="연결된 셀 18 2 7" xfId="5510"/>
    <cellStyle name="연결된 셀 18 2 7 2" xfId="5511"/>
    <cellStyle name="연결된 셀 18 2 7 2 2" xfId="5512"/>
    <cellStyle name="연결된 셀 18 2 7 2 2 2" xfId="22653"/>
    <cellStyle name="연결된 셀 18 2 7 2 3" xfId="5513"/>
    <cellStyle name="연결된 셀 18 2 7 2 3 2" xfId="22654"/>
    <cellStyle name="연결된 셀 18 2 7 2 4" xfId="5514"/>
    <cellStyle name="연결된 셀 18 2 7 2 4 2" xfId="22655"/>
    <cellStyle name="연결된 셀 18 2 7 2 5" xfId="22652"/>
    <cellStyle name="연결된 셀 18 2 7 3" xfId="5515"/>
    <cellStyle name="연결된 셀 18 2 7 3 2" xfId="5516"/>
    <cellStyle name="연결된 셀 18 2 7 3 2 2" xfId="22657"/>
    <cellStyle name="연결된 셀 18 2 7 3 3" xfId="5517"/>
    <cellStyle name="연결된 셀 18 2 7 3 3 2" xfId="22658"/>
    <cellStyle name="연결된 셀 18 2 7 3 4" xfId="5518"/>
    <cellStyle name="연결된 셀 18 2 7 3 4 2" xfId="22659"/>
    <cellStyle name="연결된 셀 18 2 7 3 5" xfId="22656"/>
    <cellStyle name="연결된 셀 18 2 7 4" xfId="5519"/>
    <cellStyle name="연결된 셀 18 2 7 4 2" xfId="5520"/>
    <cellStyle name="연결된 셀 18 2 7 4 2 2" xfId="22661"/>
    <cellStyle name="연결된 셀 18 2 7 4 3" xfId="5521"/>
    <cellStyle name="연결된 셀 18 2 7 4 3 2" xfId="22662"/>
    <cellStyle name="연결된 셀 18 2 7 4 4" xfId="5522"/>
    <cellStyle name="연결된 셀 18 2 7 4 4 2" xfId="22663"/>
    <cellStyle name="연결된 셀 18 2 7 4 5" xfId="22660"/>
    <cellStyle name="연결된 셀 18 2 7 5" xfId="5523"/>
    <cellStyle name="연결된 셀 18 2 7 5 2" xfId="22664"/>
    <cellStyle name="연결된 셀 18 2 7 6" xfId="5524"/>
    <cellStyle name="연결된 셀 18 2 7 6 2" xfId="22665"/>
    <cellStyle name="연결된 셀 18 2 7 7" xfId="5525"/>
    <cellStyle name="연결된 셀 18 2 7 7 2" xfId="22666"/>
    <cellStyle name="연결된 셀 18 2 7 8" xfId="22651"/>
    <cellStyle name="연결된 셀 18 2 8" xfId="5526"/>
    <cellStyle name="연결된 셀 18 2 8 2" xfId="5527"/>
    <cellStyle name="연결된 셀 18 2 8 2 2" xfId="5528"/>
    <cellStyle name="연결된 셀 18 2 8 2 2 2" xfId="22669"/>
    <cellStyle name="연결된 셀 18 2 8 2 3" xfId="5529"/>
    <cellStyle name="연결된 셀 18 2 8 2 3 2" xfId="22670"/>
    <cellStyle name="연결된 셀 18 2 8 2 4" xfId="5530"/>
    <cellStyle name="연결된 셀 18 2 8 2 4 2" xfId="22671"/>
    <cellStyle name="연결된 셀 18 2 8 2 5" xfId="22668"/>
    <cellStyle name="연결된 셀 18 2 8 3" xfId="5531"/>
    <cellStyle name="연결된 셀 18 2 8 3 2" xfId="5532"/>
    <cellStyle name="연결된 셀 18 2 8 3 2 2" xfId="22673"/>
    <cellStyle name="연결된 셀 18 2 8 3 3" xfId="5533"/>
    <cellStyle name="연결된 셀 18 2 8 3 3 2" xfId="22674"/>
    <cellStyle name="연결된 셀 18 2 8 3 4" xfId="5534"/>
    <cellStyle name="연결된 셀 18 2 8 3 4 2" xfId="22675"/>
    <cellStyle name="연결된 셀 18 2 8 3 5" xfId="22672"/>
    <cellStyle name="연결된 셀 18 2 8 4" xfId="5535"/>
    <cellStyle name="연결된 셀 18 2 8 4 2" xfId="5536"/>
    <cellStyle name="연결된 셀 18 2 8 4 2 2" xfId="22677"/>
    <cellStyle name="연결된 셀 18 2 8 4 3" xfId="5537"/>
    <cellStyle name="연결된 셀 18 2 8 4 3 2" xfId="22678"/>
    <cellStyle name="연결된 셀 18 2 8 4 4" xfId="5538"/>
    <cellStyle name="연결된 셀 18 2 8 4 4 2" xfId="22679"/>
    <cellStyle name="연결된 셀 18 2 8 4 5" xfId="22676"/>
    <cellStyle name="연결된 셀 18 2 8 5" xfId="5539"/>
    <cellStyle name="연결된 셀 18 2 8 5 2" xfId="22680"/>
    <cellStyle name="연결된 셀 18 2 8 6" xfId="5540"/>
    <cellStyle name="연결된 셀 18 2 8 6 2" xfId="22681"/>
    <cellStyle name="연결된 셀 18 2 8 7" xfId="5541"/>
    <cellStyle name="연결된 셀 18 2 8 7 2" xfId="22682"/>
    <cellStyle name="연결된 셀 18 2 8 8" xfId="22667"/>
    <cellStyle name="연결된 셀 18 2 9" xfId="5542"/>
    <cellStyle name="연결된 셀 18 2 9 2" xfId="5543"/>
    <cellStyle name="연결된 셀 18 2 9 2 2" xfId="5544"/>
    <cellStyle name="연결된 셀 18 2 9 2 2 2" xfId="22685"/>
    <cellStyle name="연결된 셀 18 2 9 2 3" xfId="5545"/>
    <cellStyle name="연결된 셀 18 2 9 2 3 2" xfId="22686"/>
    <cellStyle name="연결된 셀 18 2 9 2 4" xfId="5546"/>
    <cellStyle name="연결된 셀 18 2 9 2 4 2" xfId="22687"/>
    <cellStyle name="연결된 셀 18 2 9 2 5" xfId="22684"/>
    <cellStyle name="연결된 셀 18 2 9 3" xfId="5547"/>
    <cellStyle name="연결된 셀 18 2 9 3 2" xfId="5548"/>
    <cellStyle name="연결된 셀 18 2 9 3 2 2" xfId="22689"/>
    <cellStyle name="연결된 셀 18 2 9 3 3" xfId="5549"/>
    <cellStyle name="연결된 셀 18 2 9 3 3 2" xfId="22690"/>
    <cellStyle name="연결된 셀 18 2 9 3 4" xfId="5550"/>
    <cellStyle name="연결된 셀 18 2 9 3 4 2" xfId="22691"/>
    <cellStyle name="연결된 셀 18 2 9 3 5" xfId="22688"/>
    <cellStyle name="연결된 셀 18 2 9 4" xfId="5551"/>
    <cellStyle name="연결된 셀 18 2 9 4 2" xfId="5552"/>
    <cellStyle name="연결된 셀 18 2 9 4 2 2" xfId="22693"/>
    <cellStyle name="연결된 셀 18 2 9 4 3" xfId="5553"/>
    <cellStyle name="연결된 셀 18 2 9 4 3 2" xfId="22694"/>
    <cellStyle name="연결된 셀 18 2 9 4 4" xfId="5554"/>
    <cellStyle name="연결된 셀 18 2 9 4 4 2" xfId="22695"/>
    <cellStyle name="연결된 셀 18 2 9 4 5" xfId="22692"/>
    <cellStyle name="연결된 셀 18 2 9 5" xfId="5555"/>
    <cellStyle name="연결된 셀 18 2 9 5 2" xfId="22696"/>
    <cellStyle name="연결된 셀 18 2 9 6" xfId="5556"/>
    <cellStyle name="연결된 셀 18 2 9 6 2" xfId="22697"/>
    <cellStyle name="연결된 셀 18 2 9 7" xfId="5557"/>
    <cellStyle name="연결된 셀 18 2 9 7 2" xfId="22698"/>
    <cellStyle name="연결된 셀 18 2 9 8" xfId="22683"/>
    <cellStyle name="연결된 셀 18 3" xfId="5558"/>
    <cellStyle name="연결된 셀 18 3 2" xfId="5559"/>
    <cellStyle name="연결된 셀 18 3 2 2" xfId="5560"/>
    <cellStyle name="연결된 셀 18 3 2 2 2" xfId="22701"/>
    <cellStyle name="연결된 셀 18 3 2 3" xfId="5561"/>
    <cellStyle name="연결된 셀 18 3 2 3 2" xfId="22702"/>
    <cellStyle name="연결된 셀 18 3 2 4" xfId="5562"/>
    <cellStyle name="연결된 셀 18 3 2 4 2" xfId="22703"/>
    <cellStyle name="연결된 셀 18 3 2 5" xfId="22700"/>
    <cellStyle name="연결된 셀 18 3 3" xfId="5563"/>
    <cellStyle name="연결된 셀 18 3 3 2" xfId="5564"/>
    <cellStyle name="연결된 셀 18 3 3 2 2" xfId="22705"/>
    <cellStyle name="연결된 셀 18 3 3 3" xfId="5565"/>
    <cellStyle name="연결된 셀 18 3 3 3 2" xfId="22706"/>
    <cellStyle name="연결된 셀 18 3 3 4" xfId="5566"/>
    <cellStyle name="연결된 셀 18 3 3 4 2" xfId="22707"/>
    <cellStyle name="연결된 셀 18 3 3 5" xfId="22704"/>
    <cellStyle name="연결된 셀 18 3 4" xfId="5567"/>
    <cellStyle name="연결된 셀 18 3 4 2" xfId="5568"/>
    <cellStyle name="연결된 셀 18 3 4 2 2" xfId="22709"/>
    <cellStyle name="연결된 셀 18 3 4 3" xfId="5569"/>
    <cellStyle name="연결된 셀 18 3 4 3 2" xfId="22710"/>
    <cellStyle name="연결된 셀 18 3 4 4" xfId="5570"/>
    <cellStyle name="연결된 셀 18 3 4 4 2" xfId="22711"/>
    <cellStyle name="연결된 셀 18 3 4 5" xfId="22708"/>
    <cellStyle name="연결된 셀 18 3 5" xfId="5571"/>
    <cellStyle name="연결된 셀 18 3 5 2" xfId="22712"/>
    <cellStyle name="연결된 셀 18 3 6" xfId="5572"/>
    <cellStyle name="연결된 셀 18 3 6 2" xfId="22713"/>
    <cellStyle name="연결된 셀 18 3 7" xfId="5573"/>
    <cellStyle name="연결된 셀 18 3 7 2" xfId="22714"/>
    <cellStyle name="연결된 셀 18 3 8" xfId="22699"/>
    <cellStyle name="연결된 셀 18 4" xfId="5574"/>
    <cellStyle name="연결된 셀 18 4 2" xfId="5575"/>
    <cellStyle name="연결된 셀 18 4 2 2" xfId="5576"/>
    <cellStyle name="연결된 셀 18 4 2 2 2" xfId="22717"/>
    <cellStyle name="연결된 셀 18 4 2 3" xfId="5577"/>
    <cellStyle name="연결된 셀 18 4 2 3 2" xfId="22718"/>
    <cellStyle name="연결된 셀 18 4 2 4" xfId="5578"/>
    <cellStyle name="연결된 셀 18 4 2 4 2" xfId="22719"/>
    <cellStyle name="연결된 셀 18 4 2 5" xfId="22716"/>
    <cellStyle name="연결된 셀 18 4 3" xfId="5579"/>
    <cellStyle name="연결된 셀 18 4 3 2" xfId="5580"/>
    <cellStyle name="연결된 셀 18 4 3 2 2" xfId="22721"/>
    <cellStyle name="연결된 셀 18 4 3 3" xfId="5581"/>
    <cellStyle name="연결된 셀 18 4 3 3 2" xfId="22722"/>
    <cellStyle name="연결된 셀 18 4 3 4" xfId="5582"/>
    <cellStyle name="연결된 셀 18 4 3 4 2" xfId="22723"/>
    <cellStyle name="연결된 셀 18 4 3 5" xfId="22720"/>
    <cellStyle name="연결된 셀 18 4 4" xfId="5583"/>
    <cellStyle name="연결된 셀 18 4 4 2" xfId="5584"/>
    <cellStyle name="연결된 셀 18 4 4 2 2" xfId="22725"/>
    <cellStyle name="연결된 셀 18 4 4 3" xfId="5585"/>
    <cellStyle name="연결된 셀 18 4 4 3 2" xfId="22726"/>
    <cellStyle name="연결된 셀 18 4 4 4" xfId="5586"/>
    <cellStyle name="연결된 셀 18 4 4 4 2" xfId="22727"/>
    <cellStyle name="연결된 셀 18 4 4 5" xfId="22724"/>
    <cellStyle name="연결된 셀 18 4 5" xfId="5587"/>
    <cellStyle name="연결된 셀 18 4 5 2" xfId="22728"/>
    <cellStyle name="연결된 셀 18 4 6" xfId="5588"/>
    <cellStyle name="연결된 셀 18 4 6 2" xfId="22729"/>
    <cellStyle name="연결된 셀 18 4 7" xfId="5589"/>
    <cellStyle name="연결된 셀 18 4 7 2" xfId="22730"/>
    <cellStyle name="연결된 셀 18 4 8" xfId="22715"/>
    <cellStyle name="연결된 셀 18 5" xfId="5590"/>
    <cellStyle name="연결된 셀 18 5 2" xfId="5591"/>
    <cellStyle name="연결된 셀 18 5 2 2" xfId="5592"/>
    <cellStyle name="연결된 셀 18 5 2 2 2" xfId="22733"/>
    <cellStyle name="연결된 셀 18 5 2 3" xfId="5593"/>
    <cellStyle name="연결된 셀 18 5 2 3 2" xfId="22734"/>
    <cellStyle name="연결된 셀 18 5 2 4" xfId="5594"/>
    <cellStyle name="연결된 셀 18 5 2 4 2" xfId="22735"/>
    <cellStyle name="연결된 셀 18 5 2 5" xfId="22732"/>
    <cellStyle name="연결된 셀 18 5 3" xfId="5595"/>
    <cellStyle name="연결된 셀 18 5 3 2" xfId="5596"/>
    <cellStyle name="연결된 셀 18 5 3 2 2" xfId="22737"/>
    <cellStyle name="연결된 셀 18 5 3 3" xfId="5597"/>
    <cellStyle name="연결된 셀 18 5 3 3 2" xfId="22738"/>
    <cellStyle name="연결된 셀 18 5 3 4" xfId="5598"/>
    <cellStyle name="연결된 셀 18 5 3 4 2" xfId="22739"/>
    <cellStyle name="연결된 셀 18 5 3 5" xfId="22736"/>
    <cellStyle name="연결된 셀 18 5 4" xfId="5599"/>
    <cellStyle name="연결된 셀 18 5 4 2" xfId="5600"/>
    <cellStyle name="연결된 셀 18 5 4 2 2" xfId="22741"/>
    <cellStyle name="연결된 셀 18 5 4 3" xfId="5601"/>
    <cellStyle name="연결된 셀 18 5 4 3 2" xfId="22742"/>
    <cellStyle name="연결된 셀 18 5 4 4" xfId="5602"/>
    <cellStyle name="연결된 셀 18 5 4 4 2" xfId="22743"/>
    <cellStyle name="연결된 셀 18 5 4 5" xfId="22740"/>
    <cellStyle name="연결된 셀 18 5 5" xfId="5603"/>
    <cellStyle name="연결된 셀 18 5 5 2" xfId="22744"/>
    <cellStyle name="연결된 셀 18 5 6" xfId="5604"/>
    <cellStyle name="연결된 셀 18 5 6 2" xfId="22745"/>
    <cellStyle name="연결된 셀 18 5 7" xfId="5605"/>
    <cellStyle name="연결된 셀 18 5 7 2" xfId="22746"/>
    <cellStyle name="연결된 셀 18 5 8" xfId="22731"/>
    <cellStyle name="연결된 셀 18 6" xfId="5606"/>
    <cellStyle name="연결된 셀 18 6 2" xfId="5607"/>
    <cellStyle name="연결된 셀 18 6 2 2" xfId="5608"/>
    <cellStyle name="연결된 셀 18 6 2 2 2" xfId="22749"/>
    <cellStyle name="연결된 셀 18 6 2 3" xfId="5609"/>
    <cellStyle name="연결된 셀 18 6 2 3 2" xfId="22750"/>
    <cellStyle name="연결된 셀 18 6 2 4" xfId="5610"/>
    <cellStyle name="연결된 셀 18 6 2 4 2" xfId="22751"/>
    <cellStyle name="연결된 셀 18 6 2 5" xfId="22748"/>
    <cellStyle name="연결된 셀 18 6 3" xfId="5611"/>
    <cellStyle name="연결된 셀 18 6 3 2" xfId="5612"/>
    <cellStyle name="연결된 셀 18 6 3 2 2" xfId="22753"/>
    <cellStyle name="연결된 셀 18 6 3 3" xfId="5613"/>
    <cellStyle name="연결된 셀 18 6 3 3 2" xfId="22754"/>
    <cellStyle name="연결된 셀 18 6 3 4" xfId="5614"/>
    <cellStyle name="연결된 셀 18 6 3 4 2" xfId="22755"/>
    <cellStyle name="연결된 셀 18 6 3 5" xfId="22752"/>
    <cellStyle name="연결된 셀 18 6 4" xfId="5615"/>
    <cellStyle name="연결된 셀 18 6 4 2" xfId="5616"/>
    <cellStyle name="연결된 셀 18 6 4 2 2" xfId="22757"/>
    <cellStyle name="연결된 셀 18 6 4 3" xfId="5617"/>
    <cellStyle name="연결된 셀 18 6 4 3 2" xfId="22758"/>
    <cellStyle name="연결된 셀 18 6 4 4" xfId="5618"/>
    <cellStyle name="연결된 셀 18 6 4 4 2" xfId="22759"/>
    <cellStyle name="연결된 셀 18 6 4 5" xfId="22756"/>
    <cellStyle name="연결된 셀 18 6 5" xfId="5619"/>
    <cellStyle name="연결된 셀 18 6 5 2" xfId="22760"/>
    <cellStyle name="연결된 셀 18 6 6" xfId="5620"/>
    <cellStyle name="연결된 셀 18 6 6 2" xfId="22761"/>
    <cellStyle name="연결된 셀 18 6 7" xfId="5621"/>
    <cellStyle name="연결된 셀 18 6 7 2" xfId="22762"/>
    <cellStyle name="연결된 셀 18 6 8" xfId="22747"/>
    <cellStyle name="연결된 셀 18 7" xfId="5622"/>
    <cellStyle name="연결된 셀 18 7 2" xfId="5623"/>
    <cellStyle name="연결된 셀 18 7 2 2" xfId="5624"/>
    <cellStyle name="연결된 셀 18 7 2 2 2" xfId="22765"/>
    <cellStyle name="연결된 셀 18 7 2 3" xfId="5625"/>
    <cellStyle name="연결된 셀 18 7 2 3 2" xfId="22766"/>
    <cellStyle name="연결된 셀 18 7 2 4" xfId="5626"/>
    <cellStyle name="연결된 셀 18 7 2 4 2" xfId="22767"/>
    <cellStyle name="연결된 셀 18 7 2 5" xfId="22764"/>
    <cellStyle name="연결된 셀 18 7 3" xfId="5627"/>
    <cellStyle name="연결된 셀 18 7 3 2" xfId="5628"/>
    <cellStyle name="연결된 셀 18 7 3 2 2" xfId="22769"/>
    <cellStyle name="연결된 셀 18 7 3 3" xfId="5629"/>
    <cellStyle name="연결된 셀 18 7 3 3 2" xfId="22770"/>
    <cellStyle name="연결된 셀 18 7 3 4" xfId="5630"/>
    <cellStyle name="연결된 셀 18 7 3 4 2" xfId="22771"/>
    <cellStyle name="연결된 셀 18 7 3 5" xfId="22768"/>
    <cellStyle name="연결된 셀 18 7 4" xfId="5631"/>
    <cellStyle name="연결된 셀 18 7 4 2" xfId="5632"/>
    <cellStyle name="연결된 셀 18 7 4 2 2" xfId="22773"/>
    <cellStyle name="연결된 셀 18 7 4 3" xfId="5633"/>
    <cellStyle name="연결된 셀 18 7 4 3 2" xfId="22774"/>
    <cellStyle name="연결된 셀 18 7 4 4" xfId="5634"/>
    <cellStyle name="연결된 셀 18 7 4 4 2" xfId="22775"/>
    <cellStyle name="연결된 셀 18 7 4 5" xfId="22772"/>
    <cellStyle name="연결된 셀 18 7 5" xfId="5635"/>
    <cellStyle name="연결된 셀 18 7 5 2" xfId="22776"/>
    <cellStyle name="연결된 셀 18 7 6" xfId="5636"/>
    <cellStyle name="연결된 셀 18 7 6 2" xfId="22777"/>
    <cellStyle name="연결된 셀 18 7 7" xfId="5637"/>
    <cellStyle name="연결된 셀 18 7 7 2" xfId="22778"/>
    <cellStyle name="연결된 셀 18 7 8" xfId="22763"/>
    <cellStyle name="연결된 셀 18 8" xfId="5638"/>
    <cellStyle name="연결된 셀 18 8 2" xfId="5639"/>
    <cellStyle name="연결된 셀 18 8 2 2" xfId="5640"/>
    <cellStyle name="연결된 셀 18 8 2 2 2" xfId="22781"/>
    <cellStyle name="연결된 셀 18 8 2 3" xfId="5641"/>
    <cellStyle name="연결된 셀 18 8 2 3 2" xfId="22782"/>
    <cellStyle name="연결된 셀 18 8 2 4" xfId="5642"/>
    <cellStyle name="연결된 셀 18 8 2 4 2" xfId="22783"/>
    <cellStyle name="연결된 셀 18 8 2 5" xfId="22780"/>
    <cellStyle name="연결된 셀 18 8 3" xfId="5643"/>
    <cellStyle name="연결된 셀 18 8 3 2" xfId="5644"/>
    <cellStyle name="연결된 셀 18 8 3 2 2" xfId="22785"/>
    <cellStyle name="연결된 셀 18 8 3 3" xfId="5645"/>
    <cellStyle name="연결된 셀 18 8 3 3 2" xfId="22786"/>
    <cellStyle name="연결된 셀 18 8 3 4" xfId="5646"/>
    <cellStyle name="연결된 셀 18 8 3 4 2" xfId="22787"/>
    <cellStyle name="연결된 셀 18 8 3 5" xfId="22784"/>
    <cellStyle name="연결된 셀 18 8 4" xfId="5647"/>
    <cellStyle name="연결된 셀 18 8 4 2" xfId="5648"/>
    <cellStyle name="연결된 셀 18 8 4 2 2" xfId="22789"/>
    <cellStyle name="연결된 셀 18 8 4 3" xfId="5649"/>
    <cellStyle name="연결된 셀 18 8 4 3 2" xfId="22790"/>
    <cellStyle name="연결된 셀 18 8 4 4" xfId="5650"/>
    <cellStyle name="연결된 셀 18 8 4 4 2" xfId="22791"/>
    <cellStyle name="연결된 셀 18 8 4 5" xfId="22788"/>
    <cellStyle name="연결된 셀 18 8 5" xfId="5651"/>
    <cellStyle name="연결된 셀 18 8 5 2" xfId="22792"/>
    <cellStyle name="연결된 셀 18 8 6" xfId="5652"/>
    <cellStyle name="연결된 셀 18 8 6 2" xfId="22793"/>
    <cellStyle name="연결된 셀 18 8 7" xfId="5653"/>
    <cellStyle name="연결된 셀 18 8 7 2" xfId="22794"/>
    <cellStyle name="연결된 셀 18 8 8" xfId="22779"/>
    <cellStyle name="연결된 셀 18 9" xfId="5654"/>
    <cellStyle name="연결된 셀 18 9 2" xfId="5655"/>
    <cellStyle name="연결된 셀 18 9 2 2" xfId="5656"/>
    <cellStyle name="연결된 셀 18 9 2 2 2" xfId="22797"/>
    <cellStyle name="연결된 셀 18 9 2 3" xfId="5657"/>
    <cellStyle name="연결된 셀 18 9 2 3 2" xfId="22798"/>
    <cellStyle name="연결된 셀 18 9 2 4" xfId="5658"/>
    <cellStyle name="연결된 셀 18 9 2 4 2" xfId="22799"/>
    <cellStyle name="연결된 셀 18 9 2 5" xfId="22796"/>
    <cellStyle name="연결된 셀 18 9 3" xfId="5659"/>
    <cellStyle name="연결된 셀 18 9 3 2" xfId="5660"/>
    <cellStyle name="연결된 셀 18 9 3 2 2" xfId="22801"/>
    <cellStyle name="연결된 셀 18 9 3 3" xfId="5661"/>
    <cellStyle name="연결된 셀 18 9 3 3 2" xfId="22802"/>
    <cellStyle name="연결된 셀 18 9 3 4" xfId="5662"/>
    <cellStyle name="연결된 셀 18 9 3 4 2" xfId="22803"/>
    <cellStyle name="연결된 셀 18 9 3 5" xfId="22800"/>
    <cellStyle name="연결된 셀 18 9 4" xfId="5663"/>
    <cellStyle name="연결된 셀 18 9 4 2" xfId="5664"/>
    <cellStyle name="연결된 셀 18 9 4 2 2" xfId="22805"/>
    <cellStyle name="연결된 셀 18 9 4 3" xfId="5665"/>
    <cellStyle name="연결된 셀 18 9 4 3 2" xfId="22806"/>
    <cellStyle name="연결된 셀 18 9 4 4" xfId="5666"/>
    <cellStyle name="연결된 셀 18 9 4 4 2" xfId="22807"/>
    <cellStyle name="연결된 셀 18 9 4 5" xfId="22804"/>
    <cellStyle name="연결된 셀 18 9 5" xfId="5667"/>
    <cellStyle name="연결된 셀 18 9 5 2" xfId="22808"/>
    <cellStyle name="연결된 셀 18 9 6" xfId="5668"/>
    <cellStyle name="연결된 셀 18 9 6 2" xfId="22809"/>
    <cellStyle name="연결된 셀 18 9 7" xfId="5669"/>
    <cellStyle name="연결된 셀 18 9 7 2" xfId="22810"/>
    <cellStyle name="연결된 셀 18 9 8" xfId="22795"/>
    <cellStyle name="연결된 셀 19" xfId="5670"/>
    <cellStyle name="연결된 셀 19 10" xfId="5671"/>
    <cellStyle name="연결된 셀 19 10 2" xfId="5672"/>
    <cellStyle name="연결된 셀 19 10 2 2" xfId="5673"/>
    <cellStyle name="연결된 셀 19 10 2 2 2" xfId="22814"/>
    <cellStyle name="연결된 셀 19 10 2 3" xfId="5674"/>
    <cellStyle name="연결된 셀 19 10 2 3 2" xfId="22815"/>
    <cellStyle name="연결된 셀 19 10 2 4" xfId="5675"/>
    <cellStyle name="연결된 셀 19 10 2 4 2" xfId="22816"/>
    <cellStyle name="연결된 셀 19 10 2 5" xfId="22813"/>
    <cellStyle name="연결된 셀 19 10 3" xfId="5676"/>
    <cellStyle name="연결된 셀 19 10 3 2" xfId="5677"/>
    <cellStyle name="연결된 셀 19 10 3 2 2" xfId="22818"/>
    <cellStyle name="연결된 셀 19 10 3 3" xfId="5678"/>
    <cellStyle name="연결된 셀 19 10 3 3 2" xfId="22819"/>
    <cellStyle name="연결된 셀 19 10 3 4" xfId="5679"/>
    <cellStyle name="연결된 셀 19 10 3 4 2" xfId="22820"/>
    <cellStyle name="연결된 셀 19 10 3 5" xfId="22817"/>
    <cellStyle name="연결된 셀 19 10 4" xfId="5680"/>
    <cellStyle name="연결된 셀 19 10 4 2" xfId="5681"/>
    <cellStyle name="연결된 셀 19 10 4 2 2" xfId="22822"/>
    <cellStyle name="연결된 셀 19 10 4 3" xfId="5682"/>
    <cellStyle name="연결된 셀 19 10 4 3 2" xfId="22823"/>
    <cellStyle name="연결된 셀 19 10 4 4" xfId="5683"/>
    <cellStyle name="연결된 셀 19 10 4 4 2" xfId="22824"/>
    <cellStyle name="연결된 셀 19 10 4 5" xfId="22821"/>
    <cellStyle name="연결된 셀 19 10 5" xfId="5684"/>
    <cellStyle name="연결된 셀 19 10 5 2" xfId="22825"/>
    <cellStyle name="연결된 셀 19 10 6" xfId="5685"/>
    <cellStyle name="연결된 셀 19 10 6 2" xfId="22826"/>
    <cellStyle name="연결된 셀 19 10 7" xfId="5686"/>
    <cellStyle name="연결된 셀 19 10 7 2" xfId="22827"/>
    <cellStyle name="연결된 셀 19 10 8" xfId="22812"/>
    <cellStyle name="연결된 셀 19 11" xfId="5687"/>
    <cellStyle name="연결된 셀 19 11 2" xfId="5688"/>
    <cellStyle name="연결된 셀 19 11 2 2" xfId="5689"/>
    <cellStyle name="연결된 셀 19 11 2 2 2" xfId="22830"/>
    <cellStyle name="연결된 셀 19 11 2 3" xfId="5690"/>
    <cellStyle name="연결된 셀 19 11 2 3 2" xfId="22831"/>
    <cellStyle name="연결된 셀 19 11 2 4" xfId="5691"/>
    <cellStyle name="연결된 셀 19 11 2 4 2" xfId="22832"/>
    <cellStyle name="연결된 셀 19 11 2 5" xfId="22829"/>
    <cellStyle name="연결된 셀 19 11 3" xfId="5692"/>
    <cellStyle name="연결된 셀 19 11 3 2" xfId="5693"/>
    <cellStyle name="연결된 셀 19 11 3 2 2" xfId="22834"/>
    <cellStyle name="연결된 셀 19 11 3 3" xfId="5694"/>
    <cellStyle name="연결된 셀 19 11 3 3 2" xfId="22835"/>
    <cellStyle name="연결된 셀 19 11 3 4" xfId="5695"/>
    <cellStyle name="연결된 셀 19 11 3 4 2" xfId="22836"/>
    <cellStyle name="연결된 셀 19 11 3 5" xfId="22833"/>
    <cellStyle name="연결된 셀 19 11 4" xfId="5696"/>
    <cellStyle name="연결된 셀 19 11 4 2" xfId="5697"/>
    <cellStyle name="연결된 셀 19 11 4 2 2" xfId="22838"/>
    <cellStyle name="연결된 셀 19 11 4 3" xfId="5698"/>
    <cellStyle name="연결된 셀 19 11 4 3 2" xfId="22839"/>
    <cellStyle name="연결된 셀 19 11 4 4" xfId="5699"/>
    <cellStyle name="연결된 셀 19 11 4 4 2" xfId="22840"/>
    <cellStyle name="연결된 셀 19 11 4 5" xfId="22837"/>
    <cellStyle name="연결된 셀 19 11 5" xfId="5700"/>
    <cellStyle name="연결된 셀 19 11 5 2" xfId="22841"/>
    <cellStyle name="연결된 셀 19 11 6" xfId="5701"/>
    <cellStyle name="연결된 셀 19 11 6 2" xfId="22842"/>
    <cellStyle name="연결된 셀 19 11 7" xfId="5702"/>
    <cellStyle name="연결된 셀 19 11 7 2" xfId="22843"/>
    <cellStyle name="연결된 셀 19 11 8" xfId="22828"/>
    <cellStyle name="연결된 셀 19 12" xfId="5703"/>
    <cellStyle name="연결된 셀 19 12 2" xfId="5704"/>
    <cellStyle name="연결된 셀 19 12 2 2" xfId="5705"/>
    <cellStyle name="연결된 셀 19 12 2 2 2" xfId="22846"/>
    <cellStyle name="연결된 셀 19 12 2 3" xfId="5706"/>
    <cellStyle name="연결된 셀 19 12 2 3 2" xfId="22847"/>
    <cellStyle name="연결된 셀 19 12 2 4" xfId="5707"/>
    <cellStyle name="연결된 셀 19 12 2 4 2" xfId="22848"/>
    <cellStyle name="연결된 셀 19 12 2 5" xfId="22845"/>
    <cellStyle name="연결된 셀 19 12 3" xfId="5708"/>
    <cellStyle name="연결된 셀 19 12 3 2" xfId="5709"/>
    <cellStyle name="연결된 셀 19 12 3 2 2" xfId="22850"/>
    <cellStyle name="연결된 셀 19 12 3 3" xfId="5710"/>
    <cellStyle name="연결된 셀 19 12 3 3 2" xfId="22851"/>
    <cellStyle name="연결된 셀 19 12 3 4" xfId="5711"/>
    <cellStyle name="연결된 셀 19 12 3 4 2" xfId="22852"/>
    <cellStyle name="연결된 셀 19 12 3 5" xfId="22849"/>
    <cellStyle name="연결된 셀 19 12 4" xfId="5712"/>
    <cellStyle name="연결된 셀 19 12 4 2" xfId="5713"/>
    <cellStyle name="연결된 셀 19 12 4 2 2" xfId="22854"/>
    <cellStyle name="연결된 셀 19 12 4 3" xfId="5714"/>
    <cellStyle name="연결된 셀 19 12 4 3 2" xfId="22855"/>
    <cellStyle name="연결된 셀 19 12 4 4" xfId="5715"/>
    <cellStyle name="연결된 셀 19 12 4 4 2" xfId="22856"/>
    <cellStyle name="연결된 셀 19 12 4 5" xfId="22853"/>
    <cellStyle name="연결된 셀 19 12 5" xfId="5716"/>
    <cellStyle name="연결된 셀 19 12 5 2" xfId="22857"/>
    <cellStyle name="연결된 셀 19 12 6" xfId="5717"/>
    <cellStyle name="연결된 셀 19 12 6 2" xfId="22858"/>
    <cellStyle name="연결된 셀 19 12 7" xfId="5718"/>
    <cellStyle name="연결된 셀 19 12 7 2" xfId="22859"/>
    <cellStyle name="연결된 셀 19 12 8" xfId="22844"/>
    <cellStyle name="연결된 셀 19 13" xfId="5719"/>
    <cellStyle name="연결된 셀 19 13 2" xfId="5720"/>
    <cellStyle name="연결된 셀 19 13 2 2" xfId="22861"/>
    <cellStyle name="연결된 셀 19 13 3" xfId="5721"/>
    <cellStyle name="연결된 셀 19 13 3 2" xfId="22862"/>
    <cellStyle name="연결된 셀 19 13 4" xfId="5722"/>
    <cellStyle name="연결된 셀 19 13 4 2" xfId="22863"/>
    <cellStyle name="연결된 셀 19 13 5" xfId="22860"/>
    <cellStyle name="연결된 셀 19 14" xfId="5723"/>
    <cellStyle name="연결된 셀 19 14 2" xfId="22864"/>
    <cellStyle name="연결된 셀 19 15" xfId="5724"/>
    <cellStyle name="연결된 셀 19 15 2" xfId="22865"/>
    <cellStyle name="연결된 셀 19 16" xfId="5725"/>
    <cellStyle name="연결된 셀 19 16 2" xfId="22866"/>
    <cellStyle name="연결된 셀 19 17" xfId="22811"/>
    <cellStyle name="연결된 셀 19 2" xfId="5726"/>
    <cellStyle name="연결된 셀 19 2 10" xfId="5727"/>
    <cellStyle name="연결된 셀 19 2 10 2" xfId="5728"/>
    <cellStyle name="연결된 셀 19 2 10 2 2" xfId="5729"/>
    <cellStyle name="연결된 셀 19 2 10 2 2 2" xfId="22870"/>
    <cellStyle name="연결된 셀 19 2 10 2 3" xfId="5730"/>
    <cellStyle name="연결된 셀 19 2 10 2 3 2" xfId="22871"/>
    <cellStyle name="연결된 셀 19 2 10 2 4" xfId="5731"/>
    <cellStyle name="연결된 셀 19 2 10 2 4 2" xfId="22872"/>
    <cellStyle name="연결된 셀 19 2 10 2 5" xfId="22869"/>
    <cellStyle name="연결된 셀 19 2 10 3" xfId="5732"/>
    <cellStyle name="연결된 셀 19 2 10 3 2" xfId="5733"/>
    <cellStyle name="연결된 셀 19 2 10 3 2 2" xfId="22874"/>
    <cellStyle name="연결된 셀 19 2 10 3 3" xfId="5734"/>
    <cellStyle name="연결된 셀 19 2 10 3 3 2" xfId="22875"/>
    <cellStyle name="연결된 셀 19 2 10 3 4" xfId="5735"/>
    <cellStyle name="연결된 셀 19 2 10 3 4 2" xfId="22876"/>
    <cellStyle name="연결된 셀 19 2 10 3 5" xfId="22873"/>
    <cellStyle name="연결된 셀 19 2 10 4" xfId="5736"/>
    <cellStyle name="연결된 셀 19 2 10 4 2" xfId="5737"/>
    <cellStyle name="연결된 셀 19 2 10 4 2 2" xfId="22878"/>
    <cellStyle name="연결된 셀 19 2 10 4 3" xfId="5738"/>
    <cellStyle name="연결된 셀 19 2 10 4 3 2" xfId="22879"/>
    <cellStyle name="연결된 셀 19 2 10 4 4" xfId="5739"/>
    <cellStyle name="연결된 셀 19 2 10 4 4 2" xfId="22880"/>
    <cellStyle name="연결된 셀 19 2 10 4 5" xfId="22877"/>
    <cellStyle name="연결된 셀 19 2 10 5" xfId="5740"/>
    <cellStyle name="연결된 셀 19 2 10 5 2" xfId="22881"/>
    <cellStyle name="연결된 셀 19 2 10 6" xfId="5741"/>
    <cellStyle name="연결된 셀 19 2 10 6 2" xfId="22882"/>
    <cellStyle name="연결된 셀 19 2 10 7" xfId="5742"/>
    <cellStyle name="연결된 셀 19 2 10 7 2" xfId="22883"/>
    <cellStyle name="연결된 셀 19 2 10 8" xfId="22868"/>
    <cellStyle name="연결된 셀 19 2 11" xfId="5743"/>
    <cellStyle name="연결된 셀 19 2 11 2" xfId="5744"/>
    <cellStyle name="연결된 셀 19 2 11 2 2" xfId="5745"/>
    <cellStyle name="연결된 셀 19 2 11 2 2 2" xfId="22886"/>
    <cellStyle name="연결된 셀 19 2 11 2 3" xfId="5746"/>
    <cellStyle name="연결된 셀 19 2 11 2 3 2" xfId="22887"/>
    <cellStyle name="연결된 셀 19 2 11 2 4" xfId="5747"/>
    <cellStyle name="연결된 셀 19 2 11 2 4 2" xfId="22888"/>
    <cellStyle name="연결된 셀 19 2 11 2 5" xfId="22885"/>
    <cellStyle name="연결된 셀 19 2 11 3" xfId="5748"/>
    <cellStyle name="연결된 셀 19 2 11 3 2" xfId="5749"/>
    <cellStyle name="연결된 셀 19 2 11 3 2 2" xfId="22890"/>
    <cellStyle name="연결된 셀 19 2 11 3 3" xfId="5750"/>
    <cellStyle name="연결된 셀 19 2 11 3 3 2" xfId="22891"/>
    <cellStyle name="연결된 셀 19 2 11 3 4" xfId="5751"/>
    <cellStyle name="연결된 셀 19 2 11 3 4 2" xfId="22892"/>
    <cellStyle name="연결된 셀 19 2 11 3 5" xfId="22889"/>
    <cellStyle name="연결된 셀 19 2 11 4" xfId="5752"/>
    <cellStyle name="연결된 셀 19 2 11 4 2" xfId="5753"/>
    <cellStyle name="연결된 셀 19 2 11 4 2 2" xfId="22894"/>
    <cellStyle name="연결된 셀 19 2 11 4 3" xfId="5754"/>
    <cellStyle name="연결된 셀 19 2 11 4 3 2" xfId="22895"/>
    <cellStyle name="연결된 셀 19 2 11 4 4" xfId="5755"/>
    <cellStyle name="연결된 셀 19 2 11 4 4 2" xfId="22896"/>
    <cellStyle name="연결된 셀 19 2 11 4 5" xfId="22893"/>
    <cellStyle name="연결된 셀 19 2 11 5" xfId="5756"/>
    <cellStyle name="연결된 셀 19 2 11 5 2" xfId="22897"/>
    <cellStyle name="연결된 셀 19 2 11 6" xfId="5757"/>
    <cellStyle name="연결된 셀 19 2 11 6 2" xfId="22898"/>
    <cellStyle name="연결된 셀 19 2 11 7" xfId="5758"/>
    <cellStyle name="연결된 셀 19 2 11 7 2" xfId="22899"/>
    <cellStyle name="연결된 셀 19 2 11 8" xfId="22884"/>
    <cellStyle name="연결된 셀 19 2 12" xfId="5759"/>
    <cellStyle name="연결된 셀 19 2 12 2" xfId="5760"/>
    <cellStyle name="연결된 셀 19 2 12 2 2" xfId="22901"/>
    <cellStyle name="연결된 셀 19 2 12 3" xfId="5761"/>
    <cellStyle name="연결된 셀 19 2 12 3 2" xfId="22902"/>
    <cellStyle name="연결된 셀 19 2 12 4" xfId="5762"/>
    <cellStyle name="연결된 셀 19 2 12 4 2" xfId="22903"/>
    <cellStyle name="연결된 셀 19 2 12 5" xfId="22900"/>
    <cellStyle name="연결된 셀 19 2 13" xfId="5763"/>
    <cellStyle name="연결된 셀 19 2 13 2" xfId="22904"/>
    <cellStyle name="연결된 셀 19 2 14" xfId="5764"/>
    <cellStyle name="연결된 셀 19 2 14 2" xfId="22905"/>
    <cellStyle name="연결된 셀 19 2 15" xfId="5765"/>
    <cellStyle name="연결된 셀 19 2 15 2" xfId="22906"/>
    <cellStyle name="연결된 셀 19 2 16" xfId="22867"/>
    <cellStyle name="연결된 셀 19 2 2" xfId="5766"/>
    <cellStyle name="연결된 셀 19 2 2 2" xfId="5767"/>
    <cellStyle name="연결된 셀 19 2 2 2 2" xfId="5768"/>
    <cellStyle name="연결된 셀 19 2 2 2 2 2" xfId="22909"/>
    <cellStyle name="연결된 셀 19 2 2 2 3" xfId="5769"/>
    <cellStyle name="연결된 셀 19 2 2 2 3 2" xfId="22910"/>
    <cellStyle name="연결된 셀 19 2 2 2 4" xfId="5770"/>
    <cellStyle name="연결된 셀 19 2 2 2 4 2" xfId="22911"/>
    <cellStyle name="연결된 셀 19 2 2 2 5" xfId="22908"/>
    <cellStyle name="연결된 셀 19 2 2 3" xfId="5771"/>
    <cellStyle name="연결된 셀 19 2 2 3 2" xfId="5772"/>
    <cellStyle name="연결된 셀 19 2 2 3 2 2" xfId="22913"/>
    <cellStyle name="연결된 셀 19 2 2 3 3" xfId="5773"/>
    <cellStyle name="연결된 셀 19 2 2 3 3 2" xfId="22914"/>
    <cellStyle name="연결된 셀 19 2 2 3 4" xfId="5774"/>
    <cellStyle name="연결된 셀 19 2 2 3 4 2" xfId="22915"/>
    <cellStyle name="연결된 셀 19 2 2 3 5" xfId="22912"/>
    <cellStyle name="연결된 셀 19 2 2 4" xfId="5775"/>
    <cellStyle name="연결된 셀 19 2 2 4 2" xfId="5776"/>
    <cellStyle name="연결된 셀 19 2 2 4 2 2" xfId="22917"/>
    <cellStyle name="연결된 셀 19 2 2 4 3" xfId="5777"/>
    <cellStyle name="연결된 셀 19 2 2 4 3 2" xfId="22918"/>
    <cellStyle name="연결된 셀 19 2 2 4 4" xfId="5778"/>
    <cellStyle name="연결된 셀 19 2 2 4 4 2" xfId="22919"/>
    <cellStyle name="연결된 셀 19 2 2 4 5" xfId="22916"/>
    <cellStyle name="연결된 셀 19 2 2 5" xfId="5779"/>
    <cellStyle name="연결된 셀 19 2 2 5 2" xfId="22920"/>
    <cellStyle name="연결된 셀 19 2 2 6" xfId="5780"/>
    <cellStyle name="연결된 셀 19 2 2 6 2" xfId="22921"/>
    <cellStyle name="연결된 셀 19 2 2 7" xfId="5781"/>
    <cellStyle name="연결된 셀 19 2 2 7 2" xfId="22922"/>
    <cellStyle name="연결된 셀 19 2 2 8" xfId="22907"/>
    <cellStyle name="연결된 셀 19 2 3" xfId="5782"/>
    <cellStyle name="연결된 셀 19 2 3 2" xfId="5783"/>
    <cellStyle name="연결된 셀 19 2 3 2 2" xfId="5784"/>
    <cellStyle name="연결된 셀 19 2 3 2 2 2" xfId="22925"/>
    <cellStyle name="연결된 셀 19 2 3 2 3" xfId="5785"/>
    <cellStyle name="연결된 셀 19 2 3 2 3 2" xfId="22926"/>
    <cellStyle name="연결된 셀 19 2 3 2 4" xfId="5786"/>
    <cellStyle name="연결된 셀 19 2 3 2 4 2" xfId="22927"/>
    <cellStyle name="연결된 셀 19 2 3 2 5" xfId="22924"/>
    <cellStyle name="연결된 셀 19 2 3 3" xfId="5787"/>
    <cellStyle name="연결된 셀 19 2 3 3 2" xfId="5788"/>
    <cellStyle name="연결된 셀 19 2 3 3 2 2" xfId="22929"/>
    <cellStyle name="연결된 셀 19 2 3 3 3" xfId="5789"/>
    <cellStyle name="연결된 셀 19 2 3 3 3 2" xfId="22930"/>
    <cellStyle name="연결된 셀 19 2 3 3 4" xfId="5790"/>
    <cellStyle name="연결된 셀 19 2 3 3 4 2" xfId="22931"/>
    <cellStyle name="연결된 셀 19 2 3 3 5" xfId="22928"/>
    <cellStyle name="연결된 셀 19 2 3 4" xfId="5791"/>
    <cellStyle name="연결된 셀 19 2 3 4 2" xfId="5792"/>
    <cellStyle name="연결된 셀 19 2 3 4 2 2" xfId="22933"/>
    <cellStyle name="연결된 셀 19 2 3 4 3" xfId="5793"/>
    <cellStyle name="연결된 셀 19 2 3 4 3 2" xfId="22934"/>
    <cellStyle name="연결된 셀 19 2 3 4 4" xfId="5794"/>
    <cellStyle name="연결된 셀 19 2 3 4 4 2" xfId="22935"/>
    <cellStyle name="연결된 셀 19 2 3 4 5" xfId="22932"/>
    <cellStyle name="연결된 셀 19 2 3 5" xfId="5795"/>
    <cellStyle name="연결된 셀 19 2 3 5 2" xfId="22936"/>
    <cellStyle name="연결된 셀 19 2 3 6" xfId="5796"/>
    <cellStyle name="연결된 셀 19 2 3 6 2" xfId="22937"/>
    <cellStyle name="연결된 셀 19 2 3 7" xfId="5797"/>
    <cellStyle name="연결된 셀 19 2 3 7 2" xfId="22938"/>
    <cellStyle name="연결된 셀 19 2 3 8" xfId="22923"/>
    <cellStyle name="연결된 셀 19 2 4" xfId="5798"/>
    <cellStyle name="연결된 셀 19 2 4 2" xfId="5799"/>
    <cellStyle name="연결된 셀 19 2 4 2 2" xfId="5800"/>
    <cellStyle name="연결된 셀 19 2 4 2 2 2" xfId="22941"/>
    <cellStyle name="연결된 셀 19 2 4 2 3" xfId="5801"/>
    <cellStyle name="연결된 셀 19 2 4 2 3 2" xfId="22942"/>
    <cellStyle name="연결된 셀 19 2 4 2 4" xfId="5802"/>
    <cellStyle name="연결된 셀 19 2 4 2 4 2" xfId="22943"/>
    <cellStyle name="연결된 셀 19 2 4 2 5" xfId="22940"/>
    <cellStyle name="연결된 셀 19 2 4 3" xfId="5803"/>
    <cellStyle name="연결된 셀 19 2 4 3 2" xfId="5804"/>
    <cellStyle name="연결된 셀 19 2 4 3 2 2" xfId="22945"/>
    <cellStyle name="연결된 셀 19 2 4 3 3" xfId="5805"/>
    <cellStyle name="연결된 셀 19 2 4 3 3 2" xfId="22946"/>
    <cellStyle name="연결된 셀 19 2 4 3 4" xfId="5806"/>
    <cellStyle name="연결된 셀 19 2 4 3 4 2" xfId="22947"/>
    <cellStyle name="연결된 셀 19 2 4 3 5" xfId="22944"/>
    <cellStyle name="연결된 셀 19 2 4 4" xfId="5807"/>
    <cellStyle name="연결된 셀 19 2 4 4 2" xfId="5808"/>
    <cellStyle name="연결된 셀 19 2 4 4 2 2" xfId="22949"/>
    <cellStyle name="연결된 셀 19 2 4 4 3" xfId="5809"/>
    <cellStyle name="연결된 셀 19 2 4 4 3 2" xfId="22950"/>
    <cellStyle name="연결된 셀 19 2 4 4 4" xfId="5810"/>
    <cellStyle name="연결된 셀 19 2 4 4 4 2" xfId="22951"/>
    <cellStyle name="연결된 셀 19 2 4 4 5" xfId="22948"/>
    <cellStyle name="연결된 셀 19 2 4 5" xfId="5811"/>
    <cellStyle name="연결된 셀 19 2 4 5 2" xfId="22952"/>
    <cellStyle name="연결된 셀 19 2 4 6" xfId="5812"/>
    <cellStyle name="연결된 셀 19 2 4 6 2" xfId="22953"/>
    <cellStyle name="연결된 셀 19 2 4 7" xfId="5813"/>
    <cellStyle name="연결된 셀 19 2 4 7 2" xfId="22954"/>
    <cellStyle name="연결된 셀 19 2 4 8" xfId="22939"/>
    <cellStyle name="연결된 셀 19 2 5" xfId="5814"/>
    <cellStyle name="연결된 셀 19 2 5 2" xfId="5815"/>
    <cellStyle name="연결된 셀 19 2 5 2 2" xfId="5816"/>
    <cellStyle name="연결된 셀 19 2 5 2 2 2" xfId="22957"/>
    <cellStyle name="연결된 셀 19 2 5 2 3" xfId="5817"/>
    <cellStyle name="연결된 셀 19 2 5 2 3 2" xfId="22958"/>
    <cellStyle name="연결된 셀 19 2 5 2 4" xfId="5818"/>
    <cellStyle name="연결된 셀 19 2 5 2 4 2" xfId="22959"/>
    <cellStyle name="연결된 셀 19 2 5 2 5" xfId="22956"/>
    <cellStyle name="연결된 셀 19 2 5 3" xfId="5819"/>
    <cellStyle name="연결된 셀 19 2 5 3 2" xfId="5820"/>
    <cellStyle name="연결된 셀 19 2 5 3 2 2" xfId="22961"/>
    <cellStyle name="연결된 셀 19 2 5 3 3" xfId="5821"/>
    <cellStyle name="연결된 셀 19 2 5 3 3 2" xfId="22962"/>
    <cellStyle name="연결된 셀 19 2 5 3 4" xfId="5822"/>
    <cellStyle name="연결된 셀 19 2 5 3 4 2" xfId="22963"/>
    <cellStyle name="연결된 셀 19 2 5 3 5" xfId="22960"/>
    <cellStyle name="연결된 셀 19 2 5 4" xfId="5823"/>
    <cellStyle name="연결된 셀 19 2 5 4 2" xfId="5824"/>
    <cellStyle name="연결된 셀 19 2 5 4 2 2" xfId="22965"/>
    <cellStyle name="연결된 셀 19 2 5 4 3" xfId="5825"/>
    <cellStyle name="연결된 셀 19 2 5 4 3 2" xfId="22966"/>
    <cellStyle name="연결된 셀 19 2 5 4 4" xfId="5826"/>
    <cellStyle name="연결된 셀 19 2 5 4 4 2" xfId="22967"/>
    <cellStyle name="연결된 셀 19 2 5 4 5" xfId="22964"/>
    <cellStyle name="연결된 셀 19 2 5 5" xfId="5827"/>
    <cellStyle name="연결된 셀 19 2 5 5 2" xfId="22968"/>
    <cellStyle name="연결된 셀 19 2 5 6" xfId="5828"/>
    <cellStyle name="연결된 셀 19 2 5 6 2" xfId="22969"/>
    <cellStyle name="연결된 셀 19 2 5 7" xfId="5829"/>
    <cellStyle name="연결된 셀 19 2 5 7 2" xfId="22970"/>
    <cellStyle name="연결된 셀 19 2 5 8" xfId="22955"/>
    <cellStyle name="연결된 셀 19 2 6" xfId="5830"/>
    <cellStyle name="연결된 셀 19 2 6 2" xfId="5831"/>
    <cellStyle name="연결된 셀 19 2 6 2 2" xfId="5832"/>
    <cellStyle name="연결된 셀 19 2 6 2 2 2" xfId="22973"/>
    <cellStyle name="연결된 셀 19 2 6 2 3" xfId="5833"/>
    <cellStyle name="연결된 셀 19 2 6 2 3 2" xfId="22974"/>
    <cellStyle name="연결된 셀 19 2 6 2 4" xfId="5834"/>
    <cellStyle name="연결된 셀 19 2 6 2 4 2" xfId="22975"/>
    <cellStyle name="연결된 셀 19 2 6 2 5" xfId="22972"/>
    <cellStyle name="연결된 셀 19 2 6 3" xfId="5835"/>
    <cellStyle name="연결된 셀 19 2 6 3 2" xfId="5836"/>
    <cellStyle name="연결된 셀 19 2 6 3 2 2" xfId="22977"/>
    <cellStyle name="연결된 셀 19 2 6 3 3" xfId="5837"/>
    <cellStyle name="연결된 셀 19 2 6 3 3 2" xfId="22978"/>
    <cellStyle name="연결된 셀 19 2 6 3 4" xfId="5838"/>
    <cellStyle name="연결된 셀 19 2 6 3 4 2" xfId="22979"/>
    <cellStyle name="연결된 셀 19 2 6 3 5" xfId="22976"/>
    <cellStyle name="연결된 셀 19 2 6 4" xfId="5839"/>
    <cellStyle name="연결된 셀 19 2 6 4 2" xfId="5840"/>
    <cellStyle name="연결된 셀 19 2 6 4 2 2" xfId="22981"/>
    <cellStyle name="연결된 셀 19 2 6 4 3" xfId="5841"/>
    <cellStyle name="연결된 셀 19 2 6 4 3 2" xfId="22982"/>
    <cellStyle name="연결된 셀 19 2 6 4 4" xfId="5842"/>
    <cellStyle name="연결된 셀 19 2 6 4 4 2" xfId="22983"/>
    <cellStyle name="연결된 셀 19 2 6 4 5" xfId="22980"/>
    <cellStyle name="연결된 셀 19 2 6 5" xfId="5843"/>
    <cellStyle name="연결된 셀 19 2 6 5 2" xfId="22984"/>
    <cellStyle name="연결된 셀 19 2 6 6" xfId="5844"/>
    <cellStyle name="연결된 셀 19 2 6 6 2" xfId="22985"/>
    <cellStyle name="연결된 셀 19 2 6 7" xfId="5845"/>
    <cellStyle name="연결된 셀 19 2 6 7 2" xfId="22986"/>
    <cellStyle name="연결된 셀 19 2 6 8" xfId="22971"/>
    <cellStyle name="연결된 셀 19 2 7" xfId="5846"/>
    <cellStyle name="연결된 셀 19 2 7 2" xfId="5847"/>
    <cellStyle name="연결된 셀 19 2 7 2 2" xfId="5848"/>
    <cellStyle name="연결된 셀 19 2 7 2 2 2" xfId="22989"/>
    <cellStyle name="연결된 셀 19 2 7 2 3" xfId="5849"/>
    <cellStyle name="연결된 셀 19 2 7 2 3 2" xfId="22990"/>
    <cellStyle name="연결된 셀 19 2 7 2 4" xfId="5850"/>
    <cellStyle name="연결된 셀 19 2 7 2 4 2" xfId="22991"/>
    <cellStyle name="연결된 셀 19 2 7 2 5" xfId="22988"/>
    <cellStyle name="연결된 셀 19 2 7 3" xfId="5851"/>
    <cellStyle name="연결된 셀 19 2 7 3 2" xfId="5852"/>
    <cellStyle name="연결된 셀 19 2 7 3 2 2" xfId="22993"/>
    <cellStyle name="연결된 셀 19 2 7 3 3" xfId="5853"/>
    <cellStyle name="연결된 셀 19 2 7 3 3 2" xfId="22994"/>
    <cellStyle name="연결된 셀 19 2 7 3 4" xfId="5854"/>
    <cellStyle name="연결된 셀 19 2 7 3 4 2" xfId="22995"/>
    <cellStyle name="연결된 셀 19 2 7 3 5" xfId="22992"/>
    <cellStyle name="연결된 셀 19 2 7 4" xfId="5855"/>
    <cellStyle name="연결된 셀 19 2 7 4 2" xfId="5856"/>
    <cellStyle name="연결된 셀 19 2 7 4 2 2" xfId="22997"/>
    <cellStyle name="연결된 셀 19 2 7 4 3" xfId="5857"/>
    <cellStyle name="연결된 셀 19 2 7 4 3 2" xfId="22998"/>
    <cellStyle name="연결된 셀 19 2 7 4 4" xfId="5858"/>
    <cellStyle name="연결된 셀 19 2 7 4 4 2" xfId="22999"/>
    <cellStyle name="연결된 셀 19 2 7 4 5" xfId="22996"/>
    <cellStyle name="연결된 셀 19 2 7 5" xfId="5859"/>
    <cellStyle name="연결된 셀 19 2 7 5 2" xfId="23000"/>
    <cellStyle name="연결된 셀 19 2 7 6" xfId="5860"/>
    <cellStyle name="연결된 셀 19 2 7 6 2" xfId="23001"/>
    <cellStyle name="연결된 셀 19 2 7 7" xfId="5861"/>
    <cellStyle name="연결된 셀 19 2 7 7 2" xfId="23002"/>
    <cellStyle name="연결된 셀 19 2 7 8" xfId="22987"/>
    <cellStyle name="연결된 셀 19 2 8" xfId="5862"/>
    <cellStyle name="연결된 셀 19 2 8 2" xfId="5863"/>
    <cellStyle name="연결된 셀 19 2 8 2 2" xfId="5864"/>
    <cellStyle name="연결된 셀 19 2 8 2 2 2" xfId="23005"/>
    <cellStyle name="연결된 셀 19 2 8 2 3" xfId="5865"/>
    <cellStyle name="연결된 셀 19 2 8 2 3 2" xfId="23006"/>
    <cellStyle name="연결된 셀 19 2 8 2 4" xfId="5866"/>
    <cellStyle name="연결된 셀 19 2 8 2 4 2" xfId="23007"/>
    <cellStyle name="연결된 셀 19 2 8 2 5" xfId="23004"/>
    <cellStyle name="연결된 셀 19 2 8 3" xfId="5867"/>
    <cellStyle name="연결된 셀 19 2 8 3 2" xfId="5868"/>
    <cellStyle name="연결된 셀 19 2 8 3 2 2" xfId="23009"/>
    <cellStyle name="연결된 셀 19 2 8 3 3" xfId="5869"/>
    <cellStyle name="연결된 셀 19 2 8 3 3 2" xfId="23010"/>
    <cellStyle name="연결된 셀 19 2 8 3 4" xfId="5870"/>
    <cellStyle name="연결된 셀 19 2 8 3 4 2" xfId="23011"/>
    <cellStyle name="연결된 셀 19 2 8 3 5" xfId="23008"/>
    <cellStyle name="연결된 셀 19 2 8 4" xfId="5871"/>
    <cellStyle name="연결된 셀 19 2 8 4 2" xfId="5872"/>
    <cellStyle name="연결된 셀 19 2 8 4 2 2" xfId="23013"/>
    <cellStyle name="연결된 셀 19 2 8 4 3" xfId="5873"/>
    <cellStyle name="연결된 셀 19 2 8 4 3 2" xfId="23014"/>
    <cellStyle name="연결된 셀 19 2 8 4 4" xfId="5874"/>
    <cellStyle name="연결된 셀 19 2 8 4 4 2" xfId="23015"/>
    <cellStyle name="연결된 셀 19 2 8 4 5" xfId="23012"/>
    <cellStyle name="연결된 셀 19 2 8 5" xfId="5875"/>
    <cellStyle name="연결된 셀 19 2 8 5 2" xfId="23016"/>
    <cellStyle name="연결된 셀 19 2 8 6" xfId="5876"/>
    <cellStyle name="연결된 셀 19 2 8 6 2" xfId="23017"/>
    <cellStyle name="연결된 셀 19 2 8 7" xfId="5877"/>
    <cellStyle name="연결된 셀 19 2 8 7 2" xfId="23018"/>
    <cellStyle name="연결된 셀 19 2 8 8" xfId="23003"/>
    <cellStyle name="연결된 셀 19 2 9" xfId="5878"/>
    <cellStyle name="연결된 셀 19 2 9 2" xfId="5879"/>
    <cellStyle name="연결된 셀 19 2 9 2 2" xfId="5880"/>
    <cellStyle name="연결된 셀 19 2 9 2 2 2" xfId="23021"/>
    <cellStyle name="연결된 셀 19 2 9 2 3" xfId="5881"/>
    <cellStyle name="연결된 셀 19 2 9 2 3 2" xfId="23022"/>
    <cellStyle name="연결된 셀 19 2 9 2 4" xfId="5882"/>
    <cellStyle name="연결된 셀 19 2 9 2 4 2" xfId="23023"/>
    <cellStyle name="연결된 셀 19 2 9 2 5" xfId="23020"/>
    <cellStyle name="연결된 셀 19 2 9 3" xfId="5883"/>
    <cellStyle name="연결된 셀 19 2 9 3 2" xfId="5884"/>
    <cellStyle name="연결된 셀 19 2 9 3 2 2" xfId="23025"/>
    <cellStyle name="연결된 셀 19 2 9 3 3" xfId="5885"/>
    <cellStyle name="연결된 셀 19 2 9 3 3 2" xfId="23026"/>
    <cellStyle name="연결된 셀 19 2 9 3 4" xfId="5886"/>
    <cellStyle name="연결된 셀 19 2 9 3 4 2" xfId="23027"/>
    <cellStyle name="연결된 셀 19 2 9 3 5" xfId="23024"/>
    <cellStyle name="연결된 셀 19 2 9 4" xfId="5887"/>
    <cellStyle name="연결된 셀 19 2 9 4 2" xfId="5888"/>
    <cellStyle name="연결된 셀 19 2 9 4 2 2" xfId="23029"/>
    <cellStyle name="연결된 셀 19 2 9 4 3" xfId="5889"/>
    <cellStyle name="연결된 셀 19 2 9 4 3 2" xfId="23030"/>
    <cellStyle name="연결된 셀 19 2 9 4 4" xfId="5890"/>
    <cellStyle name="연결된 셀 19 2 9 4 4 2" xfId="23031"/>
    <cellStyle name="연결된 셀 19 2 9 4 5" xfId="23028"/>
    <cellStyle name="연결된 셀 19 2 9 5" xfId="5891"/>
    <cellStyle name="연결된 셀 19 2 9 5 2" xfId="23032"/>
    <cellStyle name="연결된 셀 19 2 9 6" xfId="5892"/>
    <cellStyle name="연결된 셀 19 2 9 6 2" xfId="23033"/>
    <cellStyle name="연결된 셀 19 2 9 7" xfId="5893"/>
    <cellStyle name="연결된 셀 19 2 9 7 2" xfId="23034"/>
    <cellStyle name="연결된 셀 19 2 9 8" xfId="23019"/>
    <cellStyle name="연결된 셀 19 3" xfId="5894"/>
    <cellStyle name="연결된 셀 19 3 2" xfId="5895"/>
    <cellStyle name="연결된 셀 19 3 2 2" xfId="5896"/>
    <cellStyle name="연결된 셀 19 3 2 2 2" xfId="23037"/>
    <cellStyle name="연결된 셀 19 3 2 3" xfId="5897"/>
    <cellStyle name="연결된 셀 19 3 2 3 2" xfId="23038"/>
    <cellStyle name="연결된 셀 19 3 2 4" xfId="5898"/>
    <cellStyle name="연결된 셀 19 3 2 4 2" xfId="23039"/>
    <cellStyle name="연결된 셀 19 3 2 5" xfId="23036"/>
    <cellStyle name="연결된 셀 19 3 3" xfId="5899"/>
    <cellStyle name="연결된 셀 19 3 3 2" xfId="5900"/>
    <cellStyle name="연결된 셀 19 3 3 2 2" xfId="23041"/>
    <cellStyle name="연결된 셀 19 3 3 3" xfId="5901"/>
    <cellStyle name="연결된 셀 19 3 3 3 2" xfId="23042"/>
    <cellStyle name="연결된 셀 19 3 3 4" xfId="5902"/>
    <cellStyle name="연결된 셀 19 3 3 4 2" xfId="23043"/>
    <cellStyle name="연결된 셀 19 3 3 5" xfId="23040"/>
    <cellStyle name="연결된 셀 19 3 4" xfId="5903"/>
    <cellStyle name="연결된 셀 19 3 4 2" xfId="5904"/>
    <cellStyle name="연결된 셀 19 3 4 2 2" xfId="23045"/>
    <cellStyle name="연결된 셀 19 3 4 3" xfId="5905"/>
    <cellStyle name="연결된 셀 19 3 4 3 2" xfId="23046"/>
    <cellStyle name="연결된 셀 19 3 4 4" xfId="5906"/>
    <cellStyle name="연결된 셀 19 3 4 4 2" xfId="23047"/>
    <cellStyle name="연결된 셀 19 3 4 5" xfId="23044"/>
    <cellStyle name="연결된 셀 19 3 5" xfId="5907"/>
    <cellStyle name="연결된 셀 19 3 5 2" xfId="23048"/>
    <cellStyle name="연결된 셀 19 3 6" xfId="5908"/>
    <cellStyle name="연결된 셀 19 3 6 2" xfId="23049"/>
    <cellStyle name="연결된 셀 19 3 7" xfId="5909"/>
    <cellStyle name="연결된 셀 19 3 7 2" xfId="23050"/>
    <cellStyle name="연결된 셀 19 3 8" xfId="23035"/>
    <cellStyle name="연결된 셀 19 4" xfId="5910"/>
    <cellStyle name="연결된 셀 19 4 2" xfId="5911"/>
    <cellStyle name="연결된 셀 19 4 2 2" xfId="5912"/>
    <cellStyle name="연결된 셀 19 4 2 2 2" xfId="23053"/>
    <cellStyle name="연결된 셀 19 4 2 3" xfId="5913"/>
    <cellStyle name="연결된 셀 19 4 2 3 2" xfId="23054"/>
    <cellStyle name="연결된 셀 19 4 2 4" xfId="5914"/>
    <cellStyle name="연결된 셀 19 4 2 4 2" xfId="23055"/>
    <cellStyle name="연결된 셀 19 4 2 5" xfId="23052"/>
    <cellStyle name="연결된 셀 19 4 3" xfId="5915"/>
    <cellStyle name="연결된 셀 19 4 3 2" xfId="5916"/>
    <cellStyle name="연결된 셀 19 4 3 2 2" xfId="23057"/>
    <cellStyle name="연결된 셀 19 4 3 3" xfId="5917"/>
    <cellStyle name="연결된 셀 19 4 3 3 2" xfId="23058"/>
    <cellStyle name="연결된 셀 19 4 3 4" xfId="5918"/>
    <cellStyle name="연결된 셀 19 4 3 4 2" xfId="23059"/>
    <cellStyle name="연결된 셀 19 4 3 5" xfId="23056"/>
    <cellStyle name="연결된 셀 19 4 4" xfId="5919"/>
    <cellStyle name="연결된 셀 19 4 4 2" xfId="5920"/>
    <cellStyle name="연결된 셀 19 4 4 2 2" xfId="23061"/>
    <cellStyle name="연결된 셀 19 4 4 3" xfId="5921"/>
    <cellStyle name="연결된 셀 19 4 4 3 2" xfId="23062"/>
    <cellStyle name="연결된 셀 19 4 4 4" xfId="5922"/>
    <cellStyle name="연결된 셀 19 4 4 4 2" xfId="23063"/>
    <cellStyle name="연결된 셀 19 4 4 5" xfId="23060"/>
    <cellStyle name="연결된 셀 19 4 5" xfId="5923"/>
    <cellStyle name="연결된 셀 19 4 5 2" xfId="23064"/>
    <cellStyle name="연결된 셀 19 4 6" xfId="5924"/>
    <cellStyle name="연결된 셀 19 4 6 2" xfId="23065"/>
    <cellStyle name="연결된 셀 19 4 7" xfId="5925"/>
    <cellStyle name="연결된 셀 19 4 7 2" xfId="23066"/>
    <cellStyle name="연결된 셀 19 4 8" xfId="23051"/>
    <cellStyle name="연결된 셀 19 5" xfId="5926"/>
    <cellStyle name="연결된 셀 19 5 2" xfId="5927"/>
    <cellStyle name="연결된 셀 19 5 2 2" xfId="5928"/>
    <cellStyle name="연결된 셀 19 5 2 2 2" xfId="23069"/>
    <cellStyle name="연결된 셀 19 5 2 3" xfId="5929"/>
    <cellStyle name="연결된 셀 19 5 2 3 2" xfId="23070"/>
    <cellStyle name="연결된 셀 19 5 2 4" xfId="5930"/>
    <cellStyle name="연결된 셀 19 5 2 4 2" xfId="23071"/>
    <cellStyle name="연결된 셀 19 5 2 5" xfId="23068"/>
    <cellStyle name="연결된 셀 19 5 3" xfId="5931"/>
    <cellStyle name="연결된 셀 19 5 3 2" xfId="5932"/>
    <cellStyle name="연결된 셀 19 5 3 2 2" xfId="23073"/>
    <cellStyle name="연결된 셀 19 5 3 3" xfId="5933"/>
    <cellStyle name="연결된 셀 19 5 3 3 2" xfId="23074"/>
    <cellStyle name="연결된 셀 19 5 3 4" xfId="5934"/>
    <cellStyle name="연결된 셀 19 5 3 4 2" xfId="23075"/>
    <cellStyle name="연결된 셀 19 5 3 5" xfId="23072"/>
    <cellStyle name="연결된 셀 19 5 4" xfId="5935"/>
    <cellStyle name="연결된 셀 19 5 4 2" xfId="5936"/>
    <cellStyle name="연결된 셀 19 5 4 2 2" xfId="23077"/>
    <cellStyle name="연결된 셀 19 5 4 3" xfId="5937"/>
    <cellStyle name="연결된 셀 19 5 4 3 2" xfId="23078"/>
    <cellStyle name="연결된 셀 19 5 4 4" xfId="5938"/>
    <cellStyle name="연결된 셀 19 5 4 4 2" xfId="23079"/>
    <cellStyle name="연결된 셀 19 5 4 5" xfId="23076"/>
    <cellStyle name="연결된 셀 19 5 5" xfId="5939"/>
    <cellStyle name="연결된 셀 19 5 5 2" xfId="23080"/>
    <cellStyle name="연결된 셀 19 5 6" xfId="5940"/>
    <cellStyle name="연결된 셀 19 5 6 2" xfId="23081"/>
    <cellStyle name="연결된 셀 19 5 7" xfId="5941"/>
    <cellStyle name="연결된 셀 19 5 7 2" xfId="23082"/>
    <cellStyle name="연결된 셀 19 5 8" xfId="23067"/>
    <cellStyle name="연결된 셀 19 6" xfId="5942"/>
    <cellStyle name="연결된 셀 19 6 2" xfId="5943"/>
    <cellStyle name="연결된 셀 19 6 2 2" xfId="5944"/>
    <cellStyle name="연결된 셀 19 6 2 2 2" xfId="23085"/>
    <cellStyle name="연결된 셀 19 6 2 3" xfId="5945"/>
    <cellStyle name="연결된 셀 19 6 2 3 2" xfId="23086"/>
    <cellStyle name="연결된 셀 19 6 2 4" xfId="5946"/>
    <cellStyle name="연결된 셀 19 6 2 4 2" xfId="23087"/>
    <cellStyle name="연결된 셀 19 6 2 5" xfId="23084"/>
    <cellStyle name="연결된 셀 19 6 3" xfId="5947"/>
    <cellStyle name="연결된 셀 19 6 3 2" xfId="5948"/>
    <cellStyle name="연결된 셀 19 6 3 2 2" xfId="23089"/>
    <cellStyle name="연결된 셀 19 6 3 3" xfId="5949"/>
    <cellStyle name="연결된 셀 19 6 3 3 2" xfId="23090"/>
    <cellStyle name="연결된 셀 19 6 3 4" xfId="5950"/>
    <cellStyle name="연결된 셀 19 6 3 4 2" xfId="23091"/>
    <cellStyle name="연결된 셀 19 6 3 5" xfId="23088"/>
    <cellStyle name="연결된 셀 19 6 4" xfId="5951"/>
    <cellStyle name="연결된 셀 19 6 4 2" xfId="5952"/>
    <cellStyle name="연결된 셀 19 6 4 2 2" xfId="23093"/>
    <cellStyle name="연결된 셀 19 6 4 3" xfId="5953"/>
    <cellStyle name="연결된 셀 19 6 4 3 2" xfId="23094"/>
    <cellStyle name="연결된 셀 19 6 4 4" xfId="5954"/>
    <cellStyle name="연결된 셀 19 6 4 4 2" xfId="23095"/>
    <cellStyle name="연결된 셀 19 6 4 5" xfId="23092"/>
    <cellStyle name="연결된 셀 19 6 5" xfId="5955"/>
    <cellStyle name="연결된 셀 19 6 5 2" xfId="23096"/>
    <cellStyle name="연결된 셀 19 6 6" xfId="5956"/>
    <cellStyle name="연결된 셀 19 6 6 2" xfId="23097"/>
    <cellStyle name="연결된 셀 19 6 7" xfId="5957"/>
    <cellStyle name="연결된 셀 19 6 7 2" xfId="23098"/>
    <cellStyle name="연결된 셀 19 6 8" xfId="23083"/>
    <cellStyle name="연결된 셀 19 7" xfId="5958"/>
    <cellStyle name="연결된 셀 19 7 2" xfId="5959"/>
    <cellStyle name="연결된 셀 19 7 2 2" xfId="5960"/>
    <cellStyle name="연결된 셀 19 7 2 2 2" xfId="23101"/>
    <cellStyle name="연결된 셀 19 7 2 3" xfId="5961"/>
    <cellStyle name="연결된 셀 19 7 2 3 2" xfId="23102"/>
    <cellStyle name="연결된 셀 19 7 2 4" xfId="5962"/>
    <cellStyle name="연결된 셀 19 7 2 4 2" xfId="23103"/>
    <cellStyle name="연결된 셀 19 7 2 5" xfId="23100"/>
    <cellStyle name="연결된 셀 19 7 3" xfId="5963"/>
    <cellStyle name="연결된 셀 19 7 3 2" xfId="5964"/>
    <cellStyle name="연결된 셀 19 7 3 2 2" xfId="23105"/>
    <cellStyle name="연결된 셀 19 7 3 3" xfId="5965"/>
    <cellStyle name="연결된 셀 19 7 3 3 2" xfId="23106"/>
    <cellStyle name="연결된 셀 19 7 3 4" xfId="5966"/>
    <cellStyle name="연결된 셀 19 7 3 4 2" xfId="23107"/>
    <cellStyle name="연결된 셀 19 7 3 5" xfId="23104"/>
    <cellStyle name="연결된 셀 19 7 4" xfId="5967"/>
    <cellStyle name="연결된 셀 19 7 4 2" xfId="5968"/>
    <cellStyle name="연결된 셀 19 7 4 2 2" xfId="23109"/>
    <cellStyle name="연결된 셀 19 7 4 3" xfId="5969"/>
    <cellStyle name="연결된 셀 19 7 4 3 2" xfId="23110"/>
    <cellStyle name="연결된 셀 19 7 4 4" xfId="5970"/>
    <cellStyle name="연결된 셀 19 7 4 4 2" xfId="23111"/>
    <cellStyle name="연결된 셀 19 7 4 5" xfId="23108"/>
    <cellStyle name="연결된 셀 19 7 5" xfId="5971"/>
    <cellStyle name="연결된 셀 19 7 5 2" xfId="23112"/>
    <cellStyle name="연결된 셀 19 7 6" xfId="5972"/>
    <cellStyle name="연결된 셀 19 7 6 2" xfId="23113"/>
    <cellStyle name="연결된 셀 19 7 7" xfId="5973"/>
    <cellStyle name="연결된 셀 19 7 7 2" xfId="23114"/>
    <cellStyle name="연결된 셀 19 7 8" xfId="23099"/>
    <cellStyle name="연결된 셀 19 8" xfId="5974"/>
    <cellStyle name="연결된 셀 19 8 2" xfId="5975"/>
    <cellStyle name="연결된 셀 19 8 2 2" xfId="5976"/>
    <cellStyle name="연결된 셀 19 8 2 2 2" xfId="23117"/>
    <cellStyle name="연결된 셀 19 8 2 3" xfId="5977"/>
    <cellStyle name="연결된 셀 19 8 2 3 2" xfId="23118"/>
    <cellStyle name="연결된 셀 19 8 2 4" xfId="5978"/>
    <cellStyle name="연결된 셀 19 8 2 4 2" xfId="23119"/>
    <cellStyle name="연결된 셀 19 8 2 5" xfId="23116"/>
    <cellStyle name="연결된 셀 19 8 3" xfId="5979"/>
    <cellStyle name="연결된 셀 19 8 3 2" xfId="5980"/>
    <cellStyle name="연결된 셀 19 8 3 2 2" xfId="23121"/>
    <cellStyle name="연결된 셀 19 8 3 3" xfId="5981"/>
    <cellStyle name="연결된 셀 19 8 3 3 2" xfId="23122"/>
    <cellStyle name="연결된 셀 19 8 3 4" xfId="5982"/>
    <cellStyle name="연결된 셀 19 8 3 4 2" xfId="23123"/>
    <cellStyle name="연결된 셀 19 8 3 5" xfId="23120"/>
    <cellStyle name="연결된 셀 19 8 4" xfId="5983"/>
    <cellStyle name="연결된 셀 19 8 4 2" xfId="5984"/>
    <cellStyle name="연결된 셀 19 8 4 2 2" xfId="23125"/>
    <cellStyle name="연결된 셀 19 8 4 3" xfId="5985"/>
    <cellStyle name="연결된 셀 19 8 4 3 2" xfId="23126"/>
    <cellStyle name="연결된 셀 19 8 4 4" xfId="5986"/>
    <cellStyle name="연결된 셀 19 8 4 4 2" xfId="23127"/>
    <cellStyle name="연결된 셀 19 8 4 5" xfId="23124"/>
    <cellStyle name="연결된 셀 19 8 5" xfId="5987"/>
    <cellStyle name="연결된 셀 19 8 5 2" xfId="23128"/>
    <cellStyle name="연결된 셀 19 8 6" xfId="5988"/>
    <cellStyle name="연결된 셀 19 8 6 2" xfId="23129"/>
    <cellStyle name="연결된 셀 19 8 7" xfId="5989"/>
    <cellStyle name="연결된 셀 19 8 7 2" xfId="23130"/>
    <cellStyle name="연결된 셀 19 8 8" xfId="23115"/>
    <cellStyle name="연결된 셀 19 9" xfId="5990"/>
    <cellStyle name="연결된 셀 19 9 2" xfId="5991"/>
    <cellStyle name="연결된 셀 19 9 2 2" xfId="5992"/>
    <cellStyle name="연결된 셀 19 9 2 2 2" xfId="23133"/>
    <cellStyle name="연결된 셀 19 9 2 3" xfId="5993"/>
    <cellStyle name="연결된 셀 19 9 2 3 2" xfId="23134"/>
    <cellStyle name="연결된 셀 19 9 2 4" xfId="5994"/>
    <cellStyle name="연결된 셀 19 9 2 4 2" xfId="23135"/>
    <cellStyle name="연결된 셀 19 9 2 5" xfId="23132"/>
    <cellStyle name="연결된 셀 19 9 3" xfId="5995"/>
    <cellStyle name="연결된 셀 19 9 3 2" xfId="5996"/>
    <cellStyle name="연결된 셀 19 9 3 2 2" xfId="23137"/>
    <cellStyle name="연결된 셀 19 9 3 3" xfId="5997"/>
    <cellStyle name="연결된 셀 19 9 3 3 2" xfId="23138"/>
    <cellStyle name="연결된 셀 19 9 3 4" xfId="5998"/>
    <cellStyle name="연결된 셀 19 9 3 4 2" xfId="23139"/>
    <cellStyle name="연결된 셀 19 9 3 5" xfId="23136"/>
    <cellStyle name="연결된 셀 19 9 4" xfId="5999"/>
    <cellStyle name="연결된 셀 19 9 4 2" xfId="6000"/>
    <cellStyle name="연결된 셀 19 9 4 2 2" xfId="23141"/>
    <cellStyle name="연결된 셀 19 9 4 3" xfId="6001"/>
    <cellStyle name="연결된 셀 19 9 4 3 2" xfId="23142"/>
    <cellStyle name="연결된 셀 19 9 4 4" xfId="6002"/>
    <cellStyle name="연결된 셀 19 9 4 4 2" xfId="23143"/>
    <cellStyle name="연결된 셀 19 9 4 5" xfId="23140"/>
    <cellStyle name="연결된 셀 19 9 5" xfId="6003"/>
    <cellStyle name="연결된 셀 19 9 5 2" xfId="23144"/>
    <cellStyle name="연결된 셀 19 9 6" xfId="6004"/>
    <cellStyle name="연결된 셀 19 9 6 2" xfId="23145"/>
    <cellStyle name="연결된 셀 19 9 7" xfId="6005"/>
    <cellStyle name="연결된 셀 19 9 7 2" xfId="23146"/>
    <cellStyle name="연결된 셀 19 9 8" xfId="23131"/>
    <cellStyle name="연결된 셀 2" xfId="230"/>
    <cellStyle name="연결된 셀 2 10" xfId="6006"/>
    <cellStyle name="연결된 셀 2 10 2" xfId="6007"/>
    <cellStyle name="연결된 셀 2 10 2 2" xfId="6008"/>
    <cellStyle name="연결된 셀 2 10 2 2 2" xfId="23149"/>
    <cellStyle name="연결된 셀 2 10 2 3" xfId="6009"/>
    <cellStyle name="연결된 셀 2 10 2 3 2" xfId="23150"/>
    <cellStyle name="연결된 셀 2 10 2 4" xfId="6010"/>
    <cellStyle name="연결된 셀 2 10 2 4 2" xfId="23151"/>
    <cellStyle name="연결된 셀 2 10 2 5" xfId="23148"/>
    <cellStyle name="연결된 셀 2 10 3" xfId="6011"/>
    <cellStyle name="연결된 셀 2 10 3 2" xfId="6012"/>
    <cellStyle name="연결된 셀 2 10 3 2 2" xfId="23153"/>
    <cellStyle name="연결된 셀 2 10 3 3" xfId="6013"/>
    <cellStyle name="연결된 셀 2 10 3 3 2" xfId="23154"/>
    <cellStyle name="연결된 셀 2 10 3 4" xfId="6014"/>
    <cellStyle name="연결된 셀 2 10 3 4 2" xfId="23155"/>
    <cellStyle name="연결된 셀 2 10 3 5" xfId="23152"/>
    <cellStyle name="연결된 셀 2 10 4" xfId="6015"/>
    <cellStyle name="연결된 셀 2 10 4 2" xfId="6016"/>
    <cellStyle name="연결된 셀 2 10 4 2 2" xfId="23157"/>
    <cellStyle name="연결된 셀 2 10 4 3" xfId="6017"/>
    <cellStyle name="연결된 셀 2 10 4 3 2" xfId="23158"/>
    <cellStyle name="연결된 셀 2 10 4 4" xfId="6018"/>
    <cellStyle name="연결된 셀 2 10 4 4 2" xfId="23159"/>
    <cellStyle name="연결된 셀 2 10 4 5" xfId="23156"/>
    <cellStyle name="연결된 셀 2 10 5" xfId="6019"/>
    <cellStyle name="연결된 셀 2 10 5 2" xfId="23160"/>
    <cellStyle name="연결된 셀 2 10 6" xfId="6020"/>
    <cellStyle name="연결된 셀 2 10 6 2" xfId="23161"/>
    <cellStyle name="연결된 셀 2 10 7" xfId="6021"/>
    <cellStyle name="연결된 셀 2 10 7 2" xfId="23162"/>
    <cellStyle name="연결된 셀 2 10 8" xfId="23147"/>
    <cellStyle name="연결된 셀 2 11" xfId="6022"/>
    <cellStyle name="연결된 셀 2 11 2" xfId="6023"/>
    <cellStyle name="연결된 셀 2 11 2 2" xfId="6024"/>
    <cellStyle name="연결된 셀 2 11 2 2 2" xfId="23165"/>
    <cellStyle name="연결된 셀 2 11 2 3" xfId="6025"/>
    <cellStyle name="연결된 셀 2 11 2 3 2" xfId="23166"/>
    <cellStyle name="연결된 셀 2 11 2 4" xfId="6026"/>
    <cellStyle name="연결된 셀 2 11 2 4 2" xfId="23167"/>
    <cellStyle name="연결된 셀 2 11 2 5" xfId="23164"/>
    <cellStyle name="연결된 셀 2 11 3" xfId="6027"/>
    <cellStyle name="연결된 셀 2 11 3 2" xfId="6028"/>
    <cellStyle name="연결된 셀 2 11 3 2 2" xfId="23169"/>
    <cellStyle name="연결된 셀 2 11 3 3" xfId="6029"/>
    <cellStyle name="연결된 셀 2 11 3 3 2" xfId="23170"/>
    <cellStyle name="연결된 셀 2 11 3 4" xfId="6030"/>
    <cellStyle name="연결된 셀 2 11 3 4 2" xfId="23171"/>
    <cellStyle name="연결된 셀 2 11 3 5" xfId="23168"/>
    <cellStyle name="연결된 셀 2 11 4" xfId="6031"/>
    <cellStyle name="연결된 셀 2 11 4 2" xfId="6032"/>
    <cellStyle name="연결된 셀 2 11 4 2 2" xfId="23173"/>
    <cellStyle name="연결된 셀 2 11 4 3" xfId="6033"/>
    <cellStyle name="연결된 셀 2 11 4 3 2" xfId="23174"/>
    <cellStyle name="연결된 셀 2 11 4 4" xfId="6034"/>
    <cellStyle name="연결된 셀 2 11 4 4 2" xfId="23175"/>
    <cellStyle name="연결된 셀 2 11 4 5" xfId="23172"/>
    <cellStyle name="연결된 셀 2 11 5" xfId="6035"/>
    <cellStyle name="연결된 셀 2 11 5 2" xfId="23176"/>
    <cellStyle name="연결된 셀 2 11 6" xfId="6036"/>
    <cellStyle name="연결된 셀 2 11 6 2" xfId="23177"/>
    <cellStyle name="연결된 셀 2 11 7" xfId="6037"/>
    <cellStyle name="연결된 셀 2 11 7 2" xfId="23178"/>
    <cellStyle name="연결된 셀 2 11 8" xfId="23163"/>
    <cellStyle name="연결된 셀 2 12" xfId="6038"/>
    <cellStyle name="연결된 셀 2 12 2" xfId="6039"/>
    <cellStyle name="연결된 셀 2 12 2 2" xfId="6040"/>
    <cellStyle name="연결된 셀 2 12 2 2 2" xfId="23181"/>
    <cellStyle name="연결된 셀 2 12 2 3" xfId="6041"/>
    <cellStyle name="연결된 셀 2 12 2 3 2" xfId="23182"/>
    <cellStyle name="연결된 셀 2 12 2 4" xfId="6042"/>
    <cellStyle name="연결된 셀 2 12 2 4 2" xfId="23183"/>
    <cellStyle name="연결된 셀 2 12 2 5" xfId="23180"/>
    <cellStyle name="연결된 셀 2 12 3" xfId="6043"/>
    <cellStyle name="연결된 셀 2 12 3 2" xfId="6044"/>
    <cellStyle name="연결된 셀 2 12 3 2 2" xfId="23185"/>
    <cellStyle name="연결된 셀 2 12 3 3" xfId="6045"/>
    <cellStyle name="연결된 셀 2 12 3 3 2" xfId="23186"/>
    <cellStyle name="연결된 셀 2 12 3 4" xfId="6046"/>
    <cellStyle name="연결된 셀 2 12 3 4 2" xfId="23187"/>
    <cellStyle name="연결된 셀 2 12 3 5" xfId="23184"/>
    <cellStyle name="연결된 셀 2 12 4" xfId="6047"/>
    <cellStyle name="연결된 셀 2 12 4 2" xfId="6048"/>
    <cellStyle name="연결된 셀 2 12 4 2 2" xfId="23189"/>
    <cellStyle name="연결된 셀 2 12 4 3" xfId="6049"/>
    <cellStyle name="연결된 셀 2 12 4 3 2" xfId="23190"/>
    <cellStyle name="연결된 셀 2 12 4 4" xfId="6050"/>
    <cellStyle name="연결된 셀 2 12 4 4 2" xfId="23191"/>
    <cellStyle name="연결된 셀 2 12 4 5" xfId="23188"/>
    <cellStyle name="연결된 셀 2 12 5" xfId="6051"/>
    <cellStyle name="연결된 셀 2 12 5 2" xfId="23192"/>
    <cellStyle name="연결된 셀 2 12 6" xfId="6052"/>
    <cellStyle name="연결된 셀 2 12 6 2" xfId="23193"/>
    <cellStyle name="연결된 셀 2 12 7" xfId="6053"/>
    <cellStyle name="연결된 셀 2 12 7 2" xfId="23194"/>
    <cellStyle name="연결된 셀 2 12 8" xfId="23179"/>
    <cellStyle name="연결된 셀 2 13" xfId="6054"/>
    <cellStyle name="연결된 셀 2 13 2" xfId="6055"/>
    <cellStyle name="연결된 셀 2 13 2 2" xfId="23196"/>
    <cellStyle name="연결된 셀 2 13 3" xfId="6056"/>
    <cellStyle name="연결된 셀 2 13 3 2" xfId="23197"/>
    <cellStyle name="연결된 셀 2 13 4" xfId="6057"/>
    <cellStyle name="연결된 셀 2 13 4 2" xfId="23198"/>
    <cellStyle name="연결된 셀 2 13 5" xfId="23195"/>
    <cellStyle name="연결된 셀 2 14" xfId="6058"/>
    <cellStyle name="연결된 셀 2 14 2" xfId="23199"/>
    <cellStyle name="연결된 셀 2 15" xfId="6059"/>
    <cellStyle name="연결된 셀 2 15 2" xfId="23200"/>
    <cellStyle name="연결된 셀 2 16" xfId="6060"/>
    <cellStyle name="연결된 셀 2 16 2" xfId="23201"/>
    <cellStyle name="연결된 셀 2 17" xfId="17373"/>
    <cellStyle name="연결된 셀 2 18" xfId="35672"/>
    <cellStyle name="연결된 셀 2 2" xfId="813"/>
    <cellStyle name="연결된 셀 2 2 10" xfId="6061"/>
    <cellStyle name="연결된 셀 2 2 10 2" xfId="6062"/>
    <cellStyle name="연결된 셀 2 2 10 2 2" xfId="6063"/>
    <cellStyle name="연결된 셀 2 2 10 2 2 2" xfId="23204"/>
    <cellStyle name="연결된 셀 2 2 10 2 3" xfId="6064"/>
    <cellStyle name="연결된 셀 2 2 10 2 3 2" xfId="23205"/>
    <cellStyle name="연결된 셀 2 2 10 2 4" xfId="6065"/>
    <cellStyle name="연결된 셀 2 2 10 2 4 2" xfId="23206"/>
    <cellStyle name="연결된 셀 2 2 10 2 5" xfId="23203"/>
    <cellStyle name="연결된 셀 2 2 10 3" xfId="6066"/>
    <cellStyle name="연결된 셀 2 2 10 3 2" xfId="6067"/>
    <cellStyle name="연결된 셀 2 2 10 3 2 2" xfId="23208"/>
    <cellStyle name="연결된 셀 2 2 10 3 3" xfId="6068"/>
    <cellStyle name="연결된 셀 2 2 10 3 3 2" xfId="23209"/>
    <cellStyle name="연결된 셀 2 2 10 3 4" xfId="6069"/>
    <cellStyle name="연결된 셀 2 2 10 3 4 2" xfId="23210"/>
    <cellStyle name="연결된 셀 2 2 10 3 5" xfId="23207"/>
    <cellStyle name="연결된 셀 2 2 10 4" xfId="6070"/>
    <cellStyle name="연결된 셀 2 2 10 4 2" xfId="6071"/>
    <cellStyle name="연결된 셀 2 2 10 4 2 2" xfId="23212"/>
    <cellStyle name="연결된 셀 2 2 10 4 3" xfId="6072"/>
    <cellStyle name="연결된 셀 2 2 10 4 3 2" xfId="23213"/>
    <cellStyle name="연결된 셀 2 2 10 4 4" xfId="6073"/>
    <cellStyle name="연결된 셀 2 2 10 4 4 2" xfId="23214"/>
    <cellStyle name="연결된 셀 2 2 10 4 5" xfId="23211"/>
    <cellStyle name="연결된 셀 2 2 10 5" xfId="6074"/>
    <cellStyle name="연결된 셀 2 2 10 5 2" xfId="23215"/>
    <cellStyle name="연결된 셀 2 2 10 6" xfId="6075"/>
    <cellStyle name="연결된 셀 2 2 10 6 2" xfId="23216"/>
    <cellStyle name="연결된 셀 2 2 10 7" xfId="6076"/>
    <cellStyle name="연결된 셀 2 2 10 7 2" xfId="23217"/>
    <cellStyle name="연결된 셀 2 2 10 8" xfId="23202"/>
    <cellStyle name="연결된 셀 2 2 11" xfId="6077"/>
    <cellStyle name="연결된 셀 2 2 11 2" xfId="6078"/>
    <cellStyle name="연결된 셀 2 2 11 2 2" xfId="6079"/>
    <cellStyle name="연결된 셀 2 2 11 2 2 2" xfId="23220"/>
    <cellStyle name="연결된 셀 2 2 11 2 3" xfId="6080"/>
    <cellStyle name="연결된 셀 2 2 11 2 3 2" xfId="23221"/>
    <cellStyle name="연결된 셀 2 2 11 2 4" xfId="6081"/>
    <cellStyle name="연결된 셀 2 2 11 2 4 2" xfId="23222"/>
    <cellStyle name="연결된 셀 2 2 11 2 5" xfId="23219"/>
    <cellStyle name="연결된 셀 2 2 11 3" xfId="6082"/>
    <cellStyle name="연결된 셀 2 2 11 3 2" xfId="6083"/>
    <cellStyle name="연결된 셀 2 2 11 3 2 2" xfId="23224"/>
    <cellStyle name="연결된 셀 2 2 11 3 3" xfId="6084"/>
    <cellStyle name="연결된 셀 2 2 11 3 3 2" xfId="23225"/>
    <cellStyle name="연결된 셀 2 2 11 3 4" xfId="6085"/>
    <cellStyle name="연결된 셀 2 2 11 3 4 2" xfId="23226"/>
    <cellStyle name="연결된 셀 2 2 11 3 5" xfId="23223"/>
    <cellStyle name="연결된 셀 2 2 11 4" xfId="6086"/>
    <cellStyle name="연결된 셀 2 2 11 4 2" xfId="6087"/>
    <cellStyle name="연결된 셀 2 2 11 4 2 2" xfId="23228"/>
    <cellStyle name="연결된 셀 2 2 11 4 3" xfId="6088"/>
    <cellStyle name="연결된 셀 2 2 11 4 3 2" xfId="23229"/>
    <cellStyle name="연결된 셀 2 2 11 4 4" xfId="6089"/>
    <cellStyle name="연결된 셀 2 2 11 4 4 2" xfId="23230"/>
    <cellStyle name="연결된 셀 2 2 11 4 5" xfId="23227"/>
    <cellStyle name="연결된 셀 2 2 11 5" xfId="6090"/>
    <cellStyle name="연결된 셀 2 2 11 5 2" xfId="23231"/>
    <cellStyle name="연결된 셀 2 2 11 6" xfId="6091"/>
    <cellStyle name="연결된 셀 2 2 11 6 2" xfId="23232"/>
    <cellStyle name="연결된 셀 2 2 11 7" xfId="6092"/>
    <cellStyle name="연결된 셀 2 2 11 7 2" xfId="23233"/>
    <cellStyle name="연결된 셀 2 2 11 8" xfId="23218"/>
    <cellStyle name="연결된 셀 2 2 12" xfId="6093"/>
    <cellStyle name="연결된 셀 2 2 12 2" xfId="6094"/>
    <cellStyle name="연결된 셀 2 2 12 2 2" xfId="23235"/>
    <cellStyle name="연결된 셀 2 2 12 3" xfId="6095"/>
    <cellStyle name="연결된 셀 2 2 12 3 2" xfId="23236"/>
    <cellStyle name="연결된 셀 2 2 12 4" xfId="6096"/>
    <cellStyle name="연결된 셀 2 2 12 4 2" xfId="23237"/>
    <cellStyle name="연결된 셀 2 2 12 5" xfId="23234"/>
    <cellStyle name="연결된 셀 2 2 13" xfId="6097"/>
    <cellStyle name="연결된 셀 2 2 13 2" xfId="23238"/>
    <cellStyle name="연결된 셀 2 2 14" xfId="6098"/>
    <cellStyle name="연결된 셀 2 2 14 2" xfId="23239"/>
    <cellStyle name="연결된 셀 2 2 15" xfId="6099"/>
    <cellStyle name="연결된 셀 2 2 15 2" xfId="23240"/>
    <cellStyle name="연결된 셀 2 2 16" xfId="17956"/>
    <cellStyle name="연결된 셀 2 2 2" xfId="6100"/>
    <cellStyle name="연결된 셀 2 2 2 2" xfId="6101"/>
    <cellStyle name="연결된 셀 2 2 2 2 2" xfId="6102"/>
    <cellStyle name="연결된 셀 2 2 2 2 2 2" xfId="23243"/>
    <cellStyle name="연결된 셀 2 2 2 2 3" xfId="6103"/>
    <cellStyle name="연결된 셀 2 2 2 2 3 2" xfId="23244"/>
    <cellStyle name="연결된 셀 2 2 2 2 4" xfId="6104"/>
    <cellStyle name="연결된 셀 2 2 2 2 4 2" xfId="23245"/>
    <cellStyle name="연결된 셀 2 2 2 2 5" xfId="23242"/>
    <cellStyle name="연결된 셀 2 2 2 3" xfId="6105"/>
    <cellStyle name="연결된 셀 2 2 2 3 2" xfId="6106"/>
    <cellStyle name="연결된 셀 2 2 2 3 2 2" xfId="23247"/>
    <cellStyle name="연결된 셀 2 2 2 3 3" xfId="6107"/>
    <cellStyle name="연결된 셀 2 2 2 3 3 2" xfId="23248"/>
    <cellStyle name="연결된 셀 2 2 2 3 4" xfId="6108"/>
    <cellStyle name="연결된 셀 2 2 2 3 4 2" xfId="23249"/>
    <cellStyle name="연결된 셀 2 2 2 3 5" xfId="23246"/>
    <cellStyle name="연결된 셀 2 2 2 4" xfId="6109"/>
    <cellStyle name="연결된 셀 2 2 2 4 2" xfId="6110"/>
    <cellStyle name="연결된 셀 2 2 2 4 2 2" xfId="23251"/>
    <cellStyle name="연결된 셀 2 2 2 4 3" xfId="6111"/>
    <cellStyle name="연결된 셀 2 2 2 4 3 2" xfId="23252"/>
    <cellStyle name="연결된 셀 2 2 2 4 4" xfId="6112"/>
    <cellStyle name="연결된 셀 2 2 2 4 4 2" xfId="23253"/>
    <cellStyle name="연결된 셀 2 2 2 4 5" xfId="23250"/>
    <cellStyle name="연결된 셀 2 2 2 5" xfId="6113"/>
    <cellStyle name="연결된 셀 2 2 2 5 2" xfId="23254"/>
    <cellStyle name="연결된 셀 2 2 2 6" xfId="6114"/>
    <cellStyle name="연결된 셀 2 2 2 6 2" xfId="23255"/>
    <cellStyle name="연결된 셀 2 2 2 7" xfId="6115"/>
    <cellStyle name="연결된 셀 2 2 2 7 2" xfId="23256"/>
    <cellStyle name="연결된 셀 2 2 2 8" xfId="23241"/>
    <cellStyle name="연결된 셀 2 2 3" xfId="6116"/>
    <cellStyle name="연결된 셀 2 2 3 2" xfId="6117"/>
    <cellStyle name="연결된 셀 2 2 3 2 2" xfId="6118"/>
    <cellStyle name="연결된 셀 2 2 3 2 2 2" xfId="23259"/>
    <cellStyle name="연결된 셀 2 2 3 2 3" xfId="6119"/>
    <cellStyle name="연결된 셀 2 2 3 2 3 2" xfId="23260"/>
    <cellStyle name="연결된 셀 2 2 3 2 4" xfId="6120"/>
    <cellStyle name="연결된 셀 2 2 3 2 4 2" xfId="23261"/>
    <cellStyle name="연결된 셀 2 2 3 2 5" xfId="23258"/>
    <cellStyle name="연결된 셀 2 2 3 3" xfId="6121"/>
    <cellStyle name="연결된 셀 2 2 3 3 2" xfId="6122"/>
    <cellStyle name="연결된 셀 2 2 3 3 2 2" xfId="23263"/>
    <cellStyle name="연결된 셀 2 2 3 3 3" xfId="6123"/>
    <cellStyle name="연결된 셀 2 2 3 3 3 2" xfId="23264"/>
    <cellStyle name="연결된 셀 2 2 3 3 4" xfId="6124"/>
    <cellStyle name="연결된 셀 2 2 3 3 4 2" xfId="23265"/>
    <cellStyle name="연결된 셀 2 2 3 3 5" xfId="23262"/>
    <cellStyle name="연결된 셀 2 2 3 4" xfId="6125"/>
    <cellStyle name="연결된 셀 2 2 3 4 2" xfId="6126"/>
    <cellStyle name="연결된 셀 2 2 3 4 2 2" xfId="23267"/>
    <cellStyle name="연결된 셀 2 2 3 4 3" xfId="6127"/>
    <cellStyle name="연결된 셀 2 2 3 4 3 2" xfId="23268"/>
    <cellStyle name="연결된 셀 2 2 3 4 4" xfId="6128"/>
    <cellStyle name="연결된 셀 2 2 3 4 4 2" xfId="23269"/>
    <cellStyle name="연결된 셀 2 2 3 4 5" xfId="23266"/>
    <cellStyle name="연결된 셀 2 2 3 5" xfId="6129"/>
    <cellStyle name="연결된 셀 2 2 3 5 2" xfId="23270"/>
    <cellStyle name="연결된 셀 2 2 3 6" xfId="6130"/>
    <cellStyle name="연결된 셀 2 2 3 6 2" xfId="23271"/>
    <cellStyle name="연결된 셀 2 2 3 7" xfId="6131"/>
    <cellStyle name="연결된 셀 2 2 3 7 2" xfId="23272"/>
    <cellStyle name="연결된 셀 2 2 3 8" xfId="23257"/>
    <cellStyle name="연결된 셀 2 2 4" xfId="6132"/>
    <cellStyle name="연결된 셀 2 2 4 2" xfId="6133"/>
    <cellStyle name="연결된 셀 2 2 4 2 2" xfId="6134"/>
    <cellStyle name="연결된 셀 2 2 4 2 2 2" xfId="23275"/>
    <cellStyle name="연결된 셀 2 2 4 2 3" xfId="6135"/>
    <cellStyle name="연결된 셀 2 2 4 2 3 2" xfId="23276"/>
    <cellStyle name="연결된 셀 2 2 4 2 4" xfId="6136"/>
    <cellStyle name="연결된 셀 2 2 4 2 4 2" xfId="23277"/>
    <cellStyle name="연결된 셀 2 2 4 2 5" xfId="23274"/>
    <cellStyle name="연결된 셀 2 2 4 3" xfId="6137"/>
    <cellStyle name="연결된 셀 2 2 4 3 2" xfId="6138"/>
    <cellStyle name="연결된 셀 2 2 4 3 2 2" xfId="23279"/>
    <cellStyle name="연결된 셀 2 2 4 3 3" xfId="6139"/>
    <cellStyle name="연결된 셀 2 2 4 3 3 2" xfId="23280"/>
    <cellStyle name="연결된 셀 2 2 4 3 4" xfId="6140"/>
    <cellStyle name="연결된 셀 2 2 4 3 4 2" xfId="23281"/>
    <cellStyle name="연결된 셀 2 2 4 3 5" xfId="23278"/>
    <cellStyle name="연결된 셀 2 2 4 4" xfId="6141"/>
    <cellStyle name="연결된 셀 2 2 4 4 2" xfId="6142"/>
    <cellStyle name="연결된 셀 2 2 4 4 2 2" xfId="23283"/>
    <cellStyle name="연결된 셀 2 2 4 4 3" xfId="6143"/>
    <cellStyle name="연결된 셀 2 2 4 4 3 2" xfId="23284"/>
    <cellStyle name="연결된 셀 2 2 4 4 4" xfId="6144"/>
    <cellStyle name="연결된 셀 2 2 4 4 4 2" xfId="23285"/>
    <cellStyle name="연결된 셀 2 2 4 4 5" xfId="23282"/>
    <cellStyle name="연결된 셀 2 2 4 5" xfId="6145"/>
    <cellStyle name="연결된 셀 2 2 4 5 2" xfId="23286"/>
    <cellStyle name="연결된 셀 2 2 4 6" xfId="6146"/>
    <cellStyle name="연결된 셀 2 2 4 6 2" xfId="23287"/>
    <cellStyle name="연결된 셀 2 2 4 7" xfId="6147"/>
    <cellStyle name="연결된 셀 2 2 4 7 2" xfId="23288"/>
    <cellStyle name="연결된 셀 2 2 4 8" xfId="23273"/>
    <cellStyle name="연결된 셀 2 2 5" xfId="6148"/>
    <cellStyle name="연결된 셀 2 2 5 2" xfId="6149"/>
    <cellStyle name="연결된 셀 2 2 5 2 2" xfId="6150"/>
    <cellStyle name="연결된 셀 2 2 5 2 2 2" xfId="23291"/>
    <cellStyle name="연결된 셀 2 2 5 2 3" xfId="6151"/>
    <cellStyle name="연결된 셀 2 2 5 2 3 2" xfId="23292"/>
    <cellStyle name="연결된 셀 2 2 5 2 4" xfId="6152"/>
    <cellStyle name="연결된 셀 2 2 5 2 4 2" xfId="23293"/>
    <cellStyle name="연결된 셀 2 2 5 2 5" xfId="23290"/>
    <cellStyle name="연결된 셀 2 2 5 3" xfId="6153"/>
    <cellStyle name="연결된 셀 2 2 5 3 2" xfId="6154"/>
    <cellStyle name="연결된 셀 2 2 5 3 2 2" xfId="23295"/>
    <cellStyle name="연결된 셀 2 2 5 3 3" xfId="6155"/>
    <cellStyle name="연결된 셀 2 2 5 3 3 2" xfId="23296"/>
    <cellStyle name="연결된 셀 2 2 5 3 4" xfId="6156"/>
    <cellStyle name="연결된 셀 2 2 5 3 4 2" xfId="23297"/>
    <cellStyle name="연결된 셀 2 2 5 3 5" xfId="23294"/>
    <cellStyle name="연결된 셀 2 2 5 4" xfId="6157"/>
    <cellStyle name="연결된 셀 2 2 5 4 2" xfId="6158"/>
    <cellStyle name="연결된 셀 2 2 5 4 2 2" xfId="23299"/>
    <cellStyle name="연결된 셀 2 2 5 4 3" xfId="6159"/>
    <cellStyle name="연결된 셀 2 2 5 4 3 2" xfId="23300"/>
    <cellStyle name="연결된 셀 2 2 5 4 4" xfId="6160"/>
    <cellStyle name="연결된 셀 2 2 5 4 4 2" xfId="23301"/>
    <cellStyle name="연결된 셀 2 2 5 4 5" xfId="23298"/>
    <cellStyle name="연결된 셀 2 2 5 5" xfId="6161"/>
    <cellStyle name="연결된 셀 2 2 5 5 2" xfId="23302"/>
    <cellStyle name="연결된 셀 2 2 5 6" xfId="6162"/>
    <cellStyle name="연결된 셀 2 2 5 6 2" xfId="23303"/>
    <cellStyle name="연결된 셀 2 2 5 7" xfId="6163"/>
    <cellStyle name="연결된 셀 2 2 5 7 2" xfId="23304"/>
    <cellStyle name="연결된 셀 2 2 5 8" xfId="23289"/>
    <cellStyle name="연결된 셀 2 2 6" xfId="6164"/>
    <cellStyle name="연결된 셀 2 2 6 2" xfId="6165"/>
    <cellStyle name="연결된 셀 2 2 6 2 2" xfId="6166"/>
    <cellStyle name="연결된 셀 2 2 6 2 2 2" xfId="23307"/>
    <cellStyle name="연결된 셀 2 2 6 2 3" xfId="6167"/>
    <cellStyle name="연결된 셀 2 2 6 2 3 2" xfId="23308"/>
    <cellStyle name="연결된 셀 2 2 6 2 4" xfId="6168"/>
    <cellStyle name="연결된 셀 2 2 6 2 4 2" xfId="23309"/>
    <cellStyle name="연결된 셀 2 2 6 2 5" xfId="23306"/>
    <cellStyle name="연결된 셀 2 2 6 3" xfId="6169"/>
    <cellStyle name="연결된 셀 2 2 6 3 2" xfId="6170"/>
    <cellStyle name="연결된 셀 2 2 6 3 2 2" xfId="23311"/>
    <cellStyle name="연결된 셀 2 2 6 3 3" xfId="6171"/>
    <cellStyle name="연결된 셀 2 2 6 3 3 2" xfId="23312"/>
    <cellStyle name="연결된 셀 2 2 6 3 4" xfId="6172"/>
    <cellStyle name="연결된 셀 2 2 6 3 4 2" xfId="23313"/>
    <cellStyle name="연결된 셀 2 2 6 3 5" xfId="23310"/>
    <cellStyle name="연결된 셀 2 2 6 4" xfId="6173"/>
    <cellStyle name="연결된 셀 2 2 6 4 2" xfId="6174"/>
    <cellStyle name="연결된 셀 2 2 6 4 2 2" xfId="23315"/>
    <cellStyle name="연결된 셀 2 2 6 4 3" xfId="6175"/>
    <cellStyle name="연결된 셀 2 2 6 4 3 2" xfId="23316"/>
    <cellStyle name="연결된 셀 2 2 6 4 4" xfId="6176"/>
    <cellStyle name="연결된 셀 2 2 6 4 4 2" xfId="23317"/>
    <cellStyle name="연결된 셀 2 2 6 4 5" xfId="23314"/>
    <cellStyle name="연결된 셀 2 2 6 5" xfId="6177"/>
    <cellStyle name="연결된 셀 2 2 6 5 2" xfId="23318"/>
    <cellStyle name="연결된 셀 2 2 6 6" xfId="6178"/>
    <cellStyle name="연결된 셀 2 2 6 6 2" xfId="23319"/>
    <cellStyle name="연결된 셀 2 2 6 7" xfId="6179"/>
    <cellStyle name="연결된 셀 2 2 6 7 2" xfId="23320"/>
    <cellStyle name="연결된 셀 2 2 6 8" xfId="23305"/>
    <cellStyle name="연결된 셀 2 2 7" xfId="6180"/>
    <cellStyle name="연결된 셀 2 2 7 2" xfId="6181"/>
    <cellStyle name="연결된 셀 2 2 7 2 2" xfId="6182"/>
    <cellStyle name="연결된 셀 2 2 7 2 2 2" xfId="23323"/>
    <cellStyle name="연결된 셀 2 2 7 2 3" xfId="6183"/>
    <cellStyle name="연결된 셀 2 2 7 2 3 2" xfId="23324"/>
    <cellStyle name="연결된 셀 2 2 7 2 4" xfId="6184"/>
    <cellStyle name="연결된 셀 2 2 7 2 4 2" xfId="23325"/>
    <cellStyle name="연결된 셀 2 2 7 2 5" xfId="23322"/>
    <cellStyle name="연결된 셀 2 2 7 3" xfId="6185"/>
    <cellStyle name="연결된 셀 2 2 7 3 2" xfId="6186"/>
    <cellStyle name="연결된 셀 2 2 7 3 2 2" xfId="23327"/>
    <cellStyle name="연결된 셀 2 2 7 3 3" xfId="6187"/>
    <cellStyle name="연결된 셀 2 2 7 3 3 2" xfId="23328"/>
    <cellStyle name="연결된 셀 2 2 7 3 4" xfId="6188"/>
    <cellStyle name="연결된 셀 2 2 7 3 4 2" xfId="23329"/>
    <cellStyle name="연결된 셀 2 2 7 3 5" xfId="23326"/>
    <cellStyle name="연결된 셀 2 2 7 4" xfId="6189"/>
    <cellStyle name="연결된 셀 2 2 7 4 2" xfId="6190"/>
    <cellStyle name="연결된 셀 2 2 7 4 2 2" xfId="23331"/>
    <cellStyle name="연결된 셀 2 2 7 4 3" xfId="6191"/>
    <cellStyle name="연결된 셀 2 2 7 4 3 2" xfId="23332"/>
    <cellStyle name="연결된 셀 2 2 7 4 4" xfId="6192"/>
    <cellStyle name="연결된 셀 2 2 7 4 4 2" xfId="23333"/>
    <cellStyle name="연결된 셀 2 2 7 4 5" xfId="23330"/>
    <cellStyle name="연결된 셀 2 2 7 5" xfId="6193"/>
    <cellStyle name="연결된 셀 2 2 7 5 2" xfId="23334"/>
    <cellStyle name="연결된 셀 2 2 7 6" xfId="6194"/>
    <cellStyle name="연결된 셀 2 2 7 6 2" xfId="23335"/>
    <cellStyle name="연결된 셀 2 2 7 7" xfId="6195"/>
    <cellStyle name="연결된 셀 2 2 7 7 2" xfId="23336"/>
    <cellStyle name="연결된 셀 2 2 7 8" xfId="23321"/>
    <cellStyle name="연결된 셀 2 2 8" xfId="6196"/>
    <cellStyle name="연결된 셀 2 2 8 2" xfId="6197"/>
    <cellStyle name="연결된 셀 2 2 8 2 2" xfId="6198"/>
    <cellStyle name="연결된 셀 2 2 8 2 2 2" xfId="23339"/>
    <cellStyle name="연결된 셀 2 2 8 2 3" xfId="6199"/>
    <cellStyle name="연결된 셀 2 2 8 2 3 2" xfId="23340"/>
    <cellStyle name="연결된 셀 2 2 8 2 4" xfId="6200"/>
    <cellStyle name="연결된 셀 2 2 8 2 4 2" xfId="23341"/>
    <cellStyle name="연결된 셀 2 2 8 2 5" xfId="23338"/>
    <cellStyle name="연결된 셀 2 2 8 3" xfId="6201"/>
    <cellStyle name="연결된 셀 2 2 8 3 2" xfId="6202"/>
    <cellStyle name="연결된 셀 2 2 8 3 2 2" xfId="23343"/>
    <cellStyle name="연결된 셀 2 2 8 3 3" xfId="6203"/>
    <cellStyle name="연결된 셀 2 2 8 3 3 2" xfId="23344"/>
    <cellStyle name="연결된 셀 2 2 8 3 4" xfId="6204"/>
    <cellStyle name="연결된 셀 2 2 8 3 4 2" xfId="23345"/>
    <cellStyle name="연결된 셀 2 2 8 3 5" xfId="23342"/>
    <cellStyle name="연결된 셀 2 2 8 4" xfId="6205"/>
    <cellStyle name="연결된 셀 2 2 8 4 2" xfId="6206"/>
    <cellStyle name="연결된 셀 2 2 8 4 2 2" xfId="23347"/>
    <cellStyle name="연결된 셀 2 2 8 4 3" xfId="6207"/>
    <cellStyle name="연결된 셀 2 2 8 4 3 2" xfId="23348"/>
    <cellStyle name="연결된 셀 2 2 8 4 4" xfId="6208"/>
    <cellStyle name="연결된 셀 2 2 8 4 4 2" xfId="23349"/>
    <cellStyle name="연결된 셀 2 2 8 4 5" xfId="23346"/>
    <cellStyle name="연결된 셀 2 2 8 5" xfId="6209"/>
    <cellStyle name="연결된 셀 2 2 8 5 2" xfId="23350"/>
    <cellStyle name="연결된 셀 2 2 8 6" xfId="6210"/>
    <cellStyle name="연결된 셀 2 2 8 6 2" xfId="23351"/>
    <cellStyle name="연결된 셀 2 2 8 7" xfId="6211"/>
    <cellStyle name="연결된 셀 2 2 8 7 2" xfId="23352"/>
    <cellStyle name="연결된 셀 2 2 8 8" xfId="23337"/>
    <cellStyle name="연결된 셀 2 2 9" xfId="6212"/>
    <cellStyle name="연결된 셀 2 2 9 2" xfId="6213"/>
    <cellStyle name="연결된 셀 2 2 9 2 2" xfId="6214"/>
    <cellStyle name="연결된 셀 2 2 9 2 2 2" xfId="23355"/>
    <cellStyle name="연결된 셀 2 2 9 2 3" xfId="6215"/>
    <cellStyle name="연결된 셀 2 2 9 2 3 2" xfId="23356"/>
    <cellStyle name="연결된 셀 2 2 9 2 4" xfId="6216"/>
    <cellStyle name="연결된 셀 2 2 9 2 4 2" xfId="23357"/>
    <cellStyle name="연결된 셀 2 2 9 2 5" xfId="23354"/>
    <cellStyle name="연결된 셀 2 2 9 3" xfId="6217"/>
    <cellStyle name="연결된 셀 2 2 9 3 2" xfId="6218"/>
    <cellStyle name="연결된 셀 2 2 9 3 2 2" xfId="23359"/>
    <cellStyle name="연결된 셀 2 2 9 3 3" xfId="6219"/>
    <cellStyle name="연결된 셀 2 2 9 3 3 2" xfId="23360"/>
    <cellStyle name="연결된 셀 2 2 9 3 4" xfId="6220"/>
    <cellStyle name="연결된 셀 2 2 9 3 4 2" xfId="23361"/>
    <cellStyle name="연결된 셀 2 2 9 3 5" xfId="23358"/>
    <cellStyle name="연결된 셀 2 2 9 4" xfId="6221"/>
    <cellStyle name="연결된 셀 2 2 9 4 2" xfId="6222"/>
    <cellStyle name="연결된 셀 2 2 9 4 2 2" xfId="23363"/>
    <cellStyle name="연결된 셀 2 2 9 4 3" xfId="6223"/>
    <cellStyle name="연결된 셀 2 2 9 4 3 2" xfId="23364"/>
    <cellStyle name="연결된 셀 2 2 9 4 4" xfId="6224"/>
    <cellStyle name="연결된 셀 2 2 9 4 4 2" xfId="23365"/>
    <cellStyle name="연결된 셀 2 2 9 4 5" xfId="23362"/>
    <cellStyle name="연결된 셀 2 2 9 5" xfId="6225"/>
    <cellStyle name="연결된 셀 2 2 9 5 2" xfId="23366"/>
    <cellStyle name="연결된 셀 2 2 9 6" xfId="6226"/>
    <cellStyle name="연결된 셀 2 2 9 6 2" xfId="23367"/>
    <cellStyle name="연결된 셀 2 2 9 7" xfId="6227"/>
    <cellStyle name="연결된 셀 2 2 9 7 2" xfId="23368"/>
    <cellStyle name="연결된 셀 2 2 9 8" xfId="23353"/>
    <cellStyle name="연결된 셀 2 3" xfId="561"/>
    <cellStyle name="연결된 셀 2 3 2" xfId="6228"/>
    <cellStyle name="연결된 셀 2 3 2 2" xfId="6229"/>
    <cellStyle name="연결된 셀 2 3 2 2 2" xfId="23370"/>
    <cellStyle name="연결된 셀 2 3 2 3" xfId="6230"/>
    <cellStyle name="연결된 셀 2 3 2 3 2" xfId="23371"/>
    <cellStyle name="연결된 셀 2 3 2 4" xfId="6231"/>
    <cellStyle name="연결된 셀 2 3 2 4 2" xfId="23372"/>
    <cellStyle name="연결된 셀 2 3 2 5" xfId="23369"/>
    <cellStyle name="연결된 셀 2 3 3" xfId="6232"/>
    <cellStyle name="연결된 셀 2 3 3 2" xfId="6233"/>
    <cellStyle name="연결된 셀 2 3 3 2 2" xfId="23374"/>
    <cellStyle name="연결된 셀 2 3 3 3" xfId="6234"/>
    <cellStyle name="연결된 셀 2 3 3 3 2" xfId="23375"/>
    <cellStyle name="연결된 셀 2 3 3 4" xfId="6235"/>
    <cellStyle name="연결된 셀 2 3 3 4 2" xfId="23376"/>
    <cellStyle name="연결된 셀 2 3 3 5" xfId="23373"/>
    <cellStyle name="연결된 셀 2 3 4" xfId="6236"/>
    <cellStyle name="연결된 셀 2 3 4 2" xfId="6237"/>
    <cellStyle name="연결된 셀 2 3 4 2 2" xfId="23378"/>
    <cellStyle name="연결된 셀 2 3 4 3" xfId="6238"/>
    <cellStyle name="연결된 셀 2 3 4 3 2" xfId="23379"/>
    <cellStyle name="연결된 셀 2 3 4 4" xfId="6239"/>
    <cellStyle name="연결된 셀 2 3 4 4 2" xfId="23380"/>
    <cellStyle name="연결된 셀 2 3 4 5" xfId="23377"/>
    <cellStyle name="연결된 셀 2 3 5" xfId="6240"/>
    <cellStyle name="연결된 셀 2 3 5 2" xfId="23381"/>
    <cellStyle name="연결된 셀 2 3 6" xfId="6241"/>
    <cellStyle name="연결된 셀 2 3 6 2" xfId="23382"/>
    <cellStyle name="연결된 셀 2 3 7" xfId="6242"/>
    <cellStyle name="연결된 셀 2 3 7 2" xfId="23383"/>
    <cellStyle name="연결된 셀 2 3 8" xfId="17704"/>
    <cellStyle name="연결된 셀 2 4" xfId="6243"/>
    <cellStyle name="연결된 셀 2 4 2" xfId="6244"/>
    <cellStyle name="연결된 셀 2 4 2 2" xfId="6245"/>
    <cellStyle name="연결된 셀 2 4 2 2 2" xfId="23386"/>
    <cellStyle name="연결된 셀 2 4 2 3" xfId="6246"/>
    <cellStyle name="연결된 셀 2 4 2 3 2" xfId="23387"/>
    <cellStyle name="연결된 셀 2 4 2 4" xfId="6247"/>
    <cellStyle name="연결된 셀 2 4 2 4 2" xfId="23388"/>
    <cellStyle name="연결된 셀 2 4 2 5" xfId="23385"/>
    <cellStyle name="연결된 셀 2 4 3" xfId="6248"/>
    <cellStyle name="연결된 셀 2 4 3 2" xfId="6249"/>
    <cellStyle name="연결된 셀 2 4 3 2 2" xfId="23390"/>
    <cellStyle name="연결된 셀 2 4 3 3" xfId="6250"/>
    <cellStyle name="연결된 셀 2 4 3 3 2" xfId="23391"/>
    <cellStyle name="연결된 셀 2 4 3 4" xfId="6251"/>
    <cellStyle name="연결된 셀 2 4 3 4 2" xfId="23392"/>
    <cellStyle name="연결된 셀 2 4 3 5" xfId="23389"/>
    <cellStyle name="연결된 셀 2 4 4" xfId="6252"/>
    <cellStyle name="연결된 셀 2 4 4 2" xfId="6253"/>
    <cellStyle name="연결된 셀 2 4 4 2 2" xfId="23394"/>
    <cellStyle name="연결된 셀 2 4 4 3" xfId="6254"/>
    <cellStyle name="연결된 셀 2 4 4 3 2" xfId="23395"/>
    <cellStyle name="연결된 셀 2 4 4 4" xfId="6255"/>
    <cellStyle name="연결된 셀 2 4 4 4 2" xfId="23396"/>
    <cellStyle name="연결된 셀 2 4 4 5" xfId="23393"/>
    <cellStyle name="연결된 셀 2 4 5" xfId="6256"/>
    <cellStyle name="연결된 셀 2 4 5 2" xfId="23397"/>
    <cellStyle name="연결된 셀 2 4 6" xfId="6257"/>
    <cellStyle name="연결된 셀 2 4 6 2" xfId="23398"/>
    <cellStyle name="연결된 셀 2 4 7" xfId="6258"/>
    <cellStyle name="연결된 셀 2 4 7 2" xfId="23399"/>
    <cellStyle name="연결된 셀 2 4 8" xfId="23384"/>
    <cellStyle name="연결된 셀 2 5" xfId="6259"/>
    <cellStyle name="연결된 셀 2 5 2" xfId="6260"/>
    <cellStyle name="연결된 셀 2 5 2 2" xfId="6261"/>
    <cellStyle name="연결된 셀 2 5 2 2 2" xfId="23402"/>
    <cellStyle name="연결된 셀 2 5 2 3" xfId="6262"/>
    <cellStyle name="연결된 셀 2 5 2 3 2" xfId="23403"/>
    <cellStyle name="연결된 셀 2 5 2 4" xfId="6263"/>
    <cellStyle name="연결된 셀 2 5 2 4 2" xfId="23404"/>
    <cellStyle name="연결된 셀 2 5 2 5" xfId="23401"/>
    <cellStyle name="연결된 셀 2 5 3" xfId="6264"/>
    <cellStyle name="연결된 셀 2 5 3 2" xfId="6265"/>
    <cellStyle name="연결된 셀 2 5 3 2 2" xfId="23406"/>
    <cellStyle name="연결된 셀 2 5 3 3" xfId="6266"/>
    <cellStyle name="연결된 셀 2 5 3 3 2" xfId="23407"/>
    <cellStyle name="연결된 셀 2 5 3 4" xfId="6267"/>
    <cellStyle name="연결된 셀 2 5 3 4 2" xfId="23408"/>
    <cellStyle name="연결된 셀 2 5 3 5" xfId="23405"/>
    <cellStyle name="연결된 셀 2 5 4" xfId="6268"/>
    <cellStyle name="연결된 셀 2 5 4 2" xfId="6269"/>
    <cellStyle name="연결된 셀 2 5 4 2 2" xfId="23410"/>
    <cellStyle name="연결된 셀 2 5 4 3" xfId="6270"/>
    <cellStyle name="연결된 셀 2 5 4 3 2" xfId="23411"/>
    <cellStyle name="연결된 셀 2 5 4 4" xfId="6271"/>
    <cellStyle name="연결된 셀 2 5 4 4 2" xfId="23412"/>
    <cellStyle name="연결된 셀 2 5 4 5" xfId="23409"/>
    <cellStyle name="연결된 셀 2 5 5" xfId="6272"/>
    <cellStyle name="연결된 셀 2 5 5 2" xfId="23413"/>
    <cellStyle name="연결된 셀 2 5 6" xfId="6273"/>
    <cellStyle name="연결된 셀 2 5 6 2" xfId="23414"/>
    <cellStyle name="연결된 셀 2 5 7" xfId="6274"/>
    <cellStyle name="연결된 셀 2 5 7 2" xfId="23415"/>
    <cellStyle name="연결된 셀 2 5 8" xfId="23400"/>
    <cellStyle name="연결된 셀 2 6" xfId="6275"/>
    <cellStyle name="연결된 셀 2 6 2" xfId="6276"/>
    <cellStyle name="연결된 셀 2 6 2 2" xfId="6277"/>
    <cellStyle name="연결된 셀 2 6 2 2 2" xfId="23418"/>
    <cellStyle name="연결된 셀 2 6 2 3" xfId="6278"/>
    <cellStyle name="연결된 셀 2 6 2 3 2" xfId="23419"/>
    <cellStyle name="연결된 셀 2 6 2 4" xfId="6279"/>
    <cellStyle name="연결된 셀 2 6 2 4 2" xfId="23420"/>
    <cellStyle name="연결된 셀 2 6 2 5" xfId="23417"/>
    <cellStyle name="연결된 셀 2 6 3" xfId="6280"/>
    <cellStyle name="연결된 셀 2 6 3 2" xfId="6281"/>
    <cellStyle name="연결된 셀 2 6 3 2 2" xfId="23422"/>
    <cellStyle name="연결된 셀 2 6 3 3" xfId="6282"/>
    <cellStyle name="연결된 셀 2 6 3 3 2" xfId="23423"/>
    <cellStyle name="연결된 셀 2 6 3 4" xfId="6283"/>
    <cellStyle name="연결된 셀 2 6 3 4 2" xfId="23424"/>
    <cellStyle name="연결된 셀 2 6 3 5" xfId="23421"/>
    <cellStyle name="연결된 셀 2 6 4" xfId="6284"/>
    <cellStyle name="연결된 셀 2 6 4 2" xfId="6285"/>
    <cellStyle name="연결된 셀 2 6 4 2 2" xfId="23426"/>
    <cellStyle name="연결된 셀 2 6 4 3" xfId="6286"/>
    <cellStyle name="연결된 셀 2 6 4 3 2" xfId="23427"/>
    <cellStyle name="연결된 셀 2 6 4 4" xfId="6287"/>
    <cellStyle name="연결된 셀 2 6 4 4 2" xfId="23428"/>
    <cellStyle name="연결된 셀 2 6 4 5" xfId="23425"/>
    <cellStyle name="연결된 셀 2 6 5" xfId="6288"/>
    <cellStyle name="연결된 셀 2 6 5 2" xfId="23429"/>
    <cellStyle name="연결된 셀 2 6 6" xfId="6289"/>
    <cellStyle name="연결된 셀 2 6 6 2" xfId="23430"/>
    <cellStyle name="연결된 셀 2 6 7" xfId="6290"/>
    <cellStyle name="연결된 셀 2 6 7 2" xfId="23431"/>
    <cellStyle name="연결된 셀 2 6 8" xfId="23416"/>
    <cellStyle name="연결된 셀 2 7" xfId="6291"/>
    <cellStyle name="연결된 셀 2 7 2" xfId="6292"/>
    <cellStyle name="연결된 셀 2 7 2 2" xfId="6293"/>
    <cellStyle name="연결된 셀 2 7 2 2 2" xfId="23434"/>
    <cellStyle name="연결된 셀 2 7 2 3" xfId="6294"/>
    <cellStyle name="연결된 셀 2 7 2 3 2" xfId="23435"/>
    <cellStyle name="연결된 셀 2 7 2 4" xfId="6295"/>
    <cellStyle name="연결된 셀 2 7 2 4 2" xfId="23436"/>
    <cellStyle name="연결된 셀 2 7 2 5" xfId="23433"/>
    <cellStyle name="연결된 셀 2 7 3" xfId="6296"/>
    <cellStyle name="연결된 셀 2 7 3 2" xfId="6297"/>
    <cellStyle name="연결된 셀 2 7 3 2 2" xfId="23438"/>
    <cellStyle name="연결된 셀 2 7 3 3" xfId="6298"/>
    <cellStyle name="연결된 셀 2 7 3 3 2" xfId="23439"/>
    <cellStyle name="연결된 셀 2 7 3 4" xfId="6299"/>
    <cellStyle name="연결된 셀 2 7 3 4 2" xfId="23440"/>
    <cellStyle name="연결된 셀 2 7 3 5" xfId="23437"/>
    <cellStyle name="연결된 셀 2 7 4" xfId="6300"/>
    <cellStyle name="연결된 셀 2 7 4 2" xfId="6301"/>
    <cellStyle name="연결된 셀 2 7 4 2 2" xfId="23442"/>
    <cellStyle name="연결된 셀 2 7 4 3" xfId="6302"/>
    <cellStyle name="연결된 셀 2 7 4 3 2" xfId="23443"/>
    <cellStyle name="연결된 셀 2 7 4 4" xfId="6303"/>
    <cellStyle name="연결된 셀 2 7 4 4 2" xfId="23444"/>
    <cellStyle name="연결된 셀 2 7 4 5" xfId="23441"/>
    <cellStyle name="연결된 셀 2 7 5" xfId="6304"/>
    <cellStyle name="연결된 셀 2 7 5 2" xfId="23445"/>
    <cellStyle name="연결된 셀 2 7 6" xfId="6305"/>
    <cellStyle name="연결된 셀 2 7 6 2" xfId="23446"/>
    <cellStyle name="연결된 셀 2 7 7" xfId="6306"/>
    <cellStyle name="연결된 셀 2 7 7 2" xfId="23447"/>
    <cellStyle name="연결된 셀 2 7 8" xfId="23432"/>
    <cellStyle name="연결된 셀 2 8" xfId="6307"/>
    <cellStyle name="연결된 셀 2 8 2" xfId="6308"/>
    <cellStyle name="연결된 셀 2 8 2 2" xfId="6309"/>
    <cellStyle name="연결된 셀 2 8 2 2 2" xfId="23450"/>
    <cellStyle name="연결된 셀 2 8 2 3" xfId="6310"/>
    <cellStyle name="연결된 셀 2 8 2 3 2" xfId="23451"/>
    <cellStyle name="연결된 셀 2 8 2 4" xfId="6311"/>
    <cellStyle name="연결된 셀 2 8 2 4 2" xfId="23452"/>
    <cellStyle name="연결된 셀 2 8 2 5" xfId="23449"/>
    <cellStyle name="연결된 셀 2 8 3" xfId="6312"/>
    <cellStyle name="연결된 셀 2 8 3 2" xfId="6313"/>
    <cellStyle name="연결된 셀 2 8 3 2 2" xfId="23454"/>
    <cellStyle name="연결된 셀 2 8 3 3" xfId="6314"/>
    <cellStyle name="연결된 셀 2 8 3 3 2" xfId="23455"/>
    <cellStyle name="연결된 셀 2 8 3 4" xfId="6315"/>
    <cellStyle name="연결된 셀 2 8 3 4 2" xfId="23456"/>
    <cellStyle name="연결된 셀 2 8 3 5" xfId="23453"/>
    <cellStyle name="연결된 셀 2 8 4" xfId="6316"/>
    <cellStyle name="연결된 셀 2 8 4 2" xfId="6317"/>
    <cellStyle name="연결된 셀 2 8 4 2 2" xfId="23458"/>
    <cellStyle name="연결된 셀 2 8 4 3" xfId="6318"/>
    <cellStyle name="연결된 셀 2 8 4 3 2" xfId="23459"/>
    <cellStyle name="연결된 셀 2 8 4 4" xfId="6319"/>
    <cellStyle name="연결된 셀 2 8 4 4 2" xfId="23460"/>
    <cellStyle name="연결된 셀 2 8 4 5" xfId="23457"/>
    <cellStyle name="연결된 셀 2 8 5" xfId="6320"/>
    <cellStyle name="연결된 셀 2 8 5 2" xfId="23461"/>
    <cellStyle name="연결된 셀 2 8 6" xfId="6321"/>
    <cellStyle name="연결된 셀 2 8 6 2" xfId="23462"/>
    <cellStyle name="연결된 셀 2 8 7" xfId="6322"/>
    <cellStyle name="연결된 셀 2 8 7 2" xfId="23463"/>
    <cellStyle name="연결된 셀 2 8 8" xfId="23448"/>
    <cellStyle name="연결된 셀 2 9" xfId="6323"/>
    <cellStyle name="연결된 셀 2 9 2" xfId="6324"/>
    <cellStyle name="연결된 셀 2 9 2 2" xfId="6325"/>
    <cellStyle name="연결된 셀 2 9 2 2 2" xfId="23466"/>
    <cellStyle name="연결된 셀 2 9 2 3" xfId="6326"/>
    <cellStyle name="연결된 셀 2 9 2 3 2" xfId="23467"/>
    <cellStyle name="연결된 셀 2 9 2 4" xfId="6327"/>
    <cellStyle name="연결된 셀 2 9 2 4 2" xfId="23468"/>
    <cellStyle name="연결된 셀 2 9 2 5" xfId="23465"/>
    <cellStyle name="연결된 셀 2 9 3" xfId="6328"/>
    <cellStyle name="연결된 셀 2 9 3 2" xfId="6329"/>
    <cellStyle name="연결된 셀 2 9 3 2 2" xfId="23470"/>
    <cellStyle name="연결된 셀 2 9 3 3" xfId="6330"/>
    <cellStyle name="연결된 셀 2 9 3 3 2" xfId="23471"/>
    <cellStyle name="연결된 셀 2 9 3 4" xfId="6331"/>
    <cellStyle name="연결된 셀 2 9 3 4 2" xfId="23472"/>
    <cellStyle name="연결된 셀 2 9 3 5" xfId="23469"/>
    <cellStyle name="연결된 셀 2 9 4" xfId="6332"/>
    <cellStyle name="연결된 셀 2 9 4 2" xfId="6333"/>
    <cellStyle name="연결된 셀 2 9 4 2 2" xfId="23474"/>
    <cellStyle name="연결된 셀 2 9 4 3" xfId="6334"/>
    <cellStyle name="연결된 셀 2 9 4 3 2" xfId="23475"/>
    <cellStyle name="연결된 셀 2 9 4 4" xfId="6335"/>
    <cellStyle name="연결된 셀 2 9 4 4 2" xfId="23476"/>
    <cellStyle name="연결된 셀 2 9 4 5" xfId="23473"/>
    <cellStyle name="연결된 셀 2 9 5" xfId="6336"/>
    <cellStyle name="연결된 셀 2 9 5 2" xfId="23477"/>
    <cellStyle name="연결된 셀 2 9 6" xfId="6337"/>
    <cellStyle name="연결된 셀 2 9 6 2" xfId="23478"/>
    <cellStyle name="연결된 셀 2 9 7" xfId="6338"/>
    <cellStyle name="연결된 셀 2 9 7 2" xfId="23479"/>
    <cellStyle name="연결된 셀 2 9 8" xfId="23464"/>
    <cellStyle name="연결된 셀 20" xfId="6339"/>
    <cellStyle name="연결된 셀 20 10" xfId="6340"/>
    <cellStyle name="연결된 셀 20 10 2" xfId="6341"/>
    <cellStyle name="연결된 셀 20 10 2 2" xfId="6342"/>
    <cellStyle name="연결된 셀 20 10 2 2 2" xfId="23483"/>
    <cellStyle name="연결된 셀 20 10 2 3" xfId="6343"/>
    <cellStyle name="연결된 셀 20 10 2 3 2" xfId="23484"/>
    <cellStyle name="연결된 셀 20 10 2 4" xfId="6344"/>
    <cellStyle name="연결된 셀 20 10 2 4 2" xfId="23485"/>
    <cellStyle name="연결된 셀 20 10 2 5" xfId="23482"/>
    <cellStyle name="연결된 셀 20 10 3" xfId="6345"/>
    <cellStyle name="연결된 셀 20 10 3 2" xfId="6346"/>
    <cellStyle name="연결된 셀 20 10 3 2 2" xfId="23487"/>
    <cellStyle name="연결된 셀 20 10 3 3" xfId="6347"/>
    <cellStyle name="연결된 셀 20 10 3 3 2" xfId="23488"/>
    <cellStyle name="연결된 셀 20 10 3 4" xfId="6348"/>
    <cellStyle name="연결된 셀 20 10 3 4 2" xfId="23489"/>
    <cellStyle name="연결된 셀 20 10 3 5" xfId="23486"/>
    <cellStyle name="연결된 셀 20 10 4" xfId="6349"/>
    <cellStyle name="연결된 셀 20 10 4 2" xfId="6350"/>
    <cellStyle name="연결된 셀 20 10 4 2 2" xfId="23491"/>
    <cellStyle name="연결된 셀 20 10 4 3" xfId="6351"/>
    <cellStyle name="연결된 셀 20 10 4 3 2" xfId="23492"/>
    <cellStyle name="연결된 셀 20 10 4 4" xfId="6352"/>
    <cellStyle name="연결된 셀 20 10 4 4 2" xfId="23493"/>
    <cellStyle name="연결된 셀 20 10 4 5" xfId="23490"/>
    <cellStyle name="연결된 셀 20 10 5" xfId="6353"/>
    <cellStyle name="연결된 셀 20 10 5 2" xfId="23494"/>
    <cellStyle name="연결된 셀 20 10 6" xfId="6354"/>
    <cellStyle name="연결된 셀 20 10 6 2" xfId="23495"/>
    <cellStyle name="연결된 셀 20 10 7" xfId="6355"/>
    <cellStyle name="연결된 셀 20 10 7 2" xfId="23496"/>
    <cellStyle name="연결된 셀 20 10 8" xfId="23481"/>
    <cellStyle name="연결된 셀 20 11" xfId="6356"/>
    <cellStyle name="연결된 셀 20 11 2" xfId="6357"/>
    <cellStyle name="연결된 셀 20 11 2 2" xfId="6358"/>
    <cellStyle name="연결된 셀 20 11 2 2 2" xfId="23499"/>
    <cellStyle name="연결된 셀 20 11 2 3" xfId="6359"/>
    <cellStyle name="연결된 셀 20 11 2 3 2" xfId="23500"/>
    <cellStyle name="연결된 셀 20 11 2 4" xfId="6360"/>
    <cellStyle name="연결된 셀 20 11 2 4 2" xfId="23501"/>
    <cellStyle name="연결된 셀 20 11 2 5" xfId="23498"/>
    <cellStyle name="연결된 셀 20 11 3" xfId="6361"/>
    <cellStyle name="연결된 셀 20 11 3 2" xfId="6362"/>
    <cellStyle name="연결된 셀 20 11 3 2 2" xfId="23503"/>
    <cellStyle name="연결된 셀 20 11 3 3" xfId="6363"/>
    <cellStyle name="연결된 셀 20 11 3 3 2" xfId="23504"/>
    <cellStyle name="연결된 셀 20 11 3 4" xfId="6364"/>
    <cellStyle name="연결된 셀 20 11 3 4 2" xfId="23505"/>
    <cellStyle name="연결된 셀 20 11 3 5" xfId="23502"/>
    <cellStyle name="연결된 셀 20 11 4" xfId="6365"/>
    <cellStyle name="연결된 셀 20 11 4 2" xfId="6366"/>
    <cellStyle name="연결된 셀 20 11 4 2 2" xfId="23507"/>
    <cellStyle name="연결된 셀 20 11 4 3" xfId="6367"/>
    <cellStyle name="연결된 셀 20 11 4 3 2" xfId="23508"/>
    <cellStyle name="연결된 셀 20 11 4 4" xfId="6368"/>
    <cellStyle name="연결된 셀 20 11 4 4 2" xfId="23509"/>
    <cellStyle name="연결된 셀 20 11 4 5" xfId="23506"/>
    <cellStyle name="연결된 셀 20 11 5" xfId="6369"/>
    <cellStyle name="연결된 셀 20 11 5 2" xfId="23510"/>
    <cellStyle name="연결된 셀 20 11 6" xfId="6370"/>
    <cellStyle name="연결된 셀 20 11 6 2" xfId="23511"/>
    <cellStyle name="연결된 셀 20 11 7" xfId="6371"/>
    <cellStyle name="연결된 셀 20 11 7 2" xfId="23512"/>
    <cellStyle name="연결된 셀 20 11 8" xfId="23497"/>
    <cellStyle name="연결된 셀 20 12" xfId="6372"/>
    <cellStyle name="연결된 셀 20 12 2" xfId="6373"/>
    <cellStyle name="연결된 셀 20 12 2 2" xfId="6374"/>
    <cellStyle name="연결된 셀 20 12 2 2 2" xfId="23515"/>
    <cellStyle name="연결된 셀 20 12 2 3" xfId="6375"/>
    <cellStyle name="연결된 셀 20 12 2 3 2" xfId="23516"/>
    <cellStyle name="연결된 셀 20 12 2 4" xfId="6376"/>
    <cellStyle name="연결된 셀 20 12 2 4 2" xfId="23517"/>
    <cellStyle name="연결된 셀 20 12 2 5" xfId="23514"/>
    <cellStyle name="연결된 셀 20 12 3" xfId="6377"/>
    <cellStyle name="연결된 셀 20 12 3 2" xfId="6378"/>
    <cellStyle name="연결된 셀 20 12 3 2 2" xfId="23519"/>
    <cellStyle name="연결된 셀 20 12 3 3" xfId="6379"/>
    <cellStyle name="연결된 셀 20 12 3 3 2" xfId="23520"/>
    <cellStyle name="연결된 셀 20 12 3 4" xfId="6380"/>
    <cellStyle name="연결된 셀 20 12 3 4 2" xfId="23521"/>
    <cellStyle name="연결된 셀 20 12 3 5" xfId="23518"/>
    <cellStyle name="연결된 셀 20 12 4" xfId="6381"/>
    <cellStyle name="연결된 셀 20 12 4 2" xfId="6382"/>
    <cellStyle name="연결된 셀 20 12 4 2 2" xfId="23523"/>
    <cellStyle name="연결된 셀 20 12 4 3" xfId="6383"/>
    <cellStyle name="연결된 셀 20 12 4 3 2" xfId="23524"/>
    <cellStyle name="연결된 셀 20 12 4 4" xfId="6384"/>
    <cellStyle name="연결된 셀 20 12 4 4 2" xfId="23525"/>
    <cellStyle name="연결된 셀 20 12 4 5" xfId="23522"/>
    <cellStyle name="연결된 셀 20 12 5" xfId="6385"/>
    <cellStyle name="연결된 셀 20 12 5 2" xfId="23526"/>
    <cellStyle name="연결된 셀 20 12 6" xfId="6386"/>
    <cellStyle name="연결된 셀 20 12 6 2" xfId="23527"/>
    <cellStyle name="연결된 셀 20 12 7" xfId="6387"/>
    <cellStyle name="연결된 셀 20 12 7 2" xfId="23528"/>
    <cellStyle name="연결된 셀 20 12 8" xfId="23513"/>
    <cellStyle name="연결된 셀 20 13" xfId="6388"/>
    <cellStyle name="연결된 셀 20 13 2" xfId="6389"/>
    <cellStyle name="연결된 셀 20 13 2 2" xfId="23530"/>
    <cellStyle name="연결된 셀 20 13 3" xfId="6390"/>
    <cellStyle name="연결된 셀 20 13 3 2" xfId="23531"/>
    <cellStyle name="연결된 셀 20 13 4" xfId="6391"/>
    <cellStyle name="연결된 셀 20 13 4 2" xfId="23532"/>
    <cellStyle name="연결된 셀 20 13 5" xfId="23529"/>
    <cellStyle name="연결된 셀 20 14" xfId="6392"/>
    <cellStyle name="연결된 셀 20 14 2" xfId="23533"/>
    <cellStyle name="연결된 셀 20 15" xfId="6393"/>
    <cellStyle name="연결된 셀 20 15 2" xfId="23534"/>
    <cellStyle name="연결된 셀 20 16" xfId="6394"/>
    <cellStyle name="연결된 셀 20 16 2" xfId="23535"/>
    <cellStyle name="연결된 셀 20 17" xfId="23480"/>
    <cellStyle name="연결된 셀 20 2" xfId="6395"/>
    <cellStyle name="연결된 셀 20 2 10" xfId="6396"/>
    <cellStyle name="연결된 셀 20 2 10 2" xfId="6397"/>
    <cellStyle name="연결된 셀 20 2 10 2 2" xfId="6398"/>
    <cellStyle name="연결된 셀 20 2 10 2 2 2" xfId="23539"/>
    <cellStyle name="연결된 셀 20 2 10 2 3" xfId="6399"/>
    <cellStyle name="연결된 셀 20 2 10 2 3 2" xfId="23540"/>
    <cellStyle name="연결된 셀 20 2 10 2 4" xfId="6400"/>
    <cellStyle name="연결된 셀 20 2 10 2 4 2" xfId="23541"/>
    <cellStyle name="연결된 셀 20 2 10 2 5" xfId="23538"/>
    <cellStyle name="연결된 셀 20 2 10 3" xfId="6401"/>
    <cellStyle name="연결된 셀 20 2 10 3 2" xfId="6402"/>
    <cellStyle name="연결된 셀 20 2 10 3 2 2" xfId="23543"/>
    <cellStyle name="연결된 셀 20 2 10 3 3" xfId="6403"/>
    <cellStyle name="연결된 셀 20 2 10 3 3 2" xfId="23544"/>
    <cellStyle name="연결된 셀 20 2 10 3 4" xfId="6404"/>
    <cellStyle name="연결된 셀 20 2 10 3 4 2" xfId="23545"/>
    <cellStyle name="연결된 셀 20 2 10 3 5" xfId="23542"/>
    <cellStyle name="연결된 셀 20 2 10 4" xfId="6405"/>
    <cellStyle name="연결된 셀 20 2 10 4 2" xfId="6406"/>
    <cellStyle name="연결된 셀 20 2 10 4 2 2" xfId="23547"/>
    <cellStyle name="연결된 셀 20 2 10 4 3" xfId="6407"/>
    <cellStyle name="연결된 셀 20 2 10 4 3 2" xfId="23548"/>
    <cellStyle name="연결된 셀 20 2 10 4 4" xfId="6408"/>
    <cellStyle name="연결된 셀 20 2 10 4 4 2" xfId="23549"/>
    <cellStyle name="연결된 셀 20 2 10 4 5" xfId="23546"/>
    <cellStyle name="연결된 셀 20 2 10 5" xfId="6409"/>
    <cellStyle name="연결된 셀 20 2 10 5 2" xfId="23550"/>
    <cellStyle name="연결된 셀 20 2 10 6" xfId="6410"/>
    <cellStyle name="연결된 셀 20 2 10 6 2" xfId="23551"/>
    <cellStyle name="연결된 셀 20 2 10 7" xfId="6411"/>
    <cellStyle name="연결된 셀 20 2 10 7 2" xfId="23552"/>
    <cellStyle name="연결된 셀 20 2 10 8" xfId="23537"/>
    <cellStyle name="연결된 셀 20 2 11" xfId="6412"/>
    <cellStyle name="연결된 셀 20 2 11 2" xfId="6413"/>
    <cellStyle name="연결된 셀 20 2 11 2 2" xfId="6414"/>
    <cellStyle name="연결된 셀 20 2 11 2 2 2" xfId="23555"/>
    <cellStyle name="연결된 셀 20 2 11 2 3" xfId="6415"/>
    <cellStyle name="연결된 셀 20 2 11 2 3 2" xfId="23556"/>
    <cellStyle name="연결된 셀 20 2 11 2 4" xfId="6416"/>
    <cellStyle name="연결된 셀 20 2 11 2 4 2" xfId="23557"/>
    <cellStyle name="연결된 셀 20 2 11 2 5" xfId="23554"/>
    <cellStyle name="연결된 셀 20 2 11 3" xfId="6417"/>
    <cellStyle name="연결된 셀 20 2 11 3 2" xfId="6418"/>
    <cellStyle name="연결된 셀 20 2 11 3 2 2" xfId="23559"/>
    <cellStyle name="연결된 셀 20 2 11 3 3" xfId="6419"/>
    <cellStyle name="연결된 셀 20 2 11 3 3 2" xfId="23560"/>
    <cellStyle name="연결된 셀 20 2 11 3 4" xfId="6420"/>
    <cellStyle name="연결된 셀 20 2 11 3 4 2" xfId="23561"/>
    <cellStyle name="연결된 셀 20 2 11 3 5" xfId="23558"/>
    <cellStyle name="연결된 셀 20 2 11 4" xfId="6421"/>
    <cellStyle name="연결된 셀 20 2 11 4 2" xfId="6422"/>
    <cellStyle name="연결된 셀 20 2 11 4 2 2" xfId="23563"/>
    <cellStyle name="연결된 셀 20 2 11 4 3" xfId="6423"/>
    <cellStyle name="연결된 셀 20 2 11 4 3 2" xfId="23564"/>
    <cellStyle name="연결된 셀 20 2 11 4 4" xfId="6424"/>
    <cellStyle name="연결된 셀 20 2 11 4 4 2" xfId="23565"/>
    <cellStyle name="연결된 셀 20 2 11 4 5" xfId="23562"/>
    <cellStyle name="연결된 셀 20 2 11 5" xfId="6425"/>
    <cellStyle name="연결된 셀 20 2 11 5 2" xfId="23566"/>
    <cellStyle name="연결된 셀 20 2 11 6" xfId="6426"/>
    <cellStyle name="연결된 셀 20 2 11 6 2" xfId="23567"/>
    <cellStyle name="연결된 셀 20 2 11 7" xfId="6427"/>
    <cellStyle name="연결된 셀 20 2 11 7 2" xfId="23568"/>
    <cellStyle name="연결된 셀 20 2 11 8" xfId="23553"/>
    <cellStyle name="연결된 셀 20 2 12" xfId="6428"/>
    <cellStyle name="연결된 셀 20 2 12 2" xfId="6429"/>
    <cellStyle name="연결된 셀 20 2 12 2 2" xfId="23570"/>
    <cellStyle name="연결된 셀 20 2 12 3" xfId="6430"/>
    <cellStyle name="연결된 셀 20 2 12 3 2" xfId="23571"/>
    <cellStyle name="연결된 셀 20 2 12 4" xfId="6431"/>
    <cellStyle name="연결된 셀 20 2 12 4 2" xfId="23572"/>
    <cellStyle name="연결된 셀 20 2 12 5" xfId="23569"/>
    <cellStyle name="연결된 셀 20 2 13" xfId="6432"/>
    <cellStyle name="연결된 셀 20 2 13 2" xfId="23573"/>
    <cellStyle name="연결된 셀 20 2 14" xfId="6433"/>
    <cellStyle name="연결된 셀 20 2 14 2" xfId="23574"/>
    <cellStyle name="연결된 셀 20 2 15" xfId="6434"/>
    <cellStyle name="연결된 셀 20 2 15 2" xfId="23575"/>
    <cellStyle name="연결된 셀 20 2 16" xfId="23536"/>
    <cellStyle name="연결된 셀 20 2 2" xfId="6435"/>
    <cellStyle name="연결된 셀 20 2 2 2" xfId="6436"/>
    <cellStyle name="연결된 셀 20 2 2 2 2" xfId="6437"/>
    <cellStyle name="연결된 셀 20 2 2 2 2 2" xfId="23578"/>
    <cellStyle name="연결된 셀 20 2 2 2 3" xfId="6438"/>
    <cellStyle name="연결된 셀 20 2 2 2 3 2" xfId="23579"/>
    <cellStyle name="연결된 셀 20 2 2 2 4" xfId="6439"/>
    <cellStyle name="연결된 셀 20 2 2 2 4 2" xfId="23580"/>
    <cellStyle name="연결된 셀 20 2 2 2 5" xfId="23577"/>
    <cellStyle name="연결된 셀 20 2 2 3" xfId="6440"/>
    <cellStyle name="연결된 셀 20 2 2 3 2" xfId="6441"/>
    <cellStyle name="연결된 셀 20 2 2 3 2 2" xfId="23582"/>
    <cellStyle name="연결된 셀 20 2 2 3 3" xfId="6442"/>
    <cellStyle name="연결된 셀 20 2 2 3 3 2" xfId="23583"/>
    <cellStyle name="연결된 셀 20 2 2 3 4" xfId="6443"/>
    <cellStyle name="연결된 셀 20 2 2 3 4 2" xfId="23584"/>
    <cellStyle name="연결된 셀 20 2 2 3 5" xfId="23581"/>
    <cellStyle name="연결된 셀 20 2 2 4" xfId="6444"/>
    <cellStyle name="연결된 셀 20 2 2 4 2" xfId="6445"/>
    <cellStyle name="연결된 셀 20 2 2 4 2 2" xfId="23586"/>
    <cellStyle name="연결된 셀 20 2 2 4 3" xfId="6446"/>
    <cellStyle name="연결된 셀 20 2 2 4 3 2" xfId="23587"/>
    <cellStyle name="연결된 셀 20 2 2 4 4" xfId="6447"/>
    <cellStyle name="연결된 셀 20 2 2 4 4 2" xfId="23588"/>
    <cellStyle name="연결된 셀 20 2 2 4 5" xfId="23585"/>
    <cellStyle name="연결된 셀 20 2 2 5" xfId="6448"/>
    <cellStyle name="연결된 셀 20 2 2 5 2" xfId="23589"/>
    <cellStyle name="연결된 셀 20 2 2 6" xfId="6449"/>
    <cellStyle name="연결된 셀 20 2 2 6 2" xfId="23590"/>
    <cellStyle name="연결된 셀 20 2 2 7" xfId="6450"/>
    <cellStyle name="연결된 셀 20 2 2 7 2" xfId="23591"/>
    <cellStyle name="연결된 셀 20 2 2 8" xfId="23576"/>
    <cellStyle name="연결된 셀 20 2 3" xfId="6451"/>
    <cellStyle name="연결된 셀 20 2 3 2" xfId="6452"/>
    <cellStyle name="연결된 셀 20 2 3 2 2" xfId="6453"/>
    <cellStyle name="연결된 셀 20 2 3 2 2 2" xfId="23594"/>
    <cellStyle name="연결된 셀 20 2 3 2 3" xfId="6454"/>
    <cellStyle name="연결된 셀 20 2 3 2 3 2" xfId="23595"/>
    <cellStyle name="연결된 셀 20 2 3 2 4" xfId="6455"/>
    <cellStyle name="연결된 셀 20 2 3 2 4 2" xfId="23596"/>
    <cellStyle name="연결된 셀 20 2 3 2 5" xfId="23593"/>
    <cellStyle name="연결된 셀 20 2 3 3" xfId="6456"/>
    <cellStyle name="연결된 셀 20 2 3 3 2" xfId="6457"/>
    <cellStyle name="연결된 셀 20 2 3 3 2 2" xfId="23598"/>
    <cellStyle name="연결된 셀 20 2 3 3 3" xfId="6458"/>
    <cellStyle name="연결된 셀 20 2 3 3 3 2" xfId="23599"/>
    <cellStyle name="연결된 셀 20 2 3 3 4" xfId="6459"/>
    <cellStyle name="연결된 셀 20 2 3 3 4 2" xfId="23600"/>
    <cellStyle name="연결된 셀 20 2 3 3 5" xfId="23597"/>
    <cellStyle name="연결된 셀 20 2 3 4" xfId="6460"/>
    <cellStyle name="연결된 셀 20 2 3 4 2" xfId="6461"/>
    <cellStyle name="연결된 셀 20 2 3 4 2 2" xfId="23602"/>
    <cellStyle name="연결된 셀 20 2 3 4 3" xfId="6462"/>
    <cellStyle name="연결된 셀 20 2 3 4 3 2" xfId="23603"/>
    <cellStyle name="연결된 셀 20 2 3 4 4" xfId="6463"/>
    <cellStyle name="연결된 셀 20 2 3 4 4 2" xfId="23604"/>
    <cellStyle name="연결된 셀 20 2 3 4 5" xfId="23601"/>
    <cellStyle name="연결된 셀 20 2 3 5" xfId="6464"/>
    <cellStyle name="연결된 셀 20 2 3 5 2" xfId="23605"/>
    <cellStyle name="연결된 셀 20 2 3 6" xfId="6465"/>
    <cellStyle name="연결된 셀 20 2 3 6 2" xfId="23606"/>
    <cellStyle name="연결된 셀 20 2 3 7" xfId="6466"/>
    <cellStyle name="연결된 셀 20 2 3 7 2" xfId="23607"/>
    <cellStyle name="연결된 셀 20 2 3 8" xfId="23592"/>
    <cellStyle name="연결된 셀 20 2 4" xfId="6467"/>
    <cellStyle name="연결된 셀 20 2 4 2" xfId="6468"/>
    <cellStyle name="연결된 셀 20 2 4 2 2" xfId="6469"/>
    <cellStyle name="연결된 셀 20 2 4 2 2 2" xfId="23610"/>
    <cellStyle name="연결된 셀 20 2 4 2 3" xfId="6470"/>
    <cellStyle name="연결된 셀 20 2 4 2 3 2" xfId="23611"/>
    <cellStyle name="연결된 셀 20 2 4 2 4" xfId="6471"/>
    <cellStyle name="연결된 셀 20 2 4 2 4 2" xfId="23612"/>
    <cellStyle name="연결된 셀 20 2 4 2 5" xfId="23609"/>
    <cellStyle name="연결된 셀 20 2 4 3" xfId="6472"/>
    <cellStyle name="연결된 셀 20 2 4 3 2" xfId="6473"/>
    <cellStyle name="연결된 셀 20 2 4 3 2 2" xfId="23614"/>
    <cellStyle name="연결된 셀 20 2 4 3 3" xfId="6474"/>
    <cellStyle name="연결된 셀 20 2 4 3 3 2" xfId="23615"/>
    <cellStyle name="연결된 셀 20 2 4 3 4" xfId="6475"/>
    <cellStyle name="연결된 셀 20 2 4 3 4 2" xfId="23616"/>
    <cellStyle name="연결된 셀 20 2 4 3 5" xfId="23613"/>
    <cellStyle name="연결된 셀 20 2 4 4" xfId="6476"/>
    <cellStyle name="연결된 셀 20 2 4 4 2" xfId="6477"/>
    <cellStyle name="연결된 셀 20 2 4 4 2 2" xfId="23618"/>
    <cellStyle name="연결된 셀 20 2 4 4 3" xfId="6478"/>
    <cellStyle name="연결된 셀 20 2 4 4 3 2" xfId="23619"/>
    <cellStyle name="연결된 셀 20 2 4 4 4" xfId="6479"/>
    <cellStyle name="연결된 셀 20 2 4 4 4 2" xfId="23620"/>
    <cellStyle name="연결된 셀 20 2 4 4 5" xfId="23617"/>
    <cellStyle name="연결된 셀 20 2 4 5" xfId="6480"/>
    <cellStyle name="연결된 셀 20 2 4 5 2" xfId="23621"/>
    <cellStyle name="연결된 셀 20 2 4 6" xfId="6481"/>
    <cellStyle name="연결된 셀 20 2 4 6 2" xfId="23622"/>
    <cellStyle name="연결된 셀 20 2 4 7" xfId="6482"/>
    <cellStyle name="연결된 셀 20 2 4 7 2" xfId="23623"/>
    <cellStyle name="연결된 셀 20 2 4 8" xfId="23608"/>
    <cellStyle name="연결된 셀 20 2 5" xfId="6483"/>
    <cellStyle name="연결된 셀 20 2 5 2" xfId="6484"/>
    <cellStyle name="연결된 셀 20 2 5 2 2" xfId="6485"/>
    <cellStyle name="연결된 셀 20 2 5 2 2 2" xfId="23626"/>
    <cellStyle name="연결된 셀 20 2 5 2 3" xfId="6486"/>
    <cellStyle name="연결된 셀 20 2 5 2 3 2" xfId="23627"/>
    <cellStyle name="연결된 셀 20 2 5 2 4" xfId="6487"/>
    <cellStyle name="연결된 셀 20 2 5 2 4 2" xfId="23628"/>
    <cellStyle name="연결된 셀 20 2 5 2 5" xfId="23625"/>
    <cellStyle name="연결된 셀 20 2 5 3" xfId="6488"/>
    <cellStyle name="연결된 셀 20 2 5 3 2" xfId="6489"/>
    <cellStyle name="연결된 셀 20 2 5 3 2 2" xfId="23630"/>
    <cellStyle name="연결된 셀 20 2 5 3 3" xfId="6490"/>
    <cellStyle name="연결된 셀 20 2 5 3 3 2" xfId="23631"/>
    <cellStyle name="연결된 셀 20 2 5 3 4" xfId="6491"/>
    <cellStyle name="연결된 셀 20 2 5 3 4 2" xfId="23632"/>
    <cellStyle name="연결된 셀 20 2 5 3 5" xfId="23629"/>
    <cellStyle name="연결된 셀 20 2 5 4" xfId="6492"/>
    <cellStyle name="연결된 셀 20 2 5 4 2" xfId="6493"/>
    <cellStyle name="연결된 셀 20 2 5 4 2 2" xfId="23634"/>
    <cellStyle name="연결된 셀 20 2 5 4 3" xfId="6494"/>
    <cellStyle name="연결된 셀 20 2 5 4 3 2" xfId="23635"/>
    <cellStyle name="연결된 셀 20 2 5 4 4" xfId="6495"/>
    <cellStyle name="연결된 셀 20 2 5 4 4 2" xfId="23636"/>
    <cellStyle name="연결된 셀 20 2 5 4 5" xfId="23633"/>
    <cellStyle name="연결된 셀 20 2 5 5" xfId="6496"/>
    <cellStyle name="연결된 셀 20 2 5 5 2" xfId="23637"/>
    <cellStyle name="연결된 셀 20 2 5 6" xfId="6497"/>
    <cellStyle name="연결된 셀 20 2 5 6 2" xfId="23638"/>
    <cellStyle name="연결된 셀 20 2 5 7" xfId="6498"/>
    <cellStyle name="연결된 셀 20 2 5 7 2" xfId="23639"/>
    <cellStyle name="연결된 셀 20 2 5 8" xfId="23624"/>
    <cellStyle name="연결된 셀 20 2 6" xfId="6499"/>
    <cellStyle name="연결된 셀 20 2 6 2" xfId="6500"/>
    <cellStyle name="연결된 셀 20 2 6 2 2" xfId="6501"/>
    <cellStyle name="연결된 셀 20 2 6 2 2 2" xfId="23642"/>
    <cellStyle name="연결된 셀 20 2 6 2 3" xfId="6502"/>
    <cellStyle name="연결된 셀 20 2 6 2 3 2" xfId="23643"/>
    <cellStyle name="연결된 셀 20 2 6 2 4" xfId="6503"/>
    <cellStyle name="연결된 셀 20 2 6 2 4 2" xfId="23644"/>
    <cellStyle name="연결된 셀 20 2 6 2 5" xfId="23641"/>
    <cellStyle name="연결된 셀 20 2 6 3" xfId="6504"/>
    <cellStyle name="연결된 셀 20 2 6 3 2" xfId="6505"/>
    <cellStyle name="연결된 셀 20 2 6 3 2 2" xfId="23646"/>
    <cellStyle name="연결된 셀 20 2 6 3 3" xfId="6506"/>
    <cellStyle name="연결된 셀 20 2 6 3 3 2" xfId="23647"/>
    <cellStyle name="연결된 셀 20 2 6 3 4" xfId="6507"/>
    <cellStyle name="연결된 셀 20 2 6 3 4 2" xfId="23648"/>
    <cellStyle name="연결된 셀 20 2 6 3 5" xfId="23645"/>
    <cellStyle name="연결된 셀 20 2 6 4" xfId="6508"/>
    <cellStyle name="연결된 셀 20 2 6 4 2" xfId="6509"/>
    <cellStyle name="연결된 셀 20 2 6 4 2 2" xfId="23650"/>
    <cellStyle name="연결된 셀 20 2 6 4 3" xfId="6510"/>
    <cellStyle name="연결된 셀 20 2 6 4 3 2" xfId="23651"/>
    <cellStyle name="연결된 셀 20 2 6 4 4" xfId="6511"/>
    <cellStyle name="연결된 셀 20 2 6 4 4 2" xfId="23652"/>
    <cellStyle name="연결된 셀 20 2 6 4 5" xfId="23649"/>
    <cellStyle name="연결된 셀 20 2 6 5" xfId="6512"/>
    <cellStyle name="연결된 셀 20 2 6 5 2" xfId="23653"/>
    <cellStyle name="연결된 셀 20 2 6 6" xfId="6513"/>
    <cellStyle name="연결된 셀 20 2 6 6 2" xfId="23654"/>
    <cellStyle name="연결된 셀 20 2 6 7" xfId="6514"/>
    <cellStyle name="연결된 셀 20 2 6 7 2" xfId="23655"/>
    <cellStyle name="연결된 셀 20 2 6 8" xfId="23640"/>
    <cellStyle name="연결된 셀 20 2 7" xfId="6515"/>
    <cellStyle name="연결된 셀 20 2 7 2" xfId="6516"/>
    <cellStyle name="연결된 셀 20 2 7 2 2" xfId="6517"/>
    <cellStyle name="연결된 셀 20 2 7 2 2 2" xfId="23658"/>
    <cellStyle name="연결된 셀 20 2 7 2 3" xfId="6518"/>
    <cellStyle name="연결된 셀 20 2 7 2 3 2" xfId="23659"/>
    <cellStyle name="연결된 셀 20 2 7 2 4" xfId="6519"/>
    <cellStyle name="연결된 셀 20 2 7 2 4 2" xfId="23660"/>
    <cellStyle name="연결된 셀 20 2 7 2 5" xfId="23657"/>
    <cellStyle name="연결된 셀 20 2 7 3" xfId="6520"/>
    <cellStyle name="연결된 셀 20 2 7 3 2" xfId="6521"/>
    <cellStyle name="연결된 셀 20 2 7 3 2 2" xfId="23662"/>
    <cellStyle name="연결된 셀 20 2 7 3 3" xfId="6522"/>
    <cellStyle name="연결된 셀 20 2 7 3 3 2" xfId="23663"/>
    <cellStyle name="연결된 셀 20 2 7 3 4" xfId="6523"/>
    <cellStyle name="연결된 셀 20 2 7 3 4 2" xfId="23664"/>
    <cellStyle name="연결된 셀 20 2 7 3 5" xfId="23661"/>
    <cellStyle name="연결된 셀 20 2 7 4" xfId="6524"/>
    <cellStyle name="연결된 셀 20 2 7 4 2" xfId="6525"/>
    <cellStyle name="연결된 셀 20 2 7 4 2 2" xfId="23666"/>
    <cellStyle name="연결된 셀 20 2 7 4 3" xfId="6526"/>
    <cellStyle name="연결된 셀 20 2 7 4 3 2" xfId="23667"/>
    <cellStyle name="연결된 셀 20 2 7 4 4" xfId="6527"/>
    <cellStyle name="연결된 셀 20 2 7 4 4 2" xfId="23668"/>
    <cellStyle name="연결된 셀 20 2 7 4 5" xfId="23665"/>
    <cellStyle name="연결된 셀 20 2 7 5" xfId="6528"/>
    <cellStyle name="연결된 셀 20 2 7 5 2" xfId="23669"/>
    <cellStyle name="연결된 셀 20 2 7 6" xfId="6529"/>
    <cellStyle name="연결된 셀 20 2 7 6 2" xfId="23670"/>
    <cellStyle name="연결된 셀 20 2 7 7" xfId="6530"/>
    <cellStyle name="연결된 셀 20 2 7 7 2" xfId="23671"/>
    <cellStyle name="연결된 셀 20 2 7 8" xfId="23656"/>
    <cellStyle name="연결된 셀 20 2 8" xfId="6531"/>
    <cellStyle name="연결된 셀 20 2 8 2" xfId="6532"/>
    <cellStyle name="연결된 셀 20 2 8 2 2" xfId="6533"/>
    <cellStyle name="연결된 셀 20 2 8 2 2 2" xfId="23674"/>
    <cellStyle name="연결된 셀 20 2 8 2 3" xfId="6534"/>
    <cellStyle name="연결된 셀 20 2 8 2 3 2" xfId="23675"/>
    <cellStyle name="연결된 셀 20 2 8 2 4" xfId="6535"/>
    <cellStyle name="연결된 셀 20 2 8 2 4 2" xfId="23676"/>
    <cellStyle name="연결된 셀 20 2 8 2 5" xfId="23673"/>
    <cellStyle name="연결된 셀 20 2 8 3" xfId="6536"/>
    <cellStyle name="연결된 셀 20 2 8 3 2" xfId="6537"/>
    <cellStyle name="연결된 셀 20 2 8 3 2 2" xfId="23678"/>
    <cellStyle name="연결된 셀 20 2 8 3 3" xfId="6538"/>
    <cellStyle name="연결된 셀 20 2 8 3 3 2" xfId="23679"/>
    <cellStyle name="연결된 셀 20 2 8 3 4" xfId="6539"/>
    <cellStyle name="연결된 셀 20 2 8 3 4 2" xfId="23680"/>
    <cellStyle name="연결된 셀 20 2 8 3 5" xfId="23677"/>
    <cellStyle name="연결된 셀 20 2 8 4" xfId="6540"/>
    <cellStyle name="연결된 셀 20 2 8 4 2" xfId="6541"/>
    <cellStyle name="연결된 셀 20 2 8 4 2 2" xfId="23682"/>
    <cellStyle name="연결된 셀 20 2 8 4 3" xfId="6542"/>
    <cellStyle name="연결된 셀 20 2 8 4 3 2" xfId="23683"/>
    <cellStyle name="연결된 셀 20 2 8 4 4" xfId="6543"/>
    <cellStyle name="연결된 셀 20 2 8 4 4 2" xfId="23684"/>
    <cellStyle name="연결된 셀 20 2 8 4 5" xfId="23681"/>
    <cellStyle name="연결된 셀 20 2 8 5" xfId="6544"/>
    <cellStyle name="연결된 셀 20 2 8 5 2" xfId="23685"/>
    <cellStyle name="연결된 셀 20 2 8 6" xfId="6545"/>
    <cellStyle name="연결된 셀 20 2 8 6 2" xfId="23686"/>
    <cellStyle name="연결된 셀 20 2 8 7" xfId="6546"/>
    <cellStyle name="연결된 셀 20 2 8 7 2" xfId="23687"/>
    <cellStyle name="연결된 셀 20 2 8 8" xfId="23672"/>
    <cellStyle name="연결된 셀 20 2 9" xfId="6547"/>
    <cellStyle name="연결된 셀 20 2 9 2" xfId="6548"/>
    <cellStyle name="연결된 셀 20 2 9 2 2" xfId="6549"/>
    <cellStyle name="연결된 셀 20 2 9 2 2 2" xfId="23690"/>
    <cellStyle name="연결된 셀 20 2 9 2 3" xfId="6550"/>
    <cellStyle name="연결된 셀 20 2 9 2 3 2" xfId="23691"/>
    <cellStyle name="연결된 셀 20 2 9 2 4" xfId="6551"/>
    <cellStyle name="연결된 셀 20 2 9 2 4 2" xfId="23692"/>
    <cellStyle name="연결된 셀 20 2 9 2 5" xfId="23689"/>
    <cellStyle name="연결된 셀 20 2 9 3" xfId="6552"/>
    <cellStyle name="연결된 셀 20 2 9 3 2" xfId="6553"/>
    <cellStyle name="연결된 셀 20 2 9 3 2 2" xfId="23694"/>
    <cellStyle name="연결된 셀 20 2 9 3 3" xfId="6554"/>
    <cellStyle name="연결된 셀 20 2 9 3 3 2" xfId="23695"/>
    <cellStyle name="연결된 셀 20 2 9 3 4" xfId="6555"/>
    <cellStyle name="연결된 셀 20 2 9 3 4 2" xfId="23696"/>
    <cellStyle name="연결된 셀 20 2 9 3 5" xfId="23693"/>
    <cellStyle name="연결된 셀 20 2 9 4" xfId="6556"/>
    <cellStyle name="연결된 셀 20 2 9 4 2" xfId="6557"/>
    <cellStyle name="연결된 셀 20 2 9 4 2 2" xfId="23698"/>
    <cellStyle name="연결된 셀 20 2 9 4 3" xfId="6558"/>
    <cellStyle name="연결된 셀 20 2 9 4 3 2" xfId="23699"/>
    <cellStyle name="연결된 셀 20 2 9 4 4" xfId="6559"/>
    <cellStyle name="연결된 셀 20 2 9 4 4 2" xfId="23700"/>
    <cellStyle name="연결된 셀 20 2 9 4 5" xfId="23697"/>
    <cellStyle name="연결된 셀 20 2 9 5" xfId="6560"/>
    <cellStyle name="연결된 셀 20 2 9 5 2" xfId="23701"/>
    <cellStyle name="연결된 셀 20 2 9 6" xfId="6561"/>
    <cellStyle name="연결된 셀 20 2 9 6 2" xfId="23702"/>
    <cellStyle name="연결된 셀 20 2 9 7" xfId="6562"/>
    <cellStyle name="연결된 셀 20 2 9 7 2" xfId="23703"/>
    <cellStyle name="연결된 셀 20 2 9 8" xfId="23688"/>
    <cellStyle name="연결된 셀 20 3" xfId="6563"/>
    <cellStyle name="연결된 셀 20 3 2" xfId="6564"/>
    <cellStyle name="연결된 셀 20 3 2 2" xfId="6565"/>
    <cellStyle name="연결된 셀 20 3 2 2 2" xfId="23706"/>
    <cellStyle name="연결된 셀 20 3 2 3" xfId="6566"/>
    <cellStyle name="연결된 셀 20 3 2 3 2" xfId="23707"/>
    <cellStyle name="연결된 셀 20 3 2 4" xfId="6567"/>
    <cellStyle name="연결된 셀 20 3 2 4 2" xfId="23708"/>
    <cellStyle name="연결된 셀 20 3 2 5" xfId="23705"/>
    <cellStyle name="연결된 셀 20 3 3" xfId="6568"/>
    <cellStyle name="연결된 셀 20 3 3 2" xfId="6569"/>
    <cellStyle name="연결된 셀 20 3 3 2 2" xfId="23710"/>
    <cellStyle name="연결된 셀 20 3 3 3" xfId="6570"/>
    <cellStyle name="연결된 셀 20 3 3 3 2" xfId="23711"/>
    <cellStyle name="연결된 셀 20 3 3 4" xfId="6571"/>
    <cellStyle name="연결된 셀 20 3 3 4 2" xfId="23712"/>
    <cellStyle name="연결된 셀 20 3 3 5" xfId="23709"/>
    <cellStyle name="연결된 셀 20 3 4" xfId="6572"/>
    <cellStyle name="연결된 셀 20 3 4 2" xfId="6573"/>
    <cellStyle name="연결된 셀 20 3 4 2 2" xfId="23714"/>
    <cellStyle name="연결된 셀 20 3 4 3" xfId="6574"/>
    <cellStyle name="연결된 셀 20 3 4 3 2" xfId="23715"/>
    <cellStyle name="연결된 셀 20 3 4 4" xfId="6575"/>
    <cellStyle name="연결된 셀 20 3 4 4 2" xfId="23716"/>
    <cellStyle name="연결된 셀 20 3 4 5" xfId="23713"/>
    <cellStyle name="연결된 셀 20 3 5" xfId="6576"/>
    <cellStyle name="연결된 셀 20 3 5 2" xfId="23717"/>
    <cellStyle name="연결된 셀 20 3 6" xfId="6577"/>
    <cellStyle name="연결된 셀 20 3 6 2" xfId="23718"/>
    <cellStyle name="연결된 셀 20 3 7" xfId="6578"/>
    <cellStyle name="연결된 셀 20 3 7 2" xfId="23719"/>
    <cellStyle name="연결된 셀 20 3 8" xfId="23704"/>
    <cellStyle name="연결된 셀 20 4" xfId="6579"/>
    <cellStyle name="연결된 셀 20 4 2" xfId="6580"/>
    <cellStyle name="연결된 셀 20 4 2 2" xfId="6581"/>
    <cellStyle name="연결된 셀 20 4 2 2 2" xfId="23722"/>
    <cellStyle name="연결된 셀 20 4 2 3" xfId="6582"/>
    <cellStyle name="연결된 셀 20 4 2 3 2" xfId="23723"/>
    <cellStyle name="연결된 셀 20 4 2 4" xfId="6583"/>
    <cellStyle name="연결된 셀 20 4 2 4 2" xfId="23724"/>
    <cellStyle name="연결된 셀 20 4 2 5" xfId="23721"/>
    <cellStyle name="연결된 셀 20 4 3" xfId="6584"/>
    <cellStyle name="연결된 셀 20 4 3 2" xfId="6585"/>
    <cellStyle name="연결된 셀 20 4 3 2 2" xfId="23726"/>
    <cellStyle name="연결된 셀 20 4 3 3" xfId="6586"/>
    <cellStyle name="연결된 셀 20 4 3 3 2" xfId="23727"/>
    <cellStyle name="연결된 셀 20 4 3 4" xfId="6587"/>
    <cellStyle name="연결된 셀 20 4 3 4 2" xfId="23728"/>
    <cellStyle name="연결된 셀 20 4 3 5" xfId="23725"/>
    <cellStyle name="연결된 셀 20 4 4" xfId="6588"/>
    <cellStyle name="연결된 셀 20 4 4 2" xfId="6589"/>
    <cellStyle name="연결된 셀 20 4 4 2 2" xfId="23730"/>
    <cellStyle name="연결된 셀 20 4 4 3" xfId="6590"/>
    <cellStyle name="연결된 셀 20 4 4 3 2" xfId="23731"/>
    <cellStyle name="연결된 셀 20 4 4 4" xfId="6591"/>
    <cellStyle name="연결된 셀 20 4 4 4 2" xfId="23732"/>
    <cellStyle name="연결된 셀 20 4 4 5" xfId="23729"/>
    <cellStyle name="연결된 셀 20 4 5" xfId="6592"/>
    <cellStyle name="연결된 셀 20 4 5 2" xfId="23733"/>
    <cellStyle name="연결된 셀 20 4 6" xfId="6593"/>
    <cellStyle name="연결된 셀 20 4 6 2" xfId="23734"/>
    <cellStyle name="연결된 셀 20 4 7" xfId="6594"/>
    <cellStyle name="연결된 셀 20 4 7 2" xfId="23735"/>
    <cellStyle name="연결된 셀 20 4 8" xfId="23720"/>
    <cellStyle name="연결된 셀 20 5" xfId="6595"/>
    <cellStyle name="연결된 셀 20 5 2" xfId="6596"/>
    <cellStyle name="연결된 셀 20 5 2 2" xfId="6597"/>
    <cellStyle name="연결된 셀 20 5 2 2 2" xfId="23738"/>
    <cellStyle name="연결된 셀 20 5 2 3" xfId="6598"/>
    <cellStyle name="연결된 셀 20 5 2 3 2" xfId="23739"/>
    <cellStyle name="연결된 셀 20 5 2 4" xfId="6599"/>
    <cellStyle name="연결된 셀 20 5 2 4 2" xfId="23740"/>
    <cellStyle name="연결된 셀 20 5 2 5" xfId="23737"/>
    <cellStyle name="연결된 셀 20 5 3" xfId="6600"/>
    <cellStyle name="연결된 셀 20 5 3 2" xfId="6601"/>
    <cellStyle name="연결된 셀 20 5 3 2 2" xfId="23742"/>
    <cellStyle name="연결된 셀 20 5 3 3" xfId="6602"/>
    <cellStyle name="연결된 셀 20 5 3 3 2" xfId="23743"/>
    <cellStyle name="연결된 셀 20 5 3 4" xfId="6603"/>
    <cellStyle name="연결된 셀 20 5 3 4 2" xfId="23744"/>
    <cellStyle name="연결된 셀 20 5 3 5" xfId="23741"/>
    <cellStyle name="연결된 셀 20 5 4" xfId="6604"/>
    <cellStyle name="연결된 셀 20 5 4 2" xfId="6605"/>
    <cellStyle name="연결된 셀 20 5 4 2 2" xfId="23746"/>
    <cellStyle name="연결된 셀 20 5 4 3" xfId="6606"/>
    <cellStyle name="연결된 셀 20 5 4 3 2" xfId="23747"/>
    <cellStyle name="연결된 셀 20 5 4 4" xfId="6607"/>
    <cellStyle name="연결된 셀 20 5 4 4 2" xfId="23748"/>
    <cellStyle name="연결된 셀 20 5 4 5" xfId="23745"/>
    <cellStyle name="연결된 셀 20 5 5" xfId="6608"/>
    <cellStyle name="연결된 셀 20 5 5 2" xfId="23749"/>
    <cellStyle name="연결된 셀 20 5 6" xfId="6609"/>
    <cellStyle name="연결된 셀 20 5 6 2" xfId="23750"/>
    <cellStyle name="연결된 셀 20 5 7" xfId="6610"/>
    <cellStyle name="연결된 셀 20 5 7 2" xfId="23751"/>
    <cellStyle name="연결된 셀 20 5 8" xfId="23736"/>
    <cellStyle name="연결된 셀 20 6" xfId="6611"/>
    <cellStyle name="연결된 셀 20 6 2" xfId="6612"/>
    <cellStyle name="연결된 셀 20 6 2 2" xfId="6613"/>
    <cellStyle name="연결된 셀 20 6 2 2 2" xfId="23754"/>
    <cellStyle name="연결된 셀 20 6 2 3" xfId="6614"/>
    <cellStyle name="연결된 셀 20 6 2 3 2" xfId="23755"/>
    <cellStyle name="연결된 셀 20 6 2 4" xfId="6615"/>
    <cellStyle name="연결된 셀 20 6 2 4 2" xfId="23756"/>
    <cellStyle name="연결된 셀 20 6 2 5" xfId="23753"/>
    <cellStyle name="연결된 셀 20 6 3" xfId="6616"/>
    <cellStyle name="연결된 셀 20 6 3 2" xfId="6617"/>
    <cellStyle name="연결된 셀 20 6 3 2 2" xfId="23758"/>
    <cellStyle name="연결된 셀 20 6 3 3" xfId="6618"/>
    <cellStyle name="연결된 셀 20 6 3 3 2" xfId="23759"/>
    <cellStyle name="연결된 셀 20 6 3 4" xfId="6619"/>
    <cellStyle name="연결된 셀 20 6 3 4 2" xfId="23760"/>
    <cellStyle name="연결된 셀 20 6 3 5" xfId="23757"/>
    <cellStyle name="연결된 셀 20 6 4" xfId="6620"/>
    <cellStyle name="연결된 셀 20 6 4 2" xfId="6621"/>
    <cellStyle name="연결된 셀 20 6 4 2 2" xfId="23762"/>
    <cellStyle name="연결된 셀 20 6 4 3" xfId="6622"/>
    <cellStyle name="연결된 셀 20 6 4 3 2" xfId="23763"/>
    <cellStyle name="연결된 셀 20 6 4 4" xfId="6623"/>
    <cellStyle name="연결된 셀 20 6 4 4 2" xfId="23764"/>
    <cellStyle name="연결된 셀 20 6 4 5" xfId="23761"/>
    <cellStyle name="연결된 셀 20 6 5" xfId="6624"/>
    <cellStyle name="연결된 셀 20 6 5 2" xfId="23765"/>
    <cellStyle name="연결된 셀 20 6 6" xfId="6625"/>
    <cellStyle name="연결된 셀 20 6 6 2" xfId="23766"/>
    <cellStyle name="연결된 셀 20 6 7" xfId="6626"/>
    <cellStyle name="연결된 셀 20 6 7 2" xfId="23767"/>
    <cellStyle name="연결된 셀 20 6 8" xfId="23752"/>
    <cellStyle name="연결된 셀 20 7" xfId="6627"/>
    <cellStyle name="연결된 셀 20 7 2" xfId="6628"/>
    <cellStyle name="연결된 셀 20 7 2 2" xfId="6629"/>
    <cellStyle name="연결된 셀 20 7 2 2 2" xfId="23770"/>
    <cellStyle name="연결된 셀 20 7 2 3" xfId="6630"/>
    <cellStyle name="연결된 셀 20 7 2 3 2" xfId="23771"/>
    <cellStyle name="연결된 셀 20 7 2 4" xfId="6631"/>
    <cellStyle name="연결된 셀 20 7 2 4 2" xfId="23772"/>
    <cellStyle name="연결된 셀 20 7 2 5" xfId="23769"/>
    <cellStyle name="연결된 셀 20 7 3" xfId="6632"/>
    <cellStyle name="연결된 셀 20 7 3 2" xfId="6633"/>
    <cellStyle name="연결된 셀 20 7 3 2 2" xfId="23774"/>
    <cellStyle name="연결된 셀 20 7 3 3" xfId="6634"/>
    <cellStyle name="연결된 셀 20 7 3 3 2" xfId="23775"/>
    <cellStyle name="연결된 셀 20 7 3 4" xfId="6635"/>
    <cellStyle name="연결된 셀 20 7 3 4 2" xfId="23776"/>
    <cellStyle name="연결된 셀 20 7 3 5" xfId="23773"/>
    <cellStyle name="연결된 셀 20 7 4" xfId="6636"/>
    <cellStyle name="연결된 셀 20 7 4 2" xfId="6637"/>
    <cellStyle name="연결된 셀 20 7 4 2 2" xfId="23778"/>
    <cellStyle name="연결된 셀 20 7 4 3" xfId="6638"/>
    <cellStyle name="연결된 셀 20 7 4 3 2" xfId="23779"/>
    <cellStyle name="연결된 셀 20 7 4 4" xfId="6639"/>
    <cellStyle name="연결된 셀 20 7 4 4 2" xfId="23780"/>
    <cellStyle name="연결된 셀 20 7 4 5" xfId="23777"/>
    <cellStyle name="연결된 셀 20 7 5" xfId="6640"/>
    <cellStyle name="연결된 셀 20 7 5 2" xfId="23781"/>
    <cellStyle name="연결된 셀 20 7 6" xfId="6641"/>
    <cellStyle name="연결된 셀 20 7 6 2" xfId="23782"/>
    <cellStyle name="연결된 셀 20 7 7" xfId="6642"/>
    <cellStyle name="연결된 셀 20 7 7 2" xfId="23783"/>
    <cellStyle name="연결된 셀 20 7 8" xfId="23768"/>
    <cellStyle name="연결된 셀 20 8" xfId="6643"/>
    <cellStyle name="연결된 셀 20 8 2" xfId="6644"/>
    <cellStyle name="연결된 셀 20 8 2 2" xfId="6645"/>
    <cellStyle name="연결된 셀 20 8 2 2 2" xfId="23786"/>
    <cellStyle name="연결된 셀 20 8 2 3" xfId="6646"/>
    <cellStyle name="연결된 셀 20 8 2 3 2" xfId="23787"/>
    <cellStyle name="연결된 셀 20 8 2 4" xfId="6647"/>
    <cellStyle name="연결된 셀 20 8 2 4 2" xfId="23788"/>
    <cellStyle name="연결된 셀 20 8 2 5" xfId="23785"/>
    <cellStyle name="연결된 셀 20 8 3" xfId="6648"/>
    <cellStyle name="연결된 셀 20 8 3 2" xfId="6649"/>
    <cellStyle name="연결된 셀 20 8 3 2 2" xfId="23790"/>
    <cellStyle name="연결된 셀 20 8 3 3" xfId="6650"/>
    <cellStyle name="연결된 셀 20 8 3 3 2" xfId="23791"/>
    <cellStyle name="연결된 셀 20 8 3 4" xfId="6651"/>
    <cellStyle name="연결된 셀 20 8 3 4 2" xfId="23792"/>
    <cellStyle name="연결된 셀 20 8 3 5" xfId="23789"/>
    <cellStyle name="연결된 셀 20 8 4" xfId="6652"/>
    <cellStyle name="연결된 셀 20 8 4 2" xfId="6653"/>
    <cellStyle name="연결된 셀 20 8 4 2 2" xfId="23794"/>
    <cellStyle name="연결된 셀 20 8 4 3" xfId="6654"/>
    <cellStyle name="연결된 셀 20 8 4 3 2" xfId="23795"/>
    <cellStyle name="연결된 셀 20 8 4 4" xfId="6655"/>
    <cellStyle name="연결된 셀 20 8 4 4 2" xfId="23796"/>
    <cellStyle name="연결된 셀 20 8 4 5" xfId="23793"/>
    <cellStyle name="연결된 셀 20 8 5" xfId="6656"/>
    <cellStyle name="연결된 셀 20 8 5 2" xfId="23797"/>
    <cellStyle name="연결된 셀 20 8 6" xfId="6657"/>
    <cellStyle name="연결된 셀 20 8 6 2" xfId="23798"/>
    <cellStyle name="연결된 셀 20 8 7" xfId="6658"/>
    <cellStyle name="연결된 셀 20 8 7 2" xfId="23799"/>
    <cellStyle name="연결된 셀 20 8 8" xfId="23784"/>
    <cellStyle name="연결된 셀 20 9" xfId="6659"/>
    <cellStyle name="연결된 셀 20 9 2" xfId="6660"/>
    <cellStyle name="연결된 셀 20 9 2 2" xfId="6661"/>
    <cellStyle name="연결된 셀 20 9 2 2 2" xfId="23802"/>
    <cellStyle name="연결된 셀 20 9 2 3" xfId="6662"/>
    <cellStyle name="연결된 셀 20 9 2 3 2" xfId="23803"/>
    <cellStyle name="연결된 셀 20 9 2 4" xfId="6663"/>
    <cellStyle name="연결된 셀 20 9 2 4 2" xfId="23804"/>
    <cellStyle name="연결된 셀 20 9 2 5" xfId="23801"/>
    <cellStyle name="연결된 셀 20 9 3" xfId="6664"/>
    <cellStyle name="연결된 셀 20 9 3 2" xfId="6665"/>
    <cellStyle name="연결된 셀 20 9 3 2 2" xfId="23806"/>
    <cellStyle name="연결된 셀 20 9 3 3" xfId="6666"/>
    <cellStyle name="연결된 셀 20 9 3 3 2" xfId="23807"/>
    <cellStyle name="연결된 셀 20 9 3 4" xfId="6667"/>
    <cellStyle name="연결된 셀 20 9 3 4 2" xfId="23808"/>
    <cellStyle name="연결된 셀 20 9 3 5" xfId="23805"/>
    <cellStyle name="연결된 셀 20 9 4" xfId="6668"/>
    <cellStyle name="연결된 셀 20 9 4 2" xfId="6669"/>
    <cellStyle name="연결된 셀 20 9 4 2 2" xfId="23810"/>
    <cellStyle name="연결된 셀 20 9 4 3" xfId="6670"/>
    <cellStyle name="연결된 셀 20 9 4 3 2" xfId="23811"/>
    <cellStyle name="연결된 셀 20 9 4 4" xfId="6671"/>
    <cellStyle name="연결된 셀 20 9 4 4 2" xfId="23812"/>
    <cellStyle name="연결된 셀 20 9 4 5" xfId="23809"/>
    <cellStyle name="연결된 셀 20 9 5" xfId="6672"/>
    <cellStyle name="연결된 셀 20 9 5 2" xfId="23813"/>
    <cellStyle name="연결된 셀 20 9 6" xfId="6673"/>
    <cellStyle name="연결된 셀 20 9 6 2" xfId="23814"/>
    <cellStyle name="연결된 셀 20 9 7" xfId="6674"/>
    <cellStyle name="연결된 셀 20 9 7 2" xfId="23815"/>
    <cellStyle name="연결된 셀 20 9 8" xfId="23800"/>
    <cellStyle name="연결된 셀 21" xfId="6675"/>
    <cellStyle name="연결된 셀 21 10" xfId="6676"/>
    <cellStyle name="연결된 셀 21 10 2" xfId="6677"/>
    <cellStyle name="연결된 셀 21 10 2 2" xfId="6678"/>
    <cellStyle name="연결된 셀 21 10 2 2 2" xfId="23819"/>
    <cellStyle name="연결된 셀 21 10 2 3" xfId="6679"/>
    <cellStyle name="연결된 셀 21 10 2 3 2" xfId="23820"/>
    <cellStyle name="연결된 셀 21 10 2 4" xfId="6680"/>
    <cellStyle name="연결된 셀 21 10 2 4 2" xfId="23821"/>
    <cellStyle name="연결된 셀 21 10 2 5" xfId="23818"/>
    <cellStyle name="연결된 셀 21 10 3" xfId="6681"/>
    <cellStyle name="연결된 셀 21 10 3 2" xfId="6682"/>
    <cellStyle name="연결된 셀 21 10 3 2 2" xfId="23823"/>
    <cellStyle name="연결된 셀 21 10 3 3" xfId="6683"/>
    <cellStyle name="연결된 셀 21 10 3 3 2" xfId="23824"/>
    <cellStyle name="연결된 셀 21 10 3 4" xfId="6684"/>
    <cellStyle name="연결된 셀 21 10 3 4 2" xfId="23825"/>
    <cellStyle name="연결된 셀 21 10 3 5" xfId="23822"/>
    <cellStyle name="연결된 셀 21 10 4" xfId="6685"/>
    <cellStyle name="연결된 셀 21 10 4 2" xfId="6686"/>
    <cellStyle name="연결된 셀 21 10 4 2 2" xfId="23827"/>
    <cellStyle name="연결된 셀 21 10 4 3" xfId="6687"/>
    <cellStyle name="연결된 셀 21 10 4 3 2" xfId="23828"/>
    <cellStyle name="연결된 셀 21 10 4 4" xfId="6688"/>
    <cellStyle name="연결된 셀 21 10 4 4 2" xfId="23829"/>
    <cellStyle name="연결된 셀 21 10 4 5" xfId="23826"/>
    <cellStyle name="연결된 셀 21 10 5" xfId="6689"/>
    <cellStyle name="연결된 셀 21 10 5 2" xfId="23830"/>
    <cellStyle name="연결된 셀 21 10 6" xfId="6690"/>
    <cellStyle name="연결된 셀 21 10 6 2" xfId="23831"/>
    <cellStyle name="연결된 셀 21 10 7" xfId="6691"/>
    <cellStyle name="연결된 셀 21 10 7 2" xfId="23832"/>
    <cellStyle name="연결된 셀 21 10 8" xfId="23817"/>
    <cellStyle name="연결된 셀 21 11" xfId="6692"/>
    <cellStyle name="연결된 셀 21 11 2" xfId="6693"/>
    <cellStyle name="연결된 셀 21 11 2 2" xfId="6694"/>
    <cellStyle name="연결된 셀 21 11 2 2 2" xfId="23835"/>
    <cellStyle name="연결된 셀 21 11 2 3" xfId="6695"/>
    <cellStyle name="연결된 셀 21 11 2 3 2" xfId="23836"/>
    <cellStyle name="연결된 셀 21 11 2 4" xfId="6696"/>
    <cellStyle name="연결된 셀 21 11 2 4 2" xfId="23837"/>
    <cellStyle name="연결된 셀 21 11 2 5" xfId="23834"/>
    <cellStyle name="연결된 셀 21 11 3" xfId="6697"/>
    <cellStyle name="연결된 셀 21 11 3 2" xfId="6698"/>
    <cellStyle name="연결된 셀 21 11 3 2 2" xfId="23839"/>
    <cellStyle name="연결된 셀 21 11 3 3" xfId="6699"/>
    <cellStyle name="연결된 셀 21 11 3 3 2" xfId="23840"/>
    <cellStyle name="연결된 셀 21 11 3 4" xfId="6700"/>
    <cellStyle name="연결된 셀 21 11 3 4 2" xfId="23841"/>
    <cellStyle name="연결된 셀 21 11 3 5" xfId="23838"/>
    <cellStyle name="연결된 셀 21 11 4" xfId="6701"/>
    <cellStyle name="연결된 셀 21 11 4 2" xfId="6702"/>
    <cellStyle name="연결된 셀 21 11 4 2 2" xfId="23843"/>
    <cellStyle name="연결된 셀 21 11 4 3" xfId="6703"/>
    <cellStyle name="연결된 셀 21 11 4 3 2" xfId="23844"/>
    <cellStyle name="연결된 셀 21 11 4 4" xfId="6704"/>
    <cellStyle name="연결된 셀 21 11 4 4 2" xfId="23845"/>
    <cellStyle name="연결된 셀 21 11 4 5" xfId="23842"/>
    <cellStyle name="연결된 셀 21 11 5" xfId="6705"/>
    <cellStyle name="연결된 셀 21 11 5 2" xfId="23846"/>
    <cellStyle name="연결된 셀 21 11 6" xfId="6706"/>
    <cellStyle name="연결된 셀 21 11 6 2" xfId="23847"/>
    <cellStyle name="연결된 셀 21 11 7" xfId="6707"/>
    <cellStyle name="연결된 셀 21 11 7 2" xfId="23848"/>
    <cellStyle name="연결된 셀 21 11 8" xfId="23833"/>
    <cellStyle name="연결된 셀 21 12" xfId="6708"/>
    <cellStyle name="연결된 셀 21 12 2" xfId="6709"/>
    <cellStyle name="연결된 셀 21 12 2 2" xfId="6710"/>
    <cellStyle name="연결된 셀 21 12 2 2 2" xfId="23851"/>
    <cellStyle name="연결된 셀 21 12 2 3" xfId="6711"/>
    <cellStyle name="연결된 셀 21 12 2 3 2" xfId="23852"/>
    <cellStyle name="연결된 셀 21 12 2 4" xfId="6712"/>
    <cellStyle name="연결된 셀 21 12 2 4 2" xfId="23853"/>
    <cellStyle name="연결된 셀 21 12 2 5" xfId="23850"/>
    <cellStyle name="연결된 셀 21 12 3" xfId="6713"/>
    <cellStyle name="연결된 셀 21 12 3 2" xfId="6714"/>
    <cellStyle name="연결된 셀 21 12 3 2 2" xfId="23855"/>
    <cellStyle name="연결된 셀 21 12 3 3" xfId="6715"/>
    <cellStyle name="연결된 셀 21 12 3 3 2" xfId="23856"/>
    <cellStyle name="연결된 셀 21 12 3 4" xfId="6716"/>
    <cellStyle name="연결된 셀 21 12 3 4 2" xfId="23857"/>
    <cellStyle name="연결된 셀 21 12 3 5" xfId="23854"/>
    <cellStyle name="연결된 셀 21 12 4" xfId="6717"/>
    <cellStyle name="연결된 셀 21 12 4 2" xfId="6718"/>
    <cellStyle name="연결된 셀 21 12 4 2 2" xfId="23859"/>
    <cellStyle name="연결된 셀 21 12 4 3" xfId="6719"/>
    <cellStyle name="연결된 셀 21 12 4 3 2" xfId="23860"/>
    <cellStyle name="연결된 셀 21 12 4 4" xfId="6720"/>
    <cellStyle name="연결된 셀 21 12 4 4 2" xfId="23861"/>
    <cellStyle name="연결된 셀 21 12 4 5" xfId="23858"/>
    <cellStyle name="연결된 셀 21 12 5" xfId="6721"/>
    <cellStyle name="연결된 셀 21 12 5 2" xfId="23862"/>
    <cellStyle name="연결된 셀 21 12 6" xfId="6722"/>
    <cellStyle name="연결된 셀 21 12 6 2" xfId="23863"/>
    <cellStyle name="연결된 셀 21 12 7" xfId="6723"/>
    <cellStyle name="연결된 셀 21 12 7 2" xfId="23864"/>
    <cellStyle name="연결된 셀 21 12 8" xfId="23849"/>
    <cellStyle name="연결된 셀 21 13" xfId="6724"/>
    <cellStyle name="연결된 셀 21 13 2" xfId="6725"/>
    <cellStyle name="연결된 셀 21 13 2 2" xfId="23866"/>
    <cellStyle name="연결된 셀 21 13 3" xfId="6726"/>
    <cellStyle name="연결된 셀 21 13 3 2" xfId="23867"/>
    <cellStyle name="연결된 셀 21 13 4" xfId="6727"/>
    <cellStyle name="연결된 셀 21 13 4 2" xfId="23868"/>
    <cellStyle name="연결된 셀 21 13 5" xfId="23865"/>
    <cellStyle name="연결된 셀 21 14" xfId="6728"/>
    <cellStyle name="연결된 셀 21 14 2" xfId="23869"/>
    <cellStyle name="연결된 셀 21 15" xfId="6729"/>
    <cellStyle name="연결된 셀 21 15 2" xfId="23870"/>
    <cellStyle name="연결된 셀 21 16" xfId="6730"/>
    <cellStyle name="연결된 셀 21 16 2" xfId="23871"/>
    <cellStyle name="연결된 셀 21 17" xfId="23816"/>
    <cellStyle name="연결된 셀 21 2" xfId="6731"/>
    <cellStyle name="연결된 셀 21 2 10" xfId="6732"/>
    <cellStyle name="연결된 셀 21 2 10 2" xfId="6733"/>
    <cellStyle name="연결된 셀 21 2 10 2 2" xfId="6734"/>
    <cellStyle name="연결된 셀 21 2 10 2 2 2" xfId="23875"/>
    <cellStyle name="연결된 셀 21 2 10 2 3" xfId="6735"/>
    <cellStyle name="연결된 셀 21 2 10 2 3 2" xfId="23876"/>
    <cellStyle name="연결된 셀 21 2 10 2 4" xfId="6736"/>
    <cellStyle name="연결된 셀 21 2 10 2 4 2" xfId="23877"/>
    <cellStyle name="연결된 셀 21 2 10 2 5" xfId="23874"/>
    <cellStyle name="연결된 셀 21 2 10 3" xfId="6737"/>
    <cellStyle name="연결된 셀 21 2 10 3 2" xfId="6738"/>
    <cellStyle name="연결된 셀 21 2 10 3 2 2" xfId="23879"/>
    <cellStyle name="연결된 셀 21 2 10 3 3" xfId="6739"/>
    <cellStyle name="연결된 셀 21 2 10 3 3 2" xfId="23880"/>
    <cellStyle name="연결된 셀 21 2 10 3 4" xfId="6740"/>
    <cellStyle name="연결된 셀 21 2 10 3 4 2" xfId="23881"/>
    <cellStyle name="연결된 셀 21 2 10 3 5" xfId="23878"/>
    <cellStyle name="연결된 셀 21 2 10 4" xfId="6741"/>
    <cellStyle name="연결된 셀 21 2 10 4 2" xfId="6742"/>
    <cellStyle name="연결된 셀 21 2 10 4 2 2" xfId="23883"/>
    <cellStyle name="연결된 셀 21 2 10 4 3" xfId="6743"/>
    <cellStyle name="연결된 셀 21 2 10 4 3 2" xfId="23884"/>
    <cellStyle name="연결된 셀 21 2 10 4 4" xfId="6744"/>
    <cellStyle name="연결된 셀 21 2 10 4 4 2" xfId="23885"/>
    <cellStyle name="연결된 셀 21 2 10 4 5" xfId="23882"/>
    <cellStyle name="연결된 셀 21 2 10 5" xfId="6745"/>
    <cellStyle name="연결된 셀 21 2 10 5 2" xfId="23886"/>
    <cellStyle name="연결된 셀 21 2 10 6" xfId="6746"/>
    <cellStyle name="연결된 셀 21 2 10 6 2" xfId="23887"/>
    <cellStyle name="연결된 셀 21 2 10 7" xfId="6747"/>
    <cellStyle name="연결된 셀 21 2 10 7 2" xfId="23888"/>
    <cellStyle name="연결된 셀 21 2 10 8" xfId="23873"/>
    <cellStyle name="연결된 셀 21 2 11" xfId="6748"/>
    <cellStyle name="연결된 셀 21 2 11 2" xfId="6749"/>
    <cellStyle name="연결된 셀 21 2 11 2 2" xfId="6750"/>
    <cellStyle name="연결된 셀 21 2 11 2 2 2" xfId="23891"/>
    <cellStyle name="연결된 셀 21 2 11 2 3" xfId="6751"/>
    <cellStyle name="연결된 셀 21 2 11 2 3 2" xfId="23892"/>
    <cellStyle name="연결된 셀 21 2 11 2 4" xfId="6752"/>
    <cellStyle name="연결된 셀 21 2 11 2 4 2" xfId="23893"/>
    <cellStyle name="연결된 셀 21 2 11 2 5" xfId="23890"/>
    <cellStyle name="연결된 셀 21 2 11 3" xfId="6753"/>
    <cellStyle name="연결된 셀 21 2 11 3 2" xfId="6754"/>
    <cellStyle name="연결된 셀 21 2 11 3 2 2" xfId="23895"/>
    <cellStyle name="연결된 셀 21 2 11 3 3" xfId="6755"/>
    <cellStyle name="연결된 셀 21 2 11 3 3 2" xfId="23896"/>
    <cellStyle name="연결된 셀 21 2 11 3 4" xfId="6756"/>
    <cellStyle name="연결된 셀 21 2 11 3 4 2" xfId="23897"/>
    <cellStyle name="연결된 셀 21 2 11 3 5" xfId="23894"/>
    <cellStyle name="연결된 셀 21 2 11 4" xfId="6757"/>
    <cellStyle name="연결된 셀 21 2 11 4 2" xfId="6758"/>
    <cellStyle name="연결된 셀 21 2 11 4 2 2" xfId="23899"/>
    <cellStyle name="연결된 셀 21 2 11 4 3" xfId="6759"/>
    <cellStyle name="연결된 셀 21 2 11 4 3 2" xfId="23900"/>
    <cellStyle name="연결된 셀 21 2 11 4 4" xfId="6760"/>
    <cellStyle name="연결된 셀 21 2 11 4 4 2" xfId="23901"/>
    <cellStyle name="연결된 셀 21 2 11 4 5" xfId="23898"/>
    <cellStyle name="연결된 셀 21 2 11 5" xfId="6761"/>
    <cellStyle name="연결된 셀 21 2 11 5 2" xfId="23902"/>
    <cellStyle name="연결된 셀 21 2 11 6" xfId="6762"/>
    <cellStyle name="연결된 셀 21 2 11 6 2" xfId="23903"/>
    <cellStyle name="연결된 셀 21 2 11 7" xfId="6763"/>
    <cellStyle name="연결된 셀 21 2 11 7 2" xfId="23904"/>
    <cellStyle name="연결된 셀 21 2 11 8" xfId="23889"/>
    <cellStyle name="연결된 셀 21 2 12" xfId="6764"/>
    <cellStyle name="연결된 셀 21 2 12 2" xfId="6765"/>
    <cellStyle name="연결된 셀 21 2 12 2 2" xfId="23906"/>
    <cellStyle name="연결된 셀 21 2 12 3" xfId="6766"/>
    <cellStyle name="연결된 셀 21 2 12 3 2" xfId="23907"/>
    <cellStyle name="연결된 셀 21 2 12 4" xfId="6767"/>
    <cellStyle name="연결된 셀 21 2 12 4 2" xfId="23908"/>
    <cellStyle name="연결된 셀 21 2 12 5" xfId="23905"/>
    <cellStyle name="연결된 셀 21 2 13" xfId="6768"/>
    <cellStyle name="연결된 셀 21 2 13 2" xfId="23909"/>
    <cellStyle name="연결된 셀 21 2 14" xfId="6769"/>
    <cellStyle name="연결된 셀 21 2 14 2" xfId="23910"/>
    <cellStyle name="연결된 셀 21 2 15" xfId="6770"/>
    <cellStyle name="연결된 셀 21 2 15 2" xfId="23911"/>
    <cellStyle name="연결된 셀 21 2 16" xfId="23872"/>
    <cellStyle name="연결된 셀 21 2 2" xfId="6771"/>
    <cellStyle name="연결된 셀 21 2 2 2" xfId="6772"/>
    <cellStyle name="연결된 셀 21 2 2 2 2" xfId="6773"/>
    <cellStyle name="연결된 셀 21 2 2 2 2 2" xfId="23914"/>
    <cellStyle name="연결된 셀 21 2 2 2 3" xfId="6774"/>
    <cellStyle name="연결된 셀 21 2 2 2 3 2" xfId="23915"/>
    <cellStyle name="연결된 셀 21 2 2 2 4" xfId="6775"/>
    <cellStyle name="연결된 셀 21 2 2 2 4 2" xfId="23916"/>
    <cellStyle name="연결된 셀 21 2 2 2 5" xfId="23913"/>
    <cellStyle name="연결된 셀 21 2 2 3" xfId="6776"/>
    <cellStyle name="연결된 셀 21 2 2 3 2" xfId="6777"/>
    <cellStyle name="연결된 셀 21 2 2 3 2 2" xfId="23918"/>
    <cellStyle name="연결된 셀 21 2 2 3 3" xfId="6778"/>
    <cellStyle name="연결된 셀 21 2 2 3 3 2" xfId="23919"/>
    <cellStyle name="연결된 셀 21 2 2 3 4" xfId="6779"/>
    <cellStyle name="연결된 셀 21 2 2 3 4 2" xfId="23920"/>
    <cellStyle name="연결된 셀 21 2 2 3 5" xfId="23917"/>
    <cellStyle name="연결된 셀 21 2 2 4" xfId="6780"/>
    <cellStyle name="연결된 셀 21 2 2 4 2" xfId="6781"/>
    <cellStyle name="연결된 셀 21 2 2 4 2 2" xfId="23922"/>
    <cellStyle name="연결된 셀 21 2 2 4 3" xfId="6782"/>
    <cellStyle name="연결된 셀 21 2 2 4 3 2" xfId="23923"/>
    <cellStyle name="연결된 셀 21 2 2 4 4" xfId="6783"/>
    <cellStyle name="연결된 셀 21 2 2 4 4 2" xfId="23924"/>
    <cellStyle name="연결된 셀 21 2 2 4 5" xfId="23921"/>
    <cellStyle name="연결된 셀 21 2 2 5" xfId="6784"/>
    <cellStyle name="연결된 셀 21 2 2 5 2" xfId="23925"/>
    <cellStyle name="연결된 셀 21 2 2 6" xfId="6785"/>
    <cellStyle name="연결된 셀 21 2 2 6 2" xfId="23926"/>
    <cellStyle name="연결된 셀 21 2 2 7" xfId="6786"/>
    <cellStyle name="연결된 셀 21 2 2 7 2" xfId="23927"/>
    <cellStyle name="연결된 셀 21 2 2 8" xfId="23912"/>
    <cellStyle name="연결된 셀 21 2 3" xfId="6787"/>
    <cellStyle name="연결된 셀 21 2 3 2" xfId="6788"/>
    <cellStyle name="연결된 셀 21 2 3 2 2" xfId="6789"/>
    <cellStyle name="연결된 셀 21 2 3 2 2 2" xfId="23930"/>
    <cellStyle name="연결된 셀 21 2 3 2 3" xfId="6790"/>
    <cellStyle name="연결된 셀 21 2 3 2 3 2" xfId="23931"/>
    <cellStyle name="연결된 셀 21 2 3 2 4" xfId="6791"/>
    <cellStyle name="연결된 셀 21 2 3 2 4 2" xfId="23932"/>
    <cellStyle name="연결된 셀 21 2 3 2 5" xfId="23929"/>
    <cellStyle name="연결된 셀 21 2 3 3" xfId="6792"/>
    <cellStyle name="연결된 셀 21 2 3 3 2" xfId="6793"/>
    <cellStyle name="연결된 셀 21 2 3 3 2 2" xfId="23934"/>
    <cellStyle name="연결된 셀 21 2 3 3 3" xfId="6794"/>
    <cellStyle name="연결된 셀 21 2 3 3 3 2" xfId="23935"/>
    <cellStyle name="연결된 셀 21 2 3 3 4" xfId="6795"/>
    <cellStyle name="연결된 셀 21 2 3 3 4 2" xfId="23936"/>
    <cellStyle name="연결된 셀 21 2 3 3 5" xfId="23933"/>
    <cellStyle name="연결된 셀 21 2 3 4" xfId="6796"/>
    <cellStyle name="연결된 셀 21 2 3 4 2" xfId="6797"/>
    <cellStyle name="연결된 셀 21 2 3 4 2 2" xfId="23938"/>
    <cellStyle name="연결된 셀 21 2 3 4 3" xfId="6798"/>
    <cellStyle name="연결된 셀 21 2 3 4 3 2" xfId="23939"/>
    <cellStyle name="연결된 셀 21 2 3 4 4" xfId="6799"/>
    <cellStyle name="연결된 셀 21 2 3 4 4 2" xfId="23940"/>
    <cellStyle name="연결된 셀 21 2 3 4 5" xfId="23937"/>
    <cellStyle name="연결된 셀 21 2 3 5" xfId="6800"/>
    <cellStyle name="연결된 셀 21 2 3 5 2" xfId="23941"/>
    <cellStyle name="연결된 셀 21 2 3 6" xfId="6801"/>
    <cellStyle name="연결된 셀 21 2 3 6 2" xfId="23942"/>
    <cellStyle name="연결된 셀 21 2 3 7" xfId="6802"/>
    <cellStyle name="연결된 셀 21 2 3 7 2" xfId="23943"/>
    <cellStyle name="연결된 셀 21 2 3 8" xfId="23928"/>
    <cellStyle name="연결된 셀 21 2 4" xfId="6803"/>
    <cellStyle name="연결된 셀 21 2 4 2" xfId="6804"/>
    <cellStyle name="연결된 셀 21 2 4 2 2" xfId="6805"/>
    <cellStyle name="연결된 셀 21 2 4 2 2 2" xfId="23946"/>
    <cellStyle name="연결된 셀 21 2 4 2 3" xfId="6806"/>
    <cellStyle name="연결된 셀 21 2 4 2 3 2" xfId="23947"/>
    <cellStyle name="연결된 셀 21 2 4 2 4" xfId="6807"/>
    <cellStyle name="연결된 셀 21 2 4 2 4 2" xfId="23948"/>
    <cellStyle name="연결된 셀 21 2 4 2 5" xfId="23945"/>
    <cellStyle name="연결된 셀 21 2 4 3" xfId="6808"/>
    <cellStyle name="연결된 셀 21 2 4 3 2" xfId="6809"/>
    <cellStyle name="연결된 셀 21 2 4 3 2 2" xfId="23950"/>
    <cellStyle name="연결된 셀 21 2 4 3 3" xfId="6810"/>
    <cellStyle name="연결된 셀 21 2 4 3 3 2" xfId="23951"/>
    <cellStyle name="연결된 셀 21 2 4 3 4" xfId="6811"/>
    <cellStyle name="연결된 셀 21 2 4 3 4 2" xfId="23952"/>
    <cellStyle name="연결된 셀 21 2 4 3 5" xfId="23949"/>
    <cellStyle name="연결된 셀 21 2 4 4" xfId="6812"/>
    <cellStyle name="연결된 셀 21 2 4 4 2" xfId="6813"/>
    <cellStyle name="연결된 셀 21 2 4 4 2 2" xfId="23954"/>
    <cellStyle name="연결된 셀 21 2 4 4 3" xfId="6814"/>
    <cellStyle name="연결된 셀 21 2 4 4 3 2" xfId="23955"/>
    <cellStyle name="연결된 셀 21 2 4 4 4" xfId="6815"/>
    <cellStyle name="연결된 셀 21 2 4 4 4 2" xfId="23956"/>
    <cellStyle name="연결된 셀 21 2 4 4 5" xfId="23953"/>
    <cellStyle name="연결된 셀 21 2 4 5" xfId="6816"/>
    <cellStyle name="연결된 셀 21 2 4 5 2" xfId="23957"/>
    <cellStyle name="연결된 셀 21 2 4 6" xfId="6817"/>
    <cellStyle name="연결된 셀 21 2 4 6 2" xfId="23958"/>
    <cellStyle name="연결된 셀 21 2 4 7" xfId="6818"/>
    <cellStyle name="연결된 셀 21 2 4 7 2" xfId="23959"/>
    <cellStyle name="연결된 셀 21 2 4 8" xfId="23944"/>
    <cellStyle name="연결된 셀 21 2 5" xfId="6819"/>
    <cellStyle name="연결된 셀 21 2 5 2" xfId="6820"/>
    <cellStyle name="연결된 셀 21 2 5 2 2" xfId="6821"/>
    <cellStyle name="연결된 셀 21 2 5 2 2 2" xfId="23962"/>
    <cellStyle name="연결된 셀 21 2 5 2 3" xfId="6822"/>
    <cellStyle name="연결된 셀 21 2 5 2 3 2" xfId="23963"/>
    <cellStyle name="연결된 셀 21 2 5 2 4" xfId="6823"/>
    <cellStyle name="연결된 셀 21 2 5 2 4 2" xfId="23964"/>
    <cellStyle name="연결된 셀 21 2 5 2 5" xfId="23961"/>
    <cellStyle name="연결된 셀 21 2 5 3" xfId="6824"/>
    <cellStyle name="연결된 셀 21 2 5 3 2" xfId="6825"/>
    <cellStyle name="연결된 셀 21 2 5 3 2 2" xfId="23966"/>
    <cellStyle name="연결된 셀 21 2 5 3 3" xfId="6826"/>
    <cellStyle name="연결된 셀 21 2 5 3 3 2" xfId="23967"/>
    <cellStyle name="연결된 셀 21 2 5 3 4" xfId="6827"/>
    <cellStyle name="연결된 셀 21 2 5 3 4 2" xfId="23968"/>
    <cellStyle name="연결된 셀 21 2 5 3 5" xfId="23965"/>
    <cellStyle name="연결된 셀 21 2 5 4" xfId="6828"/>
    <cellStyle name="연결된 셀 21 2 5 4 2" xfId="6829"/>
    <cellStyle name="연결된 셀 21 2 5 4 2 2" xfId="23970"/>
    <cellStyle name="연결된 셀 21 2 5 4 3" xfId="6830"/>
    <cellStyle name="연결된 셀 21 2 5 4 3 2" xfId="23971"/>
    <cellStyle name="연결된 셀 21 2 5 4 4" xfId="6831"/>
    <cellStyle name="연결된 셀 21 2 5 4 4 2" xfId="23972"/>
    <cellStyle name="연결된 셀 21 2 5 4 5" xfId="23969"/>
    <cellStyle name="연결된 셀 21 2 5 5" xfId="6832"/>
    <cellStyle name="연결된 셀 21 2 5 5 2" xfId="23973"/>
    <cellStyle name="연결된 셀 21 2 5 6" xfId="6833"/>
    <cellStyle name="연결된 셀 21 2 5 6 2" xfId="23974"/>
    <cellStyle name="연결된 셀 21 2 5 7" xfId="6834"/>
    <cellStyle name="연결된 셀 21 2 5 7 2" xfId="23975"/>
    <cellStyle name="연결된 셀 21 2 5 8" xfId="23960"/>
    <cellStyle name="연결된 셀 21 2 6" xfId="6835"/>
    <cellStyle name="연결된 셀 21 2 6 2" xfId="6836"/>
    <cellStyle name="연결된 셀 21 2 6 2 2" xfId="6837"/>
    <cellStyle name="연결된 셀 21 2 6 2 2 2" xfId="23978"/>
    <cellStyle name="연결된 셀 21 2 6 2 3" xfId="6838"/>
    <cellStyle name="연결된 셀 21 2 6 2 3 2" xfId="23979"/>
    <cellStyle name="연결된 셀 21 2 6 2 4" xfId="6839"/>
    <cellStyle name="연결된 셀 21 2 6 2 4 2" xfId="23980"/>
    <cellStyle name="연결된 셀 21 2 6 2 5" xfId="23977"/>
    <cellStyle name="연결된 셀 21 2 6 3" xfId="6840"/>
    <cellStyle name="연결된 셀 21 2 6 3 2" xfId="6841"/>
    <cellStyle name="연결된 셀 21 2 6 3 2 2" xfId="23982"/>
    <cellStyle name="연결된 셀 21 2 6 3 3" xfId="6842"/>
    <cellStyle name="연결된 셀 21 2 6 3 3 2" xfId="23983"/>
    <cellStyle name="연결된 셀 21 2 6 3 4" xfId="6843"/>
    <cellStyle name="연결된 셀 21 2 6 3 4 2" xfId="23984"/>
    <cellStyle name="연결된 셀 21 2 6 3 5" xfId="23981"/>
    <cellStyle name="연결된 셀 21 2 6 4" xfId="6844"/>
    <cellStyle name="연결된 셀 21 2 6 4 2" xfId="6845"/>
    <cellStyle name="연결된 셀 21 2 6 4 2 2" xfId="23986"/>
    <cellStyle name="연결된 셀 21 2 6 4 3" xfId="6846"/>
    <cellStyle name="연결된 셀 21 2 6 4 3 2" xfId="23987"/>
    <cellStyle name="연결된 셀 21 2 6 4 4" xfId="6847"/>
    <cellStyle name="연결된 셀 21 2 6 4 4 2" xfId="23988"/>
    <cellStyle name="연결된 셀 21 2 6 4 5" xfId="23985"/>
    <cellStyle name="연결된 셀 21 2 6 5" xfId="6848"/>
    <cellStyle name="연결된 셀 21 2 6 5 2" xfId="23989"/>
    <cellStyle name="연결된 셀 21 2 6 6" xfId="6849"/>
    <cellStyle name="연결된 셀 21 2 6 6 2" xfId="23990"/>
    <cellStyle name="연결된 셀 21 2 6 7" xfId="6850"/>
    <cellStyle name="연결된 셀 21 2 6 7 2" xfId="23991"/>
    <cellStyle name="연결된 셀 21 2 6 8" xfId="23976"/>
    <cellStyle name="연결된 셀 21 2 7" xfId="6851"/>
    <cellStyle name="연결된 셀 21 2 7 2" xfId="6852"/>
    <cellStyle name="연결된 셀 21 2 7 2 2" xfId="6853"/>
    <cellStyle name="연결된 셀 21 2 7 2 2 2" xfId="23994"/>
    <cellStyle name="연결된 셀 21 2 7 2 3" xfId="6854"/>
    <cellStyle name="연결된 셀 21 2 7 2 3 2" xfId="23995"/>
    <cellStyle name="연결된 셀 21 2 7 2 4" xfId="6855"/>
    <cellStyle name="연결된 셀 21 2 7 2 4 2" xfId="23996"/>
    <cellStyle name="연결된 셀 21 2 7 2 5" xfId="23993"/>
    <cellStyle name="연결된 셀 21 2 7 3" xfId="6856"/>
    <cellStyle name="연결된 셀 21 2 7 3 2" xfId="6857"/>
    <cellStyle name="연결된 셀 21 2 7 3 2 2" xfId="23998"/>
    <cellStyle name="연결된 셀 21 2 7 3 3" xfId="6858"/>
    <cellStyle name="연결된 셀 21 2 7 3 3 2" xfId="23999"/>
    <cellStyle name="연결된 셀 21 2 7 3 4" xfId="6859"/>
    <cellStyle name="연결된 셀 21 2 7 3 4 2" xfId="24000"/>
    <cellStyle name="연결된 셀 21 2 7 3 5" xfId="23997"/>
    <cellStyle name="연결된 셀 21 2 7 4" xfId="6860"/>
    <cellStyle name="연결된 셀 21 2 7 4 2" xfId="6861"/>
    <cellStyle name="연결된 셀 21 2 7 4 2 2" xfId="24002"/>
    <cellStyle name="연결된 셀 21 2 7 4 3" xfId="6862"/>
    <cellStyle name="연결된 셀 21 2 7 4 3 2" xfId="24003"/>
    <cellStyle name="연결된 셀 21 2 7 4 4" xfId="6863"/>
    <cellStyle name="연결된 셀 21 2 7 4 4 2" xfId="24004"/>
    <cellStyle name="연결된 셀 21 2 7 4 5" xfId="24001"/>
    <cellStyle name="연결된 셀 21 2 7 5" xfId="6864"/>
    <cellStyle name="연결된 셀 21 2 7 5 2" xfId="24005"/>
    <cellStyle name="연결된 셀 21 2 7 6" xfId="6865"/>
    <cellStyle name="연결된 셀 21 2 7 6 2" xfId="24006"/>
    <cellStyle name="연결된 셀 21 2 7 7" xfId="6866"/>
    <cellStyle name="연결된 셀 21 2 7 7 2" xfId="24007"/>
    <cellStyle name="연결된 셀 21 2 7 8" xfId="23992"/>
    <cellStyle name="연결된 셀 21 2 8" xfId="6867"/>
    <cellStyle name="연결된 셀 21 2 8 2" xfId="6868"/>
    <cellStyle name="연결된 셀 21 2 8 2 2" xfId="6869"/>
    <cellStyle name="연결된 셀 21 2 8 2 2 2" xfId="24010"/>
    <cellStyle name="연결된 셀 21 2 8 2 3" xfId="6870"/>
    <cellStyle name="연결된 셀 21 2 8 2 3 2" xfId="24011"/>
    <cellStyle name="연결된 셀 21 2 8 2 4" xfId="6871"/>
    <cellStyle name="연결된 셀 21 2 8 2 4 2" xfId="24012"/>
    <cellStyle name="연결된 셀 21 2 8 2 5" xfId="24009"/>
    <cellStyle name="연결된 셀 21 2 8 3" xfId="6872"/>
    <cellStyle name="연결된 셀 21 2 8 3 2" xfId="6873"/>
    <cellStyle name="연결된 셀 21 2 8 3 2 2" xfId="24014"/>
    <cellStyle name="연결된 셀 21 2 8 3 3" xfId="6874"/>
    <cellStyle name="연결된 셀 21 2 8 3 3 2" xfId="24015"/>
    <cellStyle name="연결된 셀 21 2 8 3 4" xfId="6875"/>
    <cellStyle name="연결된 셀 21 2 8 3 4 2" xfId="24016"/>
    <cellStyle name="연결된 셀 21 2 8 3 5" xfId="24013"/>
    <cellStyle name="연결된 셀 21 2 8 4" xfId="6876"/>
    <cellStyle name="연결된 셀 21 2 8 4 2" xfId="6877"/>
    <cellStyle name="연결된 셀 21 2 8 4 2 2" xfId="24018"/>
    <cellStyle name="연결된 셀 21 2 8 4 3" xfId="6878"/>
    <cellStyle name="연결된 셀 21 2 8 4 3 2" xfId="24019"/>
    <cellStyle name="연결된 셀 21 2 8 4 4" xfId="6879"/>
    <cellStyle name="연결된 셀 21 2 8 4 4 2" xfId="24020"/>
    <cellStyle name="연결된 셀 21 2 8 4 5" xfId="24017"/>
    <cellStyle name="연결된 셀 21 2 8 5" xfId="6880"/>
    <cellStyle name="연결된 셀 21 2 8 5 2" xfId="24021"/>
    <cellStyle name="연결된 셀 21 2 8 6" xfId="6881"/>
    <cellStyle name="연결된 셀 21 2 8 6 2" xfId="24022"/>
    <cellStyle name="연결된 셀 21 2 8 7" xfId="6882"/>
    <cellStyle name="연결된 셀 21 2 8 7 2" xfId="24023"/>
    <cellStyle name="연결된 셀 21 2 8 8" xfId="24008"/>
    <cellStyle name="연결된 셀 21 2 9" xfId="6883"/>
    <cellStyle name="연결된 셀 21 2 9 2" xfId="6884"/>
    <cellStyle name="연결된 셀 21 2 9 2 2" xfId="6885"/>
    <cellStyle name="연결된 셀 21 2 9 2 2 2" xfId="24026"/>
    <cellStyle name="연결된 셀 21 2 9 2 3" xfId="6886"/>
    <cellStyle name="연결된 셀 21 2 9 2 3 2" xfId="24027"/>
    <cellStyle name="연결된 셀 21 2 9 2 4" xfId="6887"/>
    <cellStyle name="연결된 셀 21 2 9 2 4 2" xfId="24028"/>
    <cellStyle name="연결된 셀 21 2 9 2 5" xfId="24025"/>
    <cellStyle name="연결된 셀 21 2 9 3" xfId="6888"/>
    <cellStyle name="연결된 셀 21 2 9 3 2" xfId="6889"/>
    <cellStyle name="연결된 셀 21 2 9 3 2 2" xfId="24030"/>
    <cellStyle name="연결된 셀 21 2 9 3 3" xfId="6890"/>
    <cellStyle name="연결된 셀 21 2 9 3 3 2" xfId="24031"/>
    <cellStyle name="연결된 셀 21 2 9 3 4" xfId="6891"/>
    <cellStyle name="연결된 셀 21 2 9 3 4 2" xfId="24032"/>
    <cellStyle name="연결된 셀 21 2 9 3 5" xfId="24029"/>
    <cellStyle name="연결된 셀 21 2 9 4" xfId="6892"/>
    <cellStyle name="연결된 셀 21 2 9 4 2" xfId="6893"/>
    <cellStyle name="연결된 셀 21 2 9 4 2 2" xfId="24034"/>
    <cellStyle name="연결된 셀 21 2 9 4 3" xfId="6894"/>
    <cellStyle name="연결된 셀 21 2 9 4 3 2" xfId="24035"/>
    <cellStyle name="연결된 셀 21 2 9 4 4" xfId="6895"/>
    <cellStyle name="연결된 셀 21 2 9 4 4 2" xfId="24036"/>
    <cellStyle name="연결된 셀 21 2 9 4 5" xfId="24033"/>
    <cellStyle name="연결된 셀 21 2 9 5" xfId="6896"/>
    <cellStyle name="연결된 셀 21 2 9 5 2" xfId="24037"/>
    <cellStyle name="연결된 셀 21 2 9 6" xfId="6897"/>
    <cellStyle name="연결된 셀 21 2 9 6 2" xfId="24038"/>
    <cellStyle name="연결된 셀 21 2 9 7" xfId="6898"/>
    <cellStyle name="연결된 셀 21 2 9 7 2" xfId="24039"/>
    <cellStyle name="연결된 셀 21 2 9 8" xfId="24024"/>
    <cellStyle name="연결된 셀 21 3" xfId="6899"/>
    <cellStyle name="연결된 셀 21 3 2" xfId="6900"/>
    <cellStyle name="연결된 셀 21 3 2 2" xfId="6901"/>
    <cellStyle name="연결된 셀 21 3 2 2 2" xfId="24042"/>
    <cellStyle name="연결된 셀 21 3 2 3" xfId="6902"/>
    <cellStyle name="연결된 셀 21 3 2 3 2" xfId="24043"/>
    <cellStyle name="연결된 셀 21 3 2 4" xfId="6903"/>
    <cellStyle name="연결된 셀 21 3 2 4 2" xfId="24044"/>
    <cellStyle name="연결된 셀 21 3 2 5" xfId="24041"/>
    <cellStyle name="연결된 셀 21 3 3" xfId="6904"/>
    <cellStyle name="연결된 셀 21 3 3 2" xfId="6905"/>
    <cellStyle name="연결된 셀 21 3 3 2 2" xfId="24046"/>
    <cellStyle name="연결된 셀 21 3 3 3" xfId="6906"/>
    <cellStyle name="연결된 셀 21 3 3 3 2" xfId="24047"/>
    <cellStyle name="연결된 셀 21 3 3 4" xfId="6907"/>
    <cellStyle name="연결된 셀 21 3 3 4 2" xfId="24048"/>
    <cellStyle name="연결된 셀 21 3 3 5" xfId="24045"/>
    <cellStyle name="연결된 셀 21 3 4" xfId="6908"/>
    <cellStyle name="연결된 셀 21 3 4 2" xfId="6909"/>
    <cellStyle name="연결된 셀 21 3 4 2 2" xfId="24050"/>
    <cellStyle name="연결된 셀 21 3 4 3" xfId="6910"/>
    <cellStyle name="연결된 셀 21 3 4 3 2" xfId="24051"/>
    <cellStyle name="연결된 셀 21 3 4 4" xfId="6911"/>
    <cellStyle name="연결된 셀 21 3 4 4 2" xfId="24052"/>
    <cellStyle name="연결된 셀 21 3 4 5" xfId="24049"/>
    <cellStyle name="연결된 셀 21 3 5" xfId="6912"/>
    <cellStyle name="연결된 셀 21 3 5 2" xfId="24053"/>
    <cellStyle name="연결된 셀 21 3 6" xfId="6913"/>
    <cellStyle name="연결된 셀 21 3 6 2" xfId="24054"/>
    <cellStyle name="연결된 셀 21 3 7" xfId="6914"/>
    <cellStyle name="연결된 셀 21 3 7 2" xfId="24055"/>
    <cellStyle name="연결된 셀 21 3 8" xfId="24040"/>
    <cellStyle name="연결된 셀 21 4" xfId="6915"/>
    <cellStyle name="연결된 셀 21 4 2" xfId="6916"/>
    <cellStyle name="연결된 셀 21 4 2 2" xfId="6917"/>
    <cellStyle name="연결된 셀 21 4 2 2 2" xfId="24058"/>
    <cellStyle name="연결된 셀 21 4 2 3" xfId="6918"/>
    <cellStyle name="연결된 셀 21 4 2 3 2" xfId="24059"/>
    <cellStyle name="연결된 셀 21 4 2 4" xfId="6919"/>
    <cellStyle name="연결된 셀 21 4 2 4 2" xfId="24060"/>
    <cellStyle name="연결된 셀 21 4 2 5" xfId="24057"/>
    <cellStyle name="연결된 셀 21 4 3" xfId="6920"/>
    <cellStyle name="연결된 셀 21 4 3 2" xfId="6921"/>
    <cellStyle name="연결된 셀 21 4 3 2 2" xfId="24062"/>
    <cellStyle name="연결된 셀 21 4 3 3" xfId="6922"/>
    <cellStyle name="연결된 셀 21 4 3 3 2" xfId="24063"/>
    <cellStyle name="연결된 셀 21 4 3 4" xfId="6923"/>
    <cellStyle name="연결된 셀 21 4 3 4 2" xfId="24064"/>
    <cellStyle name="연결된 셀 21 4 3 5" xfId="24061"/>
    <cellStyle name="연결된 셀 21 4 4" xfId="6924"/>
    <cellStyle name="연결된 셀 21 4 4 2" xfId="6925"/>
    <cellStyle name="연결된 셀 21 4 4 2 2" xfId="24066"/>
    <cellStyle name="연결된 셀 21 4 4 3" xfId="6926"/>
    <cellStyle name="연결된 셀 21 4 4 3 2" xfId="24067"/>
    <cellStyle name="연결된 셀 21 4 4 4" xfId="6927"/>
    <cellStyle name="연결된 셀 21 4 4 4 2" xfId="24068"/>
    <cellStyle name="연결된 셀 21 4 4 5" xfId="24065"/>
    <cellStyle name="연결된 셀 21 4 5" xfId="6928"/>
    <cellStyle name="연결된 셀 21 4 5 2" xfId="24069"/>
    <cellStyle name="연결된 셀 21 4 6" xfId="6929"/>
    <cellStyle name="연결된 셀 21 4 6 2" xfId="24070"/>
    <cellStyle name="연결된 셀 21 4 7" xfId="6930"/>
    <cellStyle name="연결된 셀 21 4 7 2" xfId="24071"/>
    <cellStyle name="연결된 셀 21 4 8" xfId="24056"/>
    <cellStyle name="연결된 셀 21 5" xfId="6931"/>
    <cellStyle name="연결된 셀 21 5 2" xfId="6932"/>
    <cellStyle name="연결된 셀 21 5 2 2" xfId="6933"/>
    <cellStyle name="연결된 셀 21 5 2 2 2" xfId="24074"/>
    <cellStyle name="연결된 셀 21 5 2 3" xfId="6934"/>
    <cellStyle name="연결된 셀 21 5 2 3 2" xfId="24075"/>
    <cellStyle name="연결된 셀 21 5 2 4" xfId="6935"/>
    <cellStyle name="연결된 셀 21 5 2 4 2" xfId="24076"/>
    <cellStyle name="연결된 셀 21 5 2 5" xfId="24073"/>
    <cellStyle name="연결된 셀 21 5 3" xfId="6936"/>
    <cellStyle name="연결된 셀 21 5 3 2" xfId="6937"/>
    <cellStyle name="연결된 셀 21 5 3 2 2" xfId="24078"/>
    <cellStyle name="연결된 셀 21 5 3 3" xfId="6938"/>
    <cellStyle name="연결된 셀 21 5 3 3 2" xfId="24079"/>
    <cellStyle name="연결된 셀 21 5 3 4" xfId="6939"/>
    <cellStyle name="연결된 셀 21 5 3 4 2" xfId="24080"/>
    <cellStyle name="연결된 셀 21 5 3 5" xfId="24077"/>
    <cellStyle name="연결된 셀 21 5 4" xfId="6940"/>
    <cellStyle name="연결된 셀 21 5 4 2" xfId="6941"/>
    <cellStyle name="연결된 셀 21 5 4 2 2" xfId="24082"/>
    <cellStyle name="연결된 셀 21 5 4 3" xfId="6942"/>
    <cellStyle name="연결된 셀 21 5 4 3 2" xfId="24083"/>
    <cellStyle name="연결된 셀 21 5 4 4" xfId="6943"/>
    <cellStyle name="연결된 셀 21 5 4 4 2" xfId="24084"/>
    <cellStyle name="연결된 셀 21 5 4 5" xfId="24081"/>
    <cellStyle name="연결된 셀 21 5 5" xfId="6944"/>
    <cellStyle name="연결된 셀 21 5 5 2" xfId="24085"/>
    <cellStyle name="연결된 셀 21 5 6" xfId="6945"/>
    <cellStyle name="연결된 셀 21 5 6 2" xfId="24086"/>
    <cellStyle name="연결된 셀 21 5 7" xfId="6946"/>
    <cellStyle name="연결된 셀 21 5 7 2" xfId="24087"/>
    <cellStyle name="연결된 셀 21 5 8" xfId="24072"/>
    <cellStyle name="연결된 셀 21 6" xfId="6947"/>
    <cellStyle name="연결된 셀 21 6 2" xfId="6948"/>
    <cellStyle name="연결된 셀 21 6 2 2" xfId="6949"/>
    <cellStyle name="연결된 셀 21 6 2 2 2" xfId="24090"/>
    <cellStyle name="연결된 셀 21 6 2 3" xfId="6950"/>
    <cellStyle name="연결된 셀 21 6 2 3 2" xfId="24091"/>
    <cellStyle name="연결된 셀 21 6 2 4" xfId="6951"/>
    <cellStyle name="연결된 셀 21 6 2 4 2" xfId="24092"/>
    <cellStyle name="연결된 셀 21 6 2 5" xfId="24089"/>
    <cellStyle name="연결된 셀 21 6 3" xfId="6952"/>
    <cellStyle name="연결된 셀 21 6 3 2" xfId="6953"/>
    <cellStyle name="연결된 셀 21 6 3 2 2" xfId="24094"/>
    <cellStyle name="연결된 셀 21 6 3 3" xfId="6954"/>
    <cellStyle name="연결된 셀 21 6 3 3 2" xfId="24095"/>
    <cellStyle name="연결된 셀 21 6 3 4" xfId="6955"/>
    <cellStyle name="연결된 셀 21 6 3 4 2" xfId="24096"/>
    <cellStyle name="연결된 셀 21 6 3 5" xfId="24093"/>
    <cellStyle name="연결된 셀 21 6 4" xfId="6956"/>
    <cellStyle name="연결된 셀 21 6 4 2" xfId="6957"/>
    <cellStyle name="연결된 셀 21 6 4 2 2" xfId="24098"/>
    <cellStyle name="연결된 셀 21 6 4 3" xfId="6958"/>
    <cellStyle name="연결된 셀 21 6 4 3 2" xfId="24099"/>
    <cellStyle name="연결된 셀 21 6 4 4" xfId="6959"/>
    <cellStyle name="연결된 셀 21 6 4 4 2" xfId="24100"/>
    <cellStyle name="연결된 셀 21 6 4 5" xfId="24097"/>
    <cellStyle name="연결된 셀 21 6 5" xfId="6960"/>
    <cellStyle name="연결된 셀 21 6 5 2" xfId="24101"/>
    <cellStyle name="연결된 셀 21 6 6" xfId="6961"/>
    <cellStyle name="연결된 셀 21 6 6 2" xfId="24102"/>
    <cellStyle name="연결된 셀 21 6 7" xfId="6962"/>
    <cellStyle name="연결된 셀 21 6 7 2" xfId="24103"/>
    <cellStyle name="연결된 셀 21 6 8" xfId="24088"/>
    <cellStyle name="연결된 셀 21 7" xfId="6963"/>
    <cellStyle name="연결된 셀 21 7 2" xfId="6964"/>
    <cellStyle name="연결된 셀 21 7 2 2" xfId="6965"/>
    <cellStyle name="연결된 셀 21 7 2 2 2" xfId="24106"/>
    <cellStyle name="연결된 셀 21 7 2 3" xfId="6966"/>
    <cellStyle name="연결된 셀 21 7 2 3 2" xfId="24107"/>
    <cellStyle name="연결된 셀 21 7 2 4" xfId="6967"/>
    <cellStyle name="연결된 셀 21 7 2 4 2" xfId="24108"/>
    <cellStyle name="연결된 셀 21 7 2 5" xfId="24105"/>
    <cellStyle name="연결된 셀 21 7 3" xfId="6968"/>
    <cellStyle name="연결된 셀 21 7 3 2" xfId="6969"/>
    <cellStyle name="연결된 셀 21 7 3 2 2" xfId="24110"/>
    <cellStyle name="연결된 셀 21 7 3 3" xfId="6970"/>
    <cellStyle name="연결된 셀 21 7 3 3 2" xfId="24111"/>
    <cellStyle name="연결된 셀 21 7 3 4" xfId="6971"/>
    <cellStyle name="연결된 셀 21 7 3 4 2" xfId="24112"/>
    <cellStyle name="연결된 셀 21 7 3 5" xfId="24109"/>
    <cellStyle name="연결된 셀 21 7 4" xfId="6972"/>
    <cellStyle name="연결된 셀 21 7 4 2" xfId="6973"/>
    <cellStyle name="연결된 셀 21 7 4 2 2" xfId="24114"/>
    <cellStyle name="연결된 셀 21 7 4 3" xfId="6974"/>
    <cellStyle name="연결된 셀 21 7 4 3 2" xfId="24115"/>
    <cellStyle name="연결된 셀 21 7 4 4" xfId="6975"/>
    <cellStyle name="연결된 셀 21 7 4 4 2" xfId="24116"/>
    <cellStyle name="연결된 셀 21 7 4 5" xfId="24113"/>
    <cellStyle name="연결된 셀 21 7 5" xfId="6976"/>
    <cellStyle name="연결된 셀 21 7 5 2" xfId="24117"/>
    <cellStyle name="연결된 셀 21 7 6" xfId="6977"/>
    <cellStyle name="연결된 셀 21 7 6 2" xfId="24118"/>
    <cellStyle name="연결된 셀 21 7 7" xfId="6978"/>
    <cellStyle name="연결된 셀 21 7 7 2" xfId="24119"/>
    <cellStyle name="연결된 셀 21 7 8" xfId="24104"/>
    <cellStyle name="연결된 셀 21 8" xfId="6979"/>
    <cellStyle name="연결된 셀 21 8 2" xfId="6980"/>
    <cellStyle name="연결된 셀 21 8 2 2" xfId="6981"/>
    <cellStyle name="연결된 셀 21 8 2 2 2" xfId="24122"/>
    <cellStyle name="연결된 셀 21 8 2 3" xfId="6982"/>
    <cellStyle name="연결된 셀 21 8 2 3 2" xfId="24123"/>
    <cellStyle name="연결된 셀 21 8 2 4" xfId="6983"/>
    <cellStyle name="연결된 셀 21 8 2 4 2" xfId="24124"/>
    <cellStyle name="연결된 셀 21 8 2 5" xfId="24121"/>
    <cellStyle name="연결된 셀 21 8 3" xfId="6984"/>
    <cellStyle name="연결된 셀 21 8 3 2" xfId="6985"/>
    <cellStyle name="연결된 셀 21 8 3 2 2" xfId="24126"/>
    <cellStyle name="연결된 셀 21 8 3 3" xfId="6986"/>
    <cellStyle name="연결된 셀 21 8 3 3 2" xfId="24127"/>
    <cellStyle name="연결된 셀 21 8 3 4" xfId="6987"/>
    <cellStyle name="연결된 셀 21 8 3 4 2" xfId="24128"/>
    <cellStyle name="연결된 셀 21 8 3 5" xfId="24125"/>
    <cellStyle name="연결된 셀 21 8 4" xfId="6988"/>
    <cellStyle name="연결된 셀 21 8 4 2" xfId="6989"/>
    <cellStyle name="연결된 셀 21 8 4 2 2" xfId="24130"/>
    <cellStyle name="연결된 셀 21 8 4 3" xfId="6990"/>
    <cellStyle name="연결된 셀 21 8 4 3 2" xfId="24131"/>
    <cellStyle name="연결된 셀 21 8 4 4" xfId="6991"/>
    <cellStyle name="연결된 셀 21 8 4 4 2" xfId="24132"/>
    <cellStyle name="연결된 셀 21 8 4 5" xfId="24129"/>
    <cellStyle name="연결된 셀 21 8 5" xfId="6992"/>
    <cellStyle name="연결된 셀 21 8 5 2" xfId="24133"/>
    <cellStyle name="연결된 셀 21 8 6" xfId="6993"/>
    <cellStyle name="연결된 셀 21 8 6 2" xfId="24134"/>
    <cellStyle name="연결된 셀 21 8 7" xfId="6994"/>
    <cellStyle name="연결된 셀 21 8 7 2" xfId="24135"/>
    <cellStyle name="연결된 셀 21 8 8" xfId="24120"/>
    <cellStyle name="연결된 셀 21 9" xfId="6995"/>
    <cellStyle name="연결된 셀 21 9 2" xfId="6996"/>
    <cellStyle name="연결된 셀 21 9 2 2" xfId="6997"/>
    <cellStyle name="연결된 셀 21 9 2 2 2" xfId="24138"/>
    <cellStyle name="연결된 셀 21 9 2 3" xfId="6998"/>
    <cellStyle name="연결된 셀 21 9 2 3 2" xfId="24139"/>
    <cellStyle name="연결된 셀 21 9 2 4" xfId="6999"/>
    <cellStyle name="연결된 셀 21 9 2 4 2" xfId="24140"/>
    <cellStyle name="연결된 셀 21 9 2 5" xfId="24137"/>
    <cellStyle name="연결된 셀 21 9 3" xfId="7000"/>
    <cellStyle name="연결된 셀 21 9 3 2" xfId="7001"/>
    <cellStyle name="연결된 셀 21 9 3 2 2" xfId="24142"/>
    <cellStyle name="연결된 셀 21 9 3 3" xfId="7002"/>
    <cellStyle name="연결된 셀 21 9 3 3 2" xfId="24143"/>
    <cellStyle name="연결된 셀 21 9 3 4" xfId="7003"/>
    <cellStyle name="연결된 셀 21 9 3 4 2" xfId="24144"/>
    <cellStyle name="연결된 셀 21 9 3 5" xfId="24141"/>
    <cellStyle name="연결된 셀 21 9 4" xfId="7004"/>
    <cellStyle name="연결된 셀 21 9 4 2" xfId="7005"/>
    <cellStyle name="연결된 셀 21 9 4 2 2" xfId="24146"/>
    <cellStyle name="연결된 셀 21 9 4 3" xfId="7006"/>
    <cellStyle name="연결된 셀 21 9 4 3 2" xfId="24147"/>
    <cellStyle name="연결된 셀 21 9 4 4" xfId="7007"/>
    <cellStyle name="연결된 셀 21 9 4 4 2" xfId="24148"/>
    <cellStyle name="연결된 셀 21 9 4 5" xfId="24145"/>
    <cellStyle name="연결된 셀 21 9 5" xfId="7008"/>
    <cellStyle name="연결된 셀 21 9 5 2" xfId="24149"/>
    <cellStyle name="연결된 셀 21 9 6" xfId="7009"/>
    <cellStyle name="연결된 셀 21 9 6 2" xfId="24150"/>
    <cellStyle name="연결된 셀 21 9 7" xfId="7010"/>
    <cellStyle name="연결된 셀 21 9 7 2" xfId="24151"/>
    <cellStyle name="연결된 셀 21 9 8" xfId="24136"/>
    <cellStyle name="연결된 셀 22" xfId="7011"/>
    <cellStyle name="연결된 셀 22 10" xfId="7012"/>
    <cellStyle name="연결된 셀 22 10 2" xfId="7013"/>
    <cellStyle name="연결된 셀 22 10 2 2" xfId="7014"/>
    <cellStyle name="연결된 셀 22 10 2 2 2" xfId="24155"/>
    <cellStyle name="연결된 셀 22 10 2 3" xfId="7015"/>
    <cellStyle name="연결된 셀 22 10 2 3 2" xfId="24156"/>
    <cellStyle name="연결된 셀 22 10 2 4" xfId="7016"/>
    <cellStyle name="연결된 셀 22 10 2 4 2" xfId="24157"/>
    <cellStyle name="연결된 셀 22 10 2 5" xfId="24154"/>
    <cellStyle name="연결된 셀 22 10 3" xfId="7017"/>
    <cellStyle name="연결된 셀 22 10 3 2" xfId="7018"/>
    <cellStyle name="연결된 셀 22 10 3 2 2" xfId="24159"/>
    <cellStyle name="연결된 셀 22 10 3 3" xfId="7019"/>
    <cellStyle name="연결된 셀 22 10 3 3 2" xfId="24160"/>
    <cellStyle name="연결된 셀 22 10 3 4" xfId="7020"/>
    <cellStyle name="연결된 셀 22 10 3 4 2" xfId="24161"/>
    <cellStyle name="연결된 셀 22 10 3 5" xfId="24158"/>
    <cellStyle name="연결된 셀 22 10 4" xfId="7021"/>
    <cellStyle name="연결된 셀 22 10 4 2" xfId="7022"/>
    <cellStyle name="연결된 셀 22 10 4 2 2" xfId="24163"/>
    <cellStyle name="연결된 셀 22 10 4 3" xfId="7023"/>
    <cellStyle name="연결된 셀 22 10 4 3 2" xfId="24164"/>
    <cellStyle name="연결된 셀 22 10 4 4" xfId="7024"/>
    <cellStyle name="연결된 셀 22 10 4 4 2" xfId="24165"/>
    <cellStyle name="연결된 셀 22 10 4 5" xfId="24162"/>
    <cellStyle name="연결된 셀 22 10 5" xfId="7025"/>
    <cellStyle name="연결된 셀 22 10 5 2" xfId="24166"/>
    <cellStyle name="연결된 셀 22 10 6" xfId="7026"/>
    <cellStyle name="연결된 셀 22 10 6 2" xfId="24167"/>
    <cellStyle name="연결된 셀 22 10 7" xfId="7027"/>
    <cellStyle name="연결된 셀 22 10 7 2" xfId="24168"/>
    <cellStyle name="연결된 셀 22 10 8" xfId="24153"/>
    <cellStyle name="연결된 셀 22 11" xfId="7028"/>
    <cellStyle name="연결된 셀 22 11 2" xfId="7029"/>
    <cellStyle name="연결된 셀 22 11 2 2" xfId="7030"/>
    <cellStyle name="연결된 셀 22 11 2 2 2" xfId="24171"/>
    <cellStyle name="연결된 셀 22 11 2 3" xfId="7031"/>
    <cellStyle name="연결된 셀 22 11 2 3 2" xfId="24172"/>
    <cellStyle name="연결된 셀 22 11 2 4" xfId="7032"/>
    <cellStyle name="연결된 셀 22 11 2 4 2" xfId="24173"/>
    <cellStyle name="연결된 셀 22 11 2 5" xfId="24170"/>
    <cellStyle name="연결된 셀 22 11 3" xfId="7033"/>
    <cellStyle name="연결된 셀 22 11 3 2" xfId="7034"/>
    <cellStyle name="연결된 셀 22 11 3 2 2" xfId="24175"/>
    <cellStyle name="연결된 셀 22 11 3 3" xfId="7035"/>
    <cellStyle name="연결된 셀 22 11 3 3 2" xfId="24176"/>
    <cellStyle name="연결된 셀 22 11 3 4" xfId="7036"/>
    <cellStyle name="연결된 셀 22 11 3 4 2" xfId="24177"/>
    <cellStyle name="연결된 셀 22 11 3 5" xfId="24174"/>
    <cellStyle name="연결된 셀 22 11 4" xfId="7037"/>
    <cellStyle name="연결된 셀 22 11 4 2" xfId="7038"/>
    <cellStyle name="연결된 셀 22 11 4 2 2" xfId="24179"/>
    <cellStyle name="연결된 셀 22 11 4 3" xfId="7039"/>
    <cellStyle name="연결된 셀 22 11 4 3 2" xfId="24180"/>
    <cellStyle name="연결된 셀 22 11 4 4" xfId="7040"/>
    <cellStyle name="연결된 셀 22 11 4 4 2" xfId="24181"/>
    <cellStyle name="연결된 셀 22 11 4 5" xfId="24178"/>
    <cellStyle name="연결된 셀 22 11 5" xfId="7041"/>
    <cellStyle name="연결된 셀 22 11 5 2" xfId="24182"/>
    <cellStyle name="연결된 셀 22 11 6" xfId="7042"/>
    <cellStyle name="연결된 셀 22 11 6 2" xfId="24183"/>
    <cellStyle name="연결된 셀 22 11 7" xfId="7043"/>
    <cellStyle name="연결된 셀 22 11 7 2" xfId="24184"/>
    <cellStyle name="연결된 셀 22 11 8" xfId="24169"/>
    <cellStyle name="연결된 셀 22 12" xfId="7044"/>
    <cellStyle name="연결된 셀 22 12 2" xfId="7045"/>
    <cellStyle name="연결된 셀 22 12 2 2" xfId="7046"/>
    <cellStyle name="연결된 셀 22 12 2 2 2" xfId="24187"/>
    <cellStyle name="연결된 셀 22 12 2 3" xfId="7047"/>
    <cellStyle name="연결된 셀 22 12 2 3 2" xfId="24188"/>
    <cellStyle name="연결된 셀 22 12 2 4" xfId="7048"/>
    <cellStyle name="연결된 셀 22 12 2 4 2" xfId="24189"/>
    <cellStyle name="연결된 셀 22 12 2 5" xfId="24186"/>
    <cellStyle name="연결된 셀 22 12 3" xfId="7049"/>
    <cellStyle name="연결된 셀 22 12 3 2" xfId="7050"/>
    <cellStyle name="연결된 셀 22 12 3 2 2" xfId="24191"/>
    <cellStyle name="연결된 셀 22 12 3 3" xfId="7051"/>
    <cellStyle name="연결된 셀 22 12 3 3 2" xfId="24192"/>
    <cellStyle name="연결된 셀 22 12 3 4" xfId="7052"/>
    <cellStyle name="연결된 셀 22 12 3 4 2" xfId="24193"/>
    <cellStyle name="연결된 셀 22 12 3 5" xfId="24190"/>
    <cellStyle name="연결된 셀 22 12 4" xfId="7053"/>
    <cellStyle name="연결된 셀 22 12 4 2" xfId="7054"/>
    <cellStyle name="연결된 셀 22 12 4 2 2" xfId="24195"/>
    <cellStyle name="연결된 셀 22 12 4 3" xfId="7055"/>
    <cellStyle name="연결된 셀 22 12 4 3 2" xfId="24196"/>
    <cellStyle name="연결된 셀 22 12 4 4" xfId="7056"/>
    <cellStyle name="연결된 셀 22 12 4 4 2" xfId="24197"/>
    <cellStyle name="연결된 셀 22 12 4 5" xfId="24194"/>
    <cellStyle name="연결된 셀 22 12 5" xfId="7057"/>
    <cellStyle name="연결된 셀 22 12 5 2" xfId="24198"/>
    <cellStyle name="연결된 셀 22 12 6" xfId="7058"/>
    <cellStyle name="연결된 셀 22 12 6 2" xfId="24199"/>
    <cellStyle name="연결된 셀 22 12 7" xfId="7059"/>
    <cellStyle name="연결된 셀 22 12 7 2" xfId="24200"/>
    <cellStyle name="연결된 셀 22 12 8" xfId="24185"/>
    <cellStyle name="연결된 셀 22 13" xfId="7060"/>
    <cellStyle name="연결된 셀 22 13 2" xfId="7061"/>
    <cellStyle name="연결된 셀 22 13 2 2" xfId="24202"/>
    <cellStyle name="연결된 셀 22 13 3" xfId="7062"/>
    <cellStyle name="연결된 셀 22 13 3 2" xfId="24203"/>
    <cellStyle name="연결된 셀 22 13 4" xfId="7063"/>
    <cellStyle name="연결된 셀 22 13 4 2" xfId="24204"/>
    <cellStyle name="연결된 셀 22 13 5" xfId="24201"/>
    <cellStyle name="연결된 셀 22 14" xfId="7064"/>
    <cellStyle name="연결된 셀 22 14 2" xfId="24205"/>
    <cellStyle name="연결된 셀 22 15" xfId="7065"/>
    <cellStyle name="연결된 셀 22 15 2" xfId="24206"/>
    <cellStyle name="연결된 셀 22 16" xfId="7066"/>
    <cellStyle name="연결된 셀 22 16 2" xfId="24207"/>
    <cellStyle name="연결된 셀 22 17" xfId="24152"/>
    <cellStyle name="연결된 셀 22 2" xfId="7067"/>
    <cellStyle name="연결된 셀 22 2 10" xfId="7068"/>
    <cellStyle name="연결된 셀 22 2 10 2" xfId="7069"/>
    <cellStyle name="연결된 셀 22 2 10 2 2" xfId="7070"/>
    <cellStyle name="연결된 셀 22 2 10 2 2 2" xfId="24211"/>
    <cellStyle name="연결된 셀 22 2 10 2 3" xfId="7071"/>
    <cellStyle name="연결된 셀 22 2 10 2 3 2" xfId="24212"/>
    <cellStyle name="연결된 셀 22 2 10 2 4" xfId="7072"/>
    <cellStyle name="연결된 셀 22 2 10 2 4 2" xfId="24213"/>
    <cellStyle name="연결된 셀 22 2 10 2 5" xfId="24210"/>
    <cellStyle name="연결된 셀 22 2 10 3" xfId="7073"/>
    <cellStyle name="연결된 셀 22 2 10 3 2" xfId="7074"/>
    <cellStyle name="연결된 셀 22 2 10 3 2 2" xfId="24215"/>
    <cellStyle name="연결된 셀 22 2 10 3 3" xfId="7075"/>
    <cellStyle name="연결된 셀 22 2 10 3 3 2" xfId="24216"/>
    <cellStyle name="연결된 셀 22 2 10 3 4" xfId="7076"/>
    <cellStyle name="연결된 셀 22 2 10 3 4 2" xfId="24217"/>
    <cellStyle name="연결된 셀 22 2 10 3 5" xfId="24214"/>
    <cellStyle name="연결된 셀 22 2 10 4" xfId="7077"/>
    <cellStyle name="연결된 셀 22 2 10 4 2" xfId="7078"/>
    <cellStyle name="연결된 셀 22 2 10 4 2 2" xfId="24219"/>
    <cellStyle name="연결된 셀 22 2 10 4 3" xfId="7079"/>
    <cellStyle name="연결된 셀 22 2 10 4 3 2" xfId="24220"/>
    <cellStyle name="연결된 셀 22 2 10 4 4" xfId="7080"/>
    <cellStyle name="연결된 셀 22 2 10 4 4 2" xfId="24221"/>
    <cellStyle name="연결된 셀 22 2 10 4 5" xfId="24218"/>
    <cellStyle name="연결된 셀 22 2 10 5" xfId="7081"/>
    <cellStyle name="연결된 셀 22 2 10 5 2" xfId="24222"/>
    <cellStyle name="연결된 셀 22 2 10 6" xfId="7082"/>
    <cellStyle name="연결된 셀 22 2 10 6 2" xfId="24223"/>
    <cellStyle name="연결된 셀 22 2 10 7" xfId="7083"/>
    <cellStyle name="연결된 셀 22 2 10 7 2" xfId="24224"/>
    <cellStyle name="연결된 셀 22 2 10 8" xfId="24209"/>
    <cellStyle name="연결된 셀 22 2 11" xfId="7084"/>
    <cellStyle name="연결된 셀 22 2 11 2" xfId="7085"/>
    <cellStyle name="연결된 셀 22 2 11 2 2" xfId="7086"/>
    <cellStyle name="연결된 셀 22 2 11 2 2 2" xfId="24227"/>
    <cellStyle name="연결된 셀 22 2 11 2 3" xfId="7087"/>
    <cellStyle name="연결된 셀 22 2 11 2 3 2" xfId="24228"/>
    <cellStyle name="연결된 셀 22 2 11 2 4" xfId="7088"/>
    <cellStyle name="연결된 셀 22 2 11 2 4 2" xfId="24229"/>
    <cellStyle name="연결된 셀 22 2 11 2 5" xfId="24226"/>
    <cellStyle name="연결된 셀 22 2 11 3" xfId="7089"/>
    <cellStyle name="연결된 셀 22 2 11 3 2" xfId="7090"/>
    <cellStyle name="연결된 셀 22 2 11 3 2 2" xfId="24231"/>
    <cellStyle name="연결된 셀 22 2 11 3 3" xfId="7091"/>
    <cellStyle name="연결된 셀 22 2 11 3 3 2" xfId="24232"/>
    <cellStyle name="연결된 셀 22 2 11 3 4" xfId="7092"/>
    <cellStyle name="연결된 셀 22 2 11 3 4 2" xfId="24233"/>
    <cellStyle name="연결된 셀 22 2 11 3 5" xfId="24230"/>
    <cellStyle name="연결된 셀 22 2 11 4" xfId="7093"/>
    <cellStyle name="연결된 셀 22 2 11 4 2" xfId="7094"/>
    <cellStyle name="연결된 셀 22 2 11 4 2 2" xfId="24235"/>
    <cellStyle name="연결된 셀 22 2 11 4 3" xfId="7095"/>
    <cellStyle name="연결된 셀 22 2 11 4 3 2" xfId="24236"/>
    <cellStyle name="연결된 셀 22 2 11 4 4" xfId="7096"/>
    <cellStyle name="연결된 셀 22 2 11 4 4 2" xfId="24237"/>
    <cellStyle name="연결된 셀 22 2 11 4 5" xfId="24234"/>
    <cellStyle name="연결된 셀 22 2 11 5" xfId="7097"/>
    <cellStyle name="연결된 셀 22 2 11 5 2" xfId="24238"/>
    <cellStyle name="연결된 셀 22 2 11 6" xfId="7098"/>
    <cellStyle name="연결된 셀 22 2 11 6 2" xfId="24239"/>
    <cellStyle name="연결된 셀 22 2 11 7" xfId="7099"/>
    <cellStyle name="연결된 셀 22 2 11 7 2" xfId="24240"/>
    <cellStyle name="연결된 셀 22 2 11 8" xfId="24225"/>
    <cellStyle name="연결된 셀 22 2 12" xfId="7100"/>
    <cellStyle name="연결된 셀 22 2 12 2" xfId="7101"/>
    <cellStyle name="연결된 셀 22 2 12 2 2" xfId="24242"/>
    <cellStyle name="연결된 셀 22 2 12 3" xfId="7102"/>
    <cellStyle name="연결된 셀 22 2 12 3 2" xfId="24243"/>
    <cellStyle name="연결된 셀 22 2 12 4" xfId="7103"/>
    <cellStyle name="연결된 셀 22 2 12 4 2" xfId="24244"/>
    <cellStyle name="연결된 셀 22 2 12 5" xfId="24241"/>
    <cellStyle name="연결된 셀 22 2 13" xfId="7104"/>
    <cellStyle name="연결된 셀 22 2 13 2" xfId="24245"/>
    <cellStyle name="연결된 셀 22 2 14" xfId="7105"/>
    <cellStyle name="연결된 셀 22 2 14 2" xfId="24246"/>
    <cellStyle name="연결된 셀 22 2 15" xfId="7106"/>
    <cellStyle name="연결된 셀 22 2 15 2" xfId="24247"/>
    <cellStyle name="연결된 셀 22 2 16" xfId="24208"/>
    <cellStyle name="연결된 셀 22 2 2" xfId="7107"/>
    <cellStyle name="연결된 셀 22 2 2 2" xfId="7108"/>
    <cellStyle name="연결된 셀 22 2 2 2 2" xfId="7109"/>
    <cellStyle name="연결된 셀 22 2 2 2 2 2" xfId="24250"/>
    <cellStyle name="연결된 셀 22 2 2 2 3" xfId="7110"/>
    <cellStyle name="연결된 셀 22 2 2 2 3 2" xfId="24251"/>
    <cellStyle name="연결된 셀 22 2 2 2 4" xfId="7111"/>
    <cellStyle name="연결된 셀 22 2 2 2 4 2" xfId="24252"/>
    <cellStyle name="연결된 셀 22 2 2 2 5" xfId="24249"/>
    <cellStyle name="연결된 셀 22 2 2 3" xfId="7112"/>
    <cellStyle name="연결된 셀 22 2 2 3 2" xfId="7113"/>
    <cellStyle name="연결된 셀 22 2 2 3 2 2" xfId="24254"/>
    <cellStyle name="연결된 셀 22 2 2 3 3" xfId="7114"/>
    <cellStyle name="연결된 셀 22 2 2 3 3 2" xfId="24255"/>
    <cellStyle name="연결된 셀 22 2 2 3 4" xfId="7115"/>
    <cellStyle name="연결된 셀 22 2 2 3 4 2" xfId="24256"/>
    <cellStyle name="연결된 셀 22 2 2 3 5" xfId="24253"/>
    <cellStyle name="연결된 셀 22 2 2 4" xfId="7116"/>
    <cellStyle name="연결된 셀 22 2 2 4 2" xfId="7117"/>
    <cellStyle name="연결된 셀 22 2 2 4 2 2" xfId="24258"/>
    <cellStyle name="연결된 셀 22 2 2 4 3" xfId="7118"/>
    <cellStyle name="연결된 셀 22 2 2 4 3 2" xfId="24259"/>
    <cellStyle name="연결된 셀 22 2 2 4 4" xfId="7119"/>
    <cellStyle name="연결된 셀 22 2 2 4 4 2" xfId="24260"/>
    <cellStyle name="연결된 셀 22 2 2 4 5" xfId="24257"/>
    <cellStyle name="연결된 셀 22 2 2 5" xfId="7120"/>
    <cellStyle name="연결된 셀 22 2 2 5 2" xfId="24261"/>
    <cellStyle name="연결된 셀 22 2 2 6" xfId="7121"/>
    <cellStyle name="연결된 셀 22 2 2 6 2" xfId="24262"/>
    <cellStyle name="연결된 셀 22 2 2 7" xfId="7122"/>
    <cellStyle name="연결된 셀 22 2 2 7 2" xfId="24263"/>
    <cellStyle name="연결된 셀 22 2 2 8" xfId="24248"/>
    <cellStyle name="연결된 셀 22 2 3" xfId="7123"/>
    <cellStyle name="연결된 셀 22 2 3 2" xfId="7124"/>
    <cellStyle name="연결된 셀 22 2 3 2 2" xfId="7125"/>
    <cellStyle name="연결된 셀 22 2 3 2 2 2" xfId="24266"/>
    <cellStyle name="연결된 셀 22 2 3 2 3" xfId="7126"/>
    <cellStyle name="연결된 셀 22 2 3 2 3 2" xfId="24267"/>
    <cellStyle name="연결된 셀 22 2 3 2 4" xfId="7127"/>
    <cellStyle name="연결된 셀 22 2 3 2 4 2" xfId="24268"/>
    <cellStyle name="연결된 셀 22 2 3 2 5" xfId="24265"/>
    <cellStyle name="연결된 셀 22 2 3 3" xfId="7128"/>
    <cellStyle name="연결된 셀 22 2 3 3 2" xfId="7129"/>
    <cellStyle name="연결된 셀 22 2 3 3 2 2" xfId="24270"/>
    <cellStyle name="연결된 셀 22 2 3 3 3" xfId="7130"/>
    <cellStyle name="연결된 셀 22 2 3 3 3 2" xfId="24271"/>
    <cellStyle name="연결된 셀 22 2 3 3 4" xfId="7131"/>
    <cellStyle name="연결된 셀 22 2 3 3 4 2" xfId="24272"/>
    <cellStyle name="연결된 셀 22 2 3 3 5" xfId="24269"/>
    <cellStyle name="연결된 셀 22 2 3 4" xfId="7132"/>
    <cellStyle name="연결된 셀 22 2 3 4 2" xfId="7133"/>
    <cellStyle name="연결된 셀 22 2 3 4 2 2" xfId="24274"/>
    <cellStyle name="연결된 셀 22 2 3 4 3" xfId="7134"/>
    <cellStyle name="연결된 셀 22 2 3 4 3 2" xfId="24275"/>
    <cellStyle name="연결된 셀 22 2 3 4 4" xfId="7135"/>
    <cellStyle name="연결된 셀 22 2 3 4 4 2" xfId="24276"/>
    <cellStyle name="연결된 셀 22 2 3 4 5" xfId="24273"/>
    <cellStyle name="연결된 셀 22 2 3 5" xfId="7136"/>
    <cellStyle name="연결된 셀 22 2 3 5 2" xfId="24277"/>
    <cellStyle name="연결된 셀 22 2 3 6" xfId="7137"/>
    <cellStyle name="연결된 셀 22 2 3 6 2" xfId="24278"/>
    <cellStyle name="연결된 셀 22 2 3 7" xfId="7138"/>
    <cellStyle name="연결된 셀 22 2 3 7 2" xfId="24279"/>
    <cellStyle name="연결된 셀 22 2 3 8" xfId="24264"/>
    <cellStyle name="연결된 셀 22 2 4" xfId="7139"/>
    <cellStyle name="연결된 셀 22 2 4 2" xfId="7140"/>
    <cellStyle name="연결된 셀 22 2 4 2 2" xfId="7141"/>
    <cellStyle name="연결된 셀 22 2 4 2 2 2" xfId="24282"/>
    <cellStyle name="연결된 셀 22 2 4 2 3" xfId="7142"/>
    <cellStyle name="연결된 셀 22 2 4 2 3 2" xfId="24283"/>
    <cellStyle name="연결된 셀 22 2 4 2 4" xfId="7143"/>
    <cellStyle name="연결된 셀 22 2 4 2 4 2" xfId="24284"/>
    <cellStyle name="연결된 셀 22 2 4 2 5" xfId="24281"/>
    <cellStyle name="연결된 셀 22 2 4 3" xfId="7144"/>
    <cellStyle name="연결된 셀 22 2 4 3 2" xfId="7145"/>
    <cellStyle name="연결된 셀 22 2 4 3 2 2" xfId="24286"/>
    <cellStyle name="연결된 셀 22 2 4 3 3" xfId="7146"/>
    <cellStyle name="연결된 셀 22 2 4 3 3 2" xfId="24287"/>
    <cellStyle name="연결된 셀 22 2 4 3 4" xfId="7147"/>
    <cellStyle name="연결된 셀 22 2 4 3 4 2" xfId="24288"/>
    <cellStyle name="연결된 셀 22 2 4 3 5" xfId="24285"/>
    <cellStyle name="연결된 셀 22 2 4 4" xfId="7148"/>
    <cellStyle name="연결된 셀 22 2 4 4 2" xfId="7149"/>
    <cellStyle name="연결된 셀 22 2 4 4 2 2" xfId="24290"/>
    <cellStyle name="연결된 셀 22 2 4 4 3" xfId="7150"/>
    <cellStyle name="연결된 셀 22 2 4 4 3 2" xfId="24291"/>
    <cellStyle name="연결된 셀 22 2 4 4 4" xfId="7151"/>
    <cellStyle name="연결된 셀 22 2 4 4 4 2" xfId="24292"/>
    <cellStyle name="연결된 셀 22 2 4 4 5" xfId="24289"/>
    <cellStyle name="연결된 셀 22 2 4 5" xfId="7152"/>
    <cellStyle name="연결된 셀 22 2 4 5 2" xfId="24293"/>
    <cellStyle name="연결된 셀 22 2 4 6" xfId="7153"/>
    <cellStyle name="연결된 셀 22 2 4 6 2" xfId="24294"/>
    <cellStyle name="연결된 셀 22 2 4 7" xfId="7154"/>
    <cellStyle name="연결된 셀 22 2 4 7 2" xfId="24295"/>
    <cellStyle name="연결된 셀 22 2 4 8" xfId="24280"/>
    <cellStyle name="연결된 셀 22 2 5" xfId="7155"/>
    <cellStyle name="연결된 셀 22 2 5 2" xfId="7156"/>
    <cellStyle name="연결된 셀 22 2 5 2 2" xfId="7157"/>
    <cellStyle name="연결된 셀 22 2 5 2 2 2" xfId="24298"/>
    <cellStyle name="연결된 셀 22 2 5 2 3" xfId="7158"/>
    <cellStyle name="연결된 셀 22 2 5 2 3 2" xfId="24299"/>
    <cellStyle name="연결된 셀 22 2 5 2 4" xfId="7159"/>
    <cellStyle name="연결된 셀 22 2 5 2 4 2" xfId="24300"/>
    <cellStyle name="연결된 셀 22 2 5 2 5" xfId="24297"/>
    <cellStyle name="연결된 셀 22 2 5 3" xfId="7160"/>
    <cellStyle name="연결된 셀 22 2 5 3 2" xfId="7161"/>
    <cellStyle name="연결된 셀 22 2 5 3 2 2" xfId="24302"/>
    <cellStyle name="연결된 셀 22 2 5 3 3" xfId="7162"/>
    <cellStyle name="연결된 셀 22 2 5 3 3 2" xfId="24303"/>
    <cellStyle name="연결된 셀 22 2 5 3 4" xfId="7163"/>
    <cellStyle name="연결된 셀 22 2 5 3 4 2" xfId="24304"/>
    <cellStyle name="연결된 셀 22 2 5 3 5" xfId="24301"/>
    <cellStyle name="연결된 셀 22 2 5 4" xfId="7164"/>
    <cellStyle name="연결된 셀 22 2 5 4 2" xfId="7165"/>
    <cellStyle name="연결된 셀 22 2 5 4 2 2" xfId="24306"/>
    <cellStyle name="연결된 셀 22 2 5 4 3" xfId="7166"/>
    <cellStyle name="연결된 셀 22 2 5 4 3 2" xfId="24307"/>
    <cellStyle name="연결된 셀 22 2 5 4 4" xfId="7167"/>
    <cellStyle name="연결된 셀 22 2 5 4 4 2" xfId="24308"/>
    <cellStyle name="연결된 셀 22 2 5 4 5" xfId="24305"/>
    <cellStyle name="연결된 셀 22 2 5 5" xfId="7168"/>
    <cellStyle name="연결된 셀 22 2 5 5 2" xfId="24309"/>
    <cellStyle name="연결된 셀 22 2 5 6" xfId="7169"/>
    <cellStyle name="연결된 셀 22 2 5 6 2" xfId="24310"/>
    <cellStyle name="연결된 셀 22 2 5 7" xfId="7170"/>
    <cellStyle name="연결된 셀 22 2 5 7 2" xfId="24311"/>
    <cellStyle name="연결된 셀 22 2 5 8" xfId="24296"/>
    <cellStyle name="연결된 셀 22 2 6" xfId="7171"/>
    <cellStyle name="연결된 셀 22 2 6 2" xfId="7172"/>
    <cellStyle name="연결된 셀 22 2 6 2 2" xfId="7173"/>
    <cellStyle name="연결된 셀 22 2 6 2 2 2" xfId="24314"/>
    <cellStyle name="연결된 셀 22 2 6 2 3" xfId="7174"/>
    <cellStyle name="연결된 셀 22 2 6 2 3 2" xfId="24315"/>
    <cellStyle name="연결된 셀 22 2 6 2 4" xfId="7175"/>
    <cellStyle name="연결된 셀 22 2 6 2 4 2" xfId="24316"/>
    <cellStyle name="연결된 셀 22 2 6 2 5" xfId="24313"/>
    <cellStyle name="연결된 셀 22 2 6 3" xfId="7176"/>
    <cellStyle name="연결된 셀 22 2 6 3 2" xfId="7177"/>
    <cellStyle name="연결된 셀 22 2 6 3 2 2" xfId="24318"/>
    <cellStyle name="연결된 셀 22 2 6 3 3" xfId="7178"/>
    <cellStyle name="연결된 셀 22 2 6 3 3 2" xfId="24319"/>
    <cellStyle name="연결된 셀 22 2 6 3 4" xfId="7179"/>
    <cellStyle name="연결된 셀 22 2 6 3 4 2" xfId="24320"/>
    <cellStyle name="연결된 셀 22 2 6 3 5" xfId="24317"/>
    <cellStyle name="연결된 셀 22 2 6 4" xfId="7180"/>
    <cellStyle name="연결된 셀 22 2 6 4 2" xfId="7181"/>
    <cellStyle name="연결된 셀 22 2 6 4 2 2" xfId="24322"/>
    <cellStyle name="연결된 셀 22 2 6 4 3" xfId="7182"/>
    <cellStyle name="연결된 셀 22 2 6 4 3 2" xfId="24323"/>
    <cellStyle name="연결된 셀 22 2 6 4 4" xfId="7183"/>
    <cellStyle name="연결된 셀 22 2 6 4 4 2" xfId="24324"/>
    <cellStyle name="연결된 셀 22 2 6 4 5" xfId="24321"/>
    <cellStyle name="연결된 셀 22 2 6 5" xfId="7184"/>
    <cellStyle name="연결된 셀 22 2 6 5 2" xfId="24325"/>
    <cellStyle name="연결된 셀 22 2 6 6" xfId="7185"/>
    <cellStyle name="연결된 셀 22 2 6 6 2" xfId="24326"/>
    <cellStyle name="연결된 셀 22 2 6 7" xfId="7186"/>
    <cellStyle name="연결된 셀 22 2 6 7 2" xfId="24327"/>
    <cellStyle name="연결된 셀 22 2 6 8" xfId="24312"/>
    <cellStyle name="연결된 셀 22 2 7" xfId="7187"/>
    <cellStyle name="연결된 셀 22 2 7 2" xfId="7188"/>
    <cellStyle name="연결된 셀 22 2 7 2 2" xfId="7189"/>
    <cellStyle name="연결된 셀 22 2 7 2 2 2" xfId="24330"/>
    <cellStyle name="연결된 셀 22 2 7 2 3" xfId="7190"/>
    <cellStyle name="연결된 셀 22 2 7 2 3 2" xfId="24331"/>
    <cellStyle name="연결된 셀 22 2 7 2 4" xfId="7191"/>
    <cellStyle name="연결된 셀 22 2 7 2 4 2" xfId="24332"/>
    <cellStyle name="연결된 셀 22 2 7 2 5" xfId="24329"/>
    <cellStyle name="연결된 셀 22 2 7 3" xfId="7192"/>
    <cellStyle name="연결된 셀 22 2 7 3 2" xfId="7193"/>
    <cellStyle name="연결된 셀 22 2 7 3 2 2" xfId="24334"/>
    <cellStyle name="연결된 셀 22 2 7 3 3" xfId="7194"/>
    <cellStyle name="연결된 셀 22 2 7 3 3 2" xfId="24335"/>
    <cellStyle name="연결된 셀 22 2 7 3 4" xfId="7195"/>
    <cellStyle name="연결된 셀 22 2 7 3 4 2" xfId="24336"/>
    <cellStyle name="연결된 셀 22 2 7 3 5" xfId="24333"/>
    <cellStyle name="연결된 셀 22 2 7 4" xfId="7196"/>
    <cellStyle name="연결된 셀 22 2 7 4 2" xfId="7197"/>
    <cellStyle name="연결된 셀 22 2 7 4 2 2" xfId="24338"/>
    <cellStyle name="연결된 셀 22 2 7 4 3" xfId="7198"/>
    <cellStyle name="연결된 셀 22 2 7 4 3 2" xfId="24339"/>
    <cellStyle name="연결된 셀 22 2 7 4 4" xfId="7199"/>
    <cellStyle name="연결된 셀 22 2 7 4 4 2" xfId="24340"/>
    <cellStyle name="연결된 셀 22 2 7 4 5" xfId="24337"/>
    <cellStyle name="연결된 셀 22 2 7 5" xfId="7200"/>
    <cellStyle name="연결된 셀 22 2 7 5 2" xfId="24341"/>
    <cellStyle name="연결된 셀 22 2 7 6" xfId="7201"/>
    <cellStyle name="연결된 셀 22 2 7 6 2" xfId="24342"/>
    <cellStyle name="연결된 셀 22 2 7 7" xfId="7202"/>
    <cellStyle name="연결된 셀 22 2 7 7 2" xfId="24343"/>
    <cellStyle name="연결된 셀 22 2 7 8" xfId="24328"/>
    <cellStyle name="연결된 셀 22 2 8" xfId="7203"/>
    <cellStyle name="연결된 셀 22 2 8 2" xfId="7204"/>
    <cellStyle name="연결된 셀 22 2 8 2 2" xfId="7205"/>
    <cellStyle name="연결된 셀 22 2 8 2 2 2" xfId="24346"/>
    <cellStyle name="연결된 셀 22 2 8 2 3" xfId="7206"/>
    <cellStyle name="연결된 셀 22 2 8 2 3 2" xfId="24347"/>
    <cellStyle name="연결된 셀 22 2 8 2 4" xfId="7207"/>
    <cellStyle name="연결된 셀 22 2 8 2 4 2" xfId="24348"/>
    <cellStyle name="연결된 셀 22 2 8 2 5" xfId="24345"/>
    <cellStyle name="연결된 셀 22 2 8 3" xfId="7208"/>
    <cellStyle name="연결된 셀 22 2 8 3 2" xfId="7209"/>
    <cellStyle name="연결된 셀 22 2 8 3 2 2" xfId="24350"/>
    <cellStyle name="연결된 셀 22 2 8 3 3" xfId="7210"/>
    <cellStyle name="연결된 셀 22 2 8 3 3 2" xfId="24351"/>
    <cellStyle name="연결된 셀 22 2 8 3 4" xfId="7211"/>
    <cellStyle name="연결된 셀 22 2 8 3 4 2" xfId="24352"/>
    <cellStyle name="연결된 셀 22 2 8 3 5" xfId="24349"/>
    <cellStyle name="연결된 셀 22 2 8 4" xfId="7212"/>
    <cellStyle name="연결된 셀 22 2 8 4 2" xfId="7213"/>
    <cellStyle name="연결된 셀 22 2 8 4 2 2" xfId="24354"/>
    <cellStyle name="연결된 셀 22 2 8 4 3" xfId="7214"/>
    <cellStyle name="연결된 셀 22 2 8 4 3 2" xfId="24355"/>
    <cellStyle name="연결된 셀 22 2 8 4 4" xfId="7215"/>
    <cellStyle name="연결된 셀 22 2 8 4 4 2" xfId="24356"/>
    <cellStyle name="연결된 셀 22 2 8 4 5" xfId="24353"/>
    <cellStyle name="연결된 셀 22 2 8 5" xfId="7216"/>
    <cellStyle name="연결된 셀 22 2 8 5 2" xfId="24357"/>
    <cellStyle name="연결된 셀 22 2 8 6" xfId="7217"/>
    <cellStyle name="연결된 셀 22 2 8 6 2" xfId="24358"/>
    <cellStyle name="연결된 셀 22 2 8 7" xfId="7218"/>
    <cellStyle name="연결된 셀 22 2 8 7 2" xfId="24359"/>
    <cellStyle name="연결된 셀 22 2 8 8" xfId="24344"/>
    <cellStyle name="연결된 셀 22 2 9" xfId="7219"/>
    <cellStyle name="연결된 셀 22 2 9 2" xfId="7220"/>
    <cellStyle name="연결된 셀 22 2 9 2 2" xfId="7221"/>
    <cellStyle name="연결된 셀 22 2 9 2 2 2" xfId="24362"/>
    <cellStyle name="연결된 셀 22 2 9 2 3" xfId="7222"/>
    <cellStyle name="연결된 셀 22 2 9 2 3 2" xfId="24363"/>
    <cellStyle name="연결된 셀 22 2 9 2 4" xfId="7223"/>
    <cellStyle name="연결된 셀 22 2 9 2 4 2" xfId="24364"/>
    <cellStyle name="연결된 셀 22 2 9 2 5" xfId="24361"/>
    <cellStyle name="연결된 셀 22 2 9 3" xfId="7224"/>
    <cellStyle name="연결된 셀 22 2 9 3 2" xfId="7225"/>
    <cellStyle name="연결된 셀 22 2 9 3 2 2" xfId="24366"/>
    <cellStyle name="연결된 셀 22 2 9 3 3" xfId="7226"/>
    <cellStyle name="연결된 셀 22 2 9 3 3 2" xfId="24367"/>
    <cellStyle name="연결된 셀 22 2 9 3 4" xfId="7227"/>
    <cellStyle name="연결된 셀 22 2 9 3 4 2" xfId="24368"/>
    <cellStyle name="연결된 셀 22 2 9 3 5" xfId="24365"/>
    <cellStyle name="연결된 셀 22 2 9 4" xfId="7228"/>
    <cellStyle name="연결된 셀 22 2 9 4 2" xfId="7229"/>
    <cellStyle name="연결된 셀 22 2 9 4 2 2" xfId="24370"/>
    <cellStyle name="연결된 셀 22 2 9 4 3" xfId="7230"/>
    <cellStyle name="연결된 셀 22 2 9 4 3 2" xfId="24371"/>
    <cellStyle name="연결된 셀 22 2 9 4 4" xfId="7231"/>
    <cellStyle name="연결된 셀 22 2 9 4 4 2" xfId="24372"/>
    <cellStyle name="연결된 셀 22 2 9 4 5" xfId="24369"/>
    <cellStyle name="연결된 셀 22 2 9 5" xfId="7232"/>
    <cellStyle name="연결된 셀 22 2 9 5 2" xfId="24373"/>
    <cellStyle name="연결된 셀 22 2 9 6" xfId="7233"/>
    <cellStyle name="연결된 셀 22 2 9 6 2" xfId="24374"/>
    <cellStyle name="연결된 셀 22 2 9 7" xfId="7234"/>
    <cellStyle name="연결된 셀 22 2 9 7 2" xfId="24375"/>
    <cellStyle name="연결된 셀 22 2 9 8" xfId="24360"/>
    <cellStyle name="연결된 셀 22 3" xfId="7235"/>
    <cellStyle name="연결된 셀 22 3 2" xfId="7236"/>
    <cellStyle name="연결된 셀 22 3 2 2" xfId="7237"/>
    <cellStyle name="연결된 셀 22 3 2 2 2" xfId="24378"/>
    <cellStyle name="연결된 셀 22 3 2 3" xfId="7238"/>
    <cellStyle name="연결된 셀 22 3 2 3 2" xfId="24379"/>
    <cellStyle name="연결된 셀 22 3 2 4" xfId="7239"/>
    <cellStyle name="연결된 셀 22 3 2 4 2" xfId="24380"/>
    <cellStyle name="연결된 셀 22 3 2 5" xfId="24377"/>
    <cellStyle name="연결된 셀 22 3 3" xfId="7240"/>
    <cellStyle name="연결된 셀 22 3 3 2" xfId="7241"/>
    <cellStyle name="연결된 셀 22 3 3 2 2" xfId="24382"/>
    <cellStyle name="연결된 셀 22 3 3 3" xfId="7242"/>
    <cellStyle name="연결된 셀 22 3 3 3 2" xfId="24383"/>
    <cellStyle name="연결된 셀 22 3 3 4" xfId="7243"/>
    <cellStyle name="연결된 셀 22 3 3 4 2" xfId="24384"/>
    <cellStyle name="연결된 셀 22 3 3 5" xfId="24381"/>
    <cellStyle name="연결된 셀 22 3 4" xfId="7244"/>
    <cellStyle name="연결된 셀 22 3 4 2" xfId="7245"/>
    <cellStyle name="연결된 셀 22 3 4 2 2" xfId="24386"/>
    <cellStyle name="연결된 셀 22 3 4 3" xfId="7246"/>
    <cellStyle name="연결된 셀 22 3 4 3 2" xfId="24387"/>
    <cellStyle name="연결된 셀 22 3 4 4" xfId="7247"/>
    <cellStyle name="연결된 셀 22 3 4 4 2" xfId="24388"/>
    <cellStyle name="연결된 셀 22 3 4 5" xfId="24385"/>
    <cellStyle name="연결된 셀 22 3 5" xfId="7248"/>
    <cellStyle name="연결된 셀 22 3 5 2" xfId="24389"/>
    <cellStyle name="연결된 셀 22 3 6" xfId="7249"/>
    <cellStyle name="연결된 셀 22 3 6 2" xfId="24390"/>
    <cellStyle name="연결된 셀 22 3 7" xfId="7250"/>
    <cellStyle name="연결된 셀 22 3 7 2" xfId="24391"/>
    <cellStyle name="연결된 셀 22 3 8" xfId="24376"/>
    <cellStyle name="연결된 셀 22 4" xfId="7251"/>
    <cellStyle name="연결된 셀 22 4 2" xfId="7252"/>
    <cellStyle name="연결된 셀 22 4 2 2" xfId="7253"/>
    <cellStyle name="연결된 셀 22 4 2 2 2" xfId="24394"/>
    <cellStyle name="연결된 셀 22 4 2 3" xfId="7254"/>
    <cellStyle name="연결된 셀 22 4 2 3 2" xfId="24395"/>
    <cellStyle name="연결된 셀 22 4 2 4" xfId="7255"/>
    <cellStyle name="연결된 셀 22 4 2 4 2" xfId="24396"/>
    <cellStyle name="연결된 셀 22 4 2 5" xfId="24393"/>
    <cellStyle name="연결된 셀 22 4 3" xfId="7256"/>
    <cellStyle name="연결된 셀 22 4 3 2" xfId="7257"/>
    <cellStyle name="연결된 셀 22 4 3 2 2" xfId="24398"/>
    <cellStyle name="연결된 셀 22 4 3 3" xfId="7258"/>
    <cellStyle name="연결된 셀 22 4 3 3 2" xfId="24399"/>
    <cellStyle name="연결된 셀 22 4 3 4" xfId="7259"/>
    <cellStyle name="연결된 셀 22 4 3 4 2" xfId="24400"/>
    <cellStyle name="연결된 셀 22 4 3 5" xfId="24397"/>
    <cellStyle name="연결된 셀 22 4 4" xfId="7260"/>
    <cellStyle name="연결된 셀 22 4 4 2" xfId="7261"/>
    <cellStyle name="연결된 셀 22 4 4 2 2" xfId="24402"/>
    <cellStyle name="연결된 셀 22 4 4 3" xfId="7262"/>
    <cellStyle name="연결된 셀 22 4 4 3 2" xfId="24403"/>
    <cellStyle name="연결된 셀 22 4 4 4" xfId="7263"/>
    <cellStyle name="연결된 셀 22 4 4 4 2" xfId="24404"/>
    <cellStyle name="연결된 셀 22 4 4 5" xfId="24401"/>
    <cellStyle name="연결된 셀 22 4 5" xfId="7264"/>
    <cellStyle name="연결된 셀 22 4 5 2" xfId="24405"/>
    <cellStyle name="연결된 셀 22 4 6" xfId="7265"/>
    <cellStyle name="연결된 셀 22 4 6 2" xfId="24406"/>
    <cellStyle name="연결된 셀 22 4 7" xfId="7266"/>
    <cellStyle name="연결된 셀 22 4 7 2" xfId="24407"/>
    <cellStyle name="연결된 셀 22 4 8" xfId="24392"/>
    <cellStyle name="연결된 셀 22 5" xfId="7267"/>
    <cellStyle name="연결된 셀 22 5 2" xfId="7268"/>
    <cellStyle name="연결된 셀 22 5 2 2" xfId="7269"/>
    <cellStyle name="연결된 셀 22 5 2 2 2" xfId="24410"/>
    <cellStyle name="연결된 셀 22 5 2 3" xfId="7270"/>
    <cellStyle name="연결된 셀 22 5 2 3 2" xfId="24411"/>
    <cellStyle name="연결된 셀 22 5 2 4" xfId="7271"/>
    <cellStyle name="연결된 셀 22 5 2 4 2" xfId="24412"/>
    <cellStyle name="연결된 셀 22 5 2 5" xfId="24409"/>
    <cellStyle name="연결된 셀 22 5 3" xfId="7272"/>
    <cellStyle name="연결된 셀 22 5 3 2" xfId="7273"/>
    <cellStyle name="연결된 셀 22 5 3 2 2" xfId="24414"/>
    <cellStyle name="연결된 셀 22 5 3 3" xfId="7274"/>
    <cellStyle name="연결된 셀 22 5 3 3 2" xfId="24415"/>
    <cellStyle name="연결된 셀 22 5 3 4" xfId="7275"/>
    <cellStyle name="연결된 셀 22 5 3 4 2" xfId="24416"/>
    <cellStyle name="연결된 셀 22 5 3 5" xfId="24413"/>
    <cellStyle name="연결된 셀 22 5 4" xfId="7276"/>
    <cellStyle name="연결된 셀 22 5 4 2" xfId="7277"/>
    <cellStyle name="연결된 셀 22 5 4 2 2" xfId="24418"/>
    <cellStyle name="연결된 셀 22 5 4 3" xfId="7278"/>
    <cellStyle name="연결된 셀 22 5 4 3 2" xfId="24419"/>
    <cellStyle name="연결된 셀 22 5 4 4" xfId="7279"/>
    <cellStyle name="연결된 셀 22 5 4 4 2" xfId="24420"/>
    <cellStyle name="연결된 셀 22 5 4 5" xfId="24417"/>
    <cellStyle name="연결된 셀 22 5 5" xfId="7280"/>
    <cellStyle name="연결된 셀 22 5 5 2" xfId="24421"/>
    <cellStyle name="연결된 셀 22 5 6" xfId="7281"/>
    <cellStyle name="연결된 셀 22 5 6 2" xfId="24422"/>
    <cellStyle name="연결된 셀 22 5 7" xfId="7282"/>
    <cellStyle name="연결된 셀 22 5 7 2" xfId="24423"/>
    <cellStyle name="연결된 셀 22 5 8" xfId="24408"/>
    <cellStyle name="연결된 셀 22 6" xfId="7283"/>
    <cellStyle name="연결된 셀 22 6 2" xfId="7284"/>
    <cellStyle name="연결된 셀 22 6 2 2" xfId="7285"/>
    <cellStyle name="연결된 셀 22 6 2 2 2" xfId="24426"/>
    <cellStyle name="연결된 셀 22 6 2 3" xfId="7286"/>
    <cellStyle name="연결된 셀 22 6 2 3 2" xfId="24427"/>
    <cellStyle name="연결된 셀 22 6 2 4" xfId="7287"/>
    <cellStyle name="연결된 셀 22 6 2 4 2" xfId="24428"/>
    <cellStyle name="연결된 셀 22 6 2 5" xfId="24425"/>
    <cellStyle name="연결된 셀 22 6 3" xfId="7288"/>
    <cellStyle name="연결된 셀 22 6 3 2" xfId="7289"/>
    <cellStyle name="연결된 셀 22 6 3 2 2" xfId="24430"/>
    <cellStyle name="연결된 셀 22 6 3 3" xfId="7290"/>
    <cellStyle name="연결된 셀 22 6 3 3 2" xfId="24431"/>
    <cellStyle name="연결된 셀 22 6 3 4" xfId="7291"/>
    <cellStyle name="연결된 셀 22 6 3 4 2" xfId="24432"/>
    <cellStyle name="연결된 셀 22 6 3 5" xfId="24429"/>
    <cellStyle name="연결된 셀 22 6 4" xfId="7292"/>
    <cellStyle name="연결된 셀 22 6 4 2" xfId="7293"/>
    <cellStyle name="연결된 셀 22 6 4 2 2" xfId="24434"/>
    <cellStyle name="연결된 셀 22 6 4 3" xfId="7294"/>
    <cellStyle name="연결된 셀 22 6 4 3 2" xfId="24435"/>
    <cellStyle name="연결된 셀 22 6 4 4" xfId="7295"/>
    <cellStyle name="연결된 셀 22 6 4 4 2" xfId="24436"/>
    <cellStyle name="연결된 셀 22 6 4 5" xfId="24433"/>
    <cellStyle name="연결된 셀 22 6 5" xfId="7296"/>
    <cellStyle name="연결된 셀 22 6 5 2" xfId="24437"/>
    <cellStyle name="연결된 셀 22 6 6" xfId="7297"/>
    <cellStyle name="연결된 셀 22 6 6 2" xfId="24438"/>
    <cellStyle name="연결된 셀 22 6 7" xfId="7298"/>
    <cellStyle name="연결된 셀 22 6 7 2" xfId="24439"/>
    <cellStyle name="연결된 셀 22 6 8" xfId="24424"/>
    <cellStyle name="연결된 셀 22 7" xfId="7299"/>
    <cellStyle name="연결된 셀 22 7 2" xfId="7300"/>
    <cellStyle name="연결된 셀 22 7 2 2" xfId="7301"/>
    <cellStyle name="연결된 셀 22 7 2 2 2" xfId="24442"/>
    <cellStyle name="연결된 셀 22 7 2 3" xfId="7302"/>
    <cellStyle name="연결된 셀 22 7 2 3 2" xfId="24443"/>
    <cellStyle name="연결된 셀 22 7 2 4" xfId="7303"/>
    <cellStyle name="연결된 셀 22 7 2 4 2" xfId="24444"/>
    <cellStyle name="연결된 셀 22 7 2 5" xfId="24441"/>
    <cellStyle name="연결된 셀 22 7 3" xfId="7304"/>
    <cellStyle name="연결된 셀 22 7 3 2" xfId="7305"/>
    <cellStyle name="연결된 셀 22 7 3 2 2" xfId="24446"/>
    <cellStyle name="연결된 셀 22 7 3 3" xfId="7306"/>
    <cellStyle name="연결된 셀 22 7 3 3 2" xfId="24447"/>
    <cellStyle name="연결된 셀 22 7 3 4" xfId="7307"/>
    <cellStyle name="연결된 셀 22 7 3 4 2" xfId="24448"/>
    <cellStyle name="연결된 셀 22 7 3 5" xfId="24445"/>
    <cellStyle name="연결된 셀 22 7 4" xfId="7308"/>
    <cellStyle name="연결된 셀 22 7 4 2" xfId="7309"/>
    <cellStyle name="연결된 셀 22 7 4 2 2" xfId="24450"/>
    <cellStyle name="연결된 셀 22 7 4 3" xfId="7310"/>
    <cellStyle name="연결된 셀 22 7 4 3 2" xfId="24451"/>
    <cellStyle name="연결된 셀 22 7 4 4" xfId="7311"/>
    <cellStyle name="연결된 셀 22 7 4 4 2" xfId="24452"/>
    <cellStyle name="연결된 셀 22 7 4 5" xfId="24449"/>
    <cellStyle name="연결된 셀 22 7 5" xfId="7312"/>
    <cellStyle name="연결된 셀 22 7 5 2" xfId="24453"/>
    <cellStyle name="연결된 셀 22 7 6" xfId="7313"/>
    <cellStyle name="연결된 셀 22 7 6 2" xfId="24454"/>
    <cellStyle name="연결된 셀 22 7 7" xfId="7314"/>
    <cellStyle name="연결된 셀 22 7 7 2" xfId="24455"/>
    <cellStyle name="연결된 셀 22 7 8" xfId="24440"/>
    <cellStyle name="연결된 셀 22 8" xfId="7315"/>
    <cellStyle name="연결된 셀 22 8 2" xfId="7316"/>
    <cellStyle name="연결된 셀 22 8 2 2" xfId="7317"/>
    <cellStyle name="연결된 셀 22 8 2 2 2" xfId="24458"/>
    <cellStyle name="연결된 셀 22 8 2 3" xfId="7318"/>
    <cellStyle name="연결된 셀 22 8 2 3 2" xfId="24459"/>
    <cellStyle name="연결된 셀 22 8 2 4" xfId="7319"/>
    <cellStyle name="연결된 셀 22 8 2 4 2" xfId="24460"/>
    <cellStyle name="연결된 셀 22 8 2 5" xfId="24457"/>
    <cellStyle name="연결된 셀 22 8 3" xfId="7320"/>
    <cellStyle name="연결된 셀 22 8 3 2" xfId="7321"/>
    <cellStyle name="연결된 셀 22 8 3 2 2" xfId="24462"/>
    <cellStyle name="연결된 셀 22 8 3 3" xfId="7322"/>
    <cellStyle name="연결된 셀 22 8 3 3 2" xfId="24463"/>
    <cellStyle name="연결된 셀 22 8 3 4" xfId="7323"/>
    <cellStyle name="연결된 셀 22 8 3 4 2" xfId="24464"/>
    <cellStyle name="연결된 셀 22 8 3 5" xfId="24461"/>
    <cellStyle name="연결된 셀 22 8 4" xfId="7324"/>
    <cellStyle name="연결된 셀 22 8 4 2" xfId="7325"/>
    <cellStyle name="연결된 셀 22 8 4 2 2" xfId="24466"/>
    <cellStyle name="연결된 셀 22 8 4 3" xfId="7326"/>
    <cellStyle name="연결된 셀 22 8 4 3 2" xfId="24467"/>
    <cellStyle name="연결된 셀 22 8 4 4" xfId="7327"/>
    <cellStyle name="연결된 셀 22 8 4 4 2" xfId="24468"/>
    <cellStyle name="연결된 셀 22 8 4 5" xfId="24465"/>
    <cellStyle name="연결된 셀 22 8 5" xfId="7328"/>
    <cellStyle name="연결된 셀 22 8 5 2" xfId="24469"/>
    <cellStyle name="연결된 셀 22 8 6" xfId="7329"/>
    <cellStyle name="연결된 셀 22 8 6 2" xfId="24470"/>
    <cellStyle name="연결된 셀 22 8 7" xfId="7330"/>
    <cellStyle name="연결된 셀 22 8 7 2" xfId="24471"/>
    <cellStyle name="연결된 셀 22 8 8" xfId="24456"/>
    <cellStyle name="연결된 셀 22 9" xfId="7331"/>
    <cellStyle name="연결된 셀 22 9 2" xfId="7332"/>
    <cellStyle name="연결된 셀 22 9 2 2" xfId="7333"/>
    <cellStyle name="연결된 셀 22 9 2 2 2" xfId="24474"/>
    <cellStyle name="연결된 셀 22 9 2 3" xfId="7334"/>
    <cellStyle name="연결된 셀 22 9 2 3 2" xfId="24475"/>
    <cellStyle name="연결된 셀 22 9 2 4" xfId="7335"/>
    <cellStyle name="연결된 셀 22 9 2 4 2" xfId="24476"/>
    <cellStyle name="연결된 셀 22 9 2 5" xfId="24473"/>
    <cellStyle name="연결된 셀 22 9 3" xfId="7336"/>
    <cellStyle name="연결된 셀 22 9 3 2" xfId="7337"/>
    <cellStyle name="연결된 셀 22 9 3 2 2" xfId="24478"/>
    <cellStyle name="연결된 셀 22 9 3 3" xfId="7338"/>
    <cellStyle name="연결된 셀 22 9 3 3 2" xfId="24479"/>
    <cellStyle name="연결된 셀 22 9 3 4" xfId="7339"/>
    <cellStyle name="연결된 셀 22 9 3 4 2" xfId="24480"/>
    <cellStyle name="연결된 셀 22 9 3 5" xfId="24477"/>
    <cellStyle name="연결된 셀 22 9 4" xfId="7340"/>
    <cellStyle name="연결된 셀 22 9 4 2" xfId="7341"/>
    <cellStyle name="연결된 셀 22 9 4 2 2" xfId="24482"/>
    <cellStyle name="연결된 셀 22 9 4 3" xfId="7342"/>
    <cellStyle name="연결된 셀 22 9 4 3 2" xfId="24483"/>
    <cellStyle name="연결된 셀 22 9 4 4" xfId="7343"/>
    <cellStyle name="연결된 셀 22 9 4 4 2" xfId="24484"/>
    <cellStyle name="연결된 셀 22 9 4 5" xfId="24481"/>
    <cellStyle name="연결된 셀 22 9 5" xfId="7344"/>
    <cellStyle name="연결된 셀 22 9 5 2" xfId="24485"/>
    <cellStyle name="연결된 셀 22 9 6" xfId="7345"/>
    <cellStyle name="연결된 셀 22 9 6 2" xfId="24486"/>
    <cellStyle name="연결된 셀 22 9 7" xfId="7346"/>
    <cellStyle name="연결된 셀 22 9 7 2" xfId="24487"/>
    <cellStyle name="연결된 셀 22 9 8" xfId="24472"/>
    <cellStyle name="연결된 셀 23" xfId="7347"/>
    <cellStyle name="연결된 셀 23 2" xfId="7348"/>
    <cellStyle name="연결된 셀 23 2 2" xfId="24489"/>
    <cellStyle name="연결된 셀 23 3" xfId="7349"/>
    <cellStyle name="연결된 셀 23 3 2" xfId="24490"/>
    <cellStyle name="연결된 셀 23 4" xfId="7350"/>
    <cellStyle name="연결된 셀 23 4 2" xfId="24491"/>
    <cellStyle name="연결된 셀 23 5" xfId="24488"/>
    <cellStyle name="연결된 셀 24" xfId="7351"/>
    <cellStyle name="연결된 셀 24 2" xfId="7352"/>
    <cellStyle name="연결된 셀 24 2 2" xfId="24493"/>
    <cellStyle name="연결된 셀 24 3" xfId="7353"/>
    <cellStyle name="연결된 셀 24 3 2" xfId="24494"/>
    <cellStyle name="연결된 셀 24 4" xfId="7354"/>
    <cellStyle name="연결된 셀 24 4 2" xfId="24495"/>
    <cellStyle name="연결된 셀 24 5" xfId="24492"/>
    <cellStyle name="연결된 셀 25" xfId="7355"/>
    <cellStyle name="연결된 셀 25 2" xfId="24496"/>
    <cellStyle name="연결된 셀 26" xfId="58"/>
    <cellStyle name="연결된 셀 26 2" xfId="17230"/>
    <cellStyle name="연결된 셀 3" xfId="332"/>
    <cellStyle name="연결된 셀 3 10" xfId="7356"/>
    <cellStyle name="연결된 셀 3 10 2" xfId="7357"/>
    <cellStyle name="연결된 셀 3 10 2 2" xfId="7358"/>
    <cellStyle name="연결된 셀 3 10 2 2 2" xfId="24499"/>
    <cellStyle name="연결된 셀 3 10 2 3" xfId="7359"/>
    <cellStyle name="연결된 셀 3 10 2 3 2" xfId="24500"/>
    <cellStyle name="연결된 셀 3 10 2 4" xfId="7360"/>
    <cellStyle name="연결된 셀 3 10 2 4 2" xfId="24501"/>
    <cellStyle name="연결된 셀 3 10 2 5" xfId="24498"/>
    <cellStyle name="연결된 셀 3 10 3" xfId="7361"/>
    <cellStyle name="연결된 셀 3 10 3 2" xfId="7362"/>
    <cellStyle name="연결된 셀 3 10 3 2 2" xfId="24503"/>
    <cellStyle name="연결된 셀 3 10 3 3" xfId="7363"/>
    <cellStyle name="연결된 셀 3 10 3 3 2" xfId="24504"/>
    <cellStyle name="연결된 셀 3 10 3 4" xfId="7364"/>
    <cellStyle name="연결된 셀 3 10 3 4 2" xfId="24505"/>
    <cellStyle name="연결된 셀 3 10 3 5" xfId="24502"/>
    <cellStyle name="연결된 셀 3 10 4" xfId="7365"/>
    <cellStyle name="연결된 셀 3 10 4 2" xfId="7366"/>
    <cellStyle name="연결된 셀 3 10 4 2 2" xfId="24507"/>
    <cellStyle name="연결된 셀 3 10 4 3" xfId="7367"/>
    <cellStyle name="연결된 셀 3 10 4 3 2" xfId="24508"/>
    <cellStyle name="연결된 셀 3 10 4 4" xfId="7368"/>
    <cellStyle name="연결된 셀 3 10 4 4 2" xfId="24509"/>
    <cellStyle name="연결된 셀 3 10 4 5" xfId="24506"/>
    <cellStyle name="연결된 셀 3 10 5" xfId="7369"/>
    <cellStyle name="연결된 셀 3 10 5 2" xfId="24510"/>
    <cellStyle name="연결된 셀 3 10 6" xfId="7370"/>
    <cellStyle name="연결된 셀 3 10 6 2" xfId="24511"/>
    <cellStyle name="연결된 셀 3 10 7" xfId="7371"/>
    <cellStyle name="연결된 셀 3 10 7 2" xfId="24512"/>
    <cellStyle name="연결된 셀 3 10 8" xfId="24497"/>
    <cellStyle name="연결된 셀 3 11" xfId="7372"/>
    <cellStyle name="연결된 셀 3 11 2" xfId="7373"/>
    <cellStyle name="연결된 셀 3 11 2 2" xfId="7374"/>
    <cellStyle name="연결된 셀 3 11 2 2 2" xfId="24515"/>
    <cellStyle name="연결된 셀 3 11 2 3" xfId="7375"/>
    <cellStyle name="연결된 셀 3 11 2 3 2" xfId="24516"/>
    <cellStyle name="연결된 셀 3 11 2 4" xfId="7376"/>
    <cellStyle name="연결된 셀 3 11 2 4 2" xfId="24517"/>
    <cellStyle name="연결된 셀 3 11 2 5" xfId="24514"/>
    <cellStyle name="연결된 셀 3 11 3" xfId="7377"/>
    <cellStyle name="연결된 셀 3 11 3 2" xfId="7378"/>
    <cellStyle name="연결된 셀 3 11 3 2 2" xfId="24519"/>
    <cellStyle name="연결된 셀 3 11 3 3" xfId="7379"/>
    <cellStyle name="연결된 셀 3 11 3 3 2" xfId="24520"/>
    <cellStyle name="연결된 셀 3 11 3 4" xfId="7380"/>
    <cellStyle name="연결된 셀 3 11 3 4 2" xfId="24521"/>
    <cellStyle name="연결된 셀 3 11 3 5" xfId="24518"/>
    <cellStyle name="연결된 셀 3 11 4" xfId="7381"/>
    <cellStyle name="연결된 셀 3 11 4 2" xfId="7382"/>
    <cellStyle name="연결된 셀 3 11 4 2 2" xfId="24523"/>
    <cellStyle name="연결된 셀 3 11 4 3" xfId="7383"/>
    <cellStyle name="연결된 셀 3 11 4 3 2" xfId="24524"/>
    <cellStyle name="연결된 셀 3 11 4 4" xfId="7384"/>
    <cellStyle name="연결된 셀 3 11 4 4 2" xfId="24525"/>
    <cellStyle name="연결된 셀 3 11 4 5" xfId="24522"/>
    <cellStyle name="연결된 셀 3 11 5" xfId="7385"/>
    <cellStyle name="연결된 셀 3 11 5 2" xfId="24526"/>
    <cellStyle name="연결된 셀 3 11 6" xfId="7386"/>
    <cellStyle name="연결된 셀 3 11 6 2" xfId="24527"/>
    <cellStyle name="연결된 셀 3 11 7" xfId="7387"/>
    <cellStyle name="연결된 셀 3 11 7 2" xfId="24528"/>
    <cellStyle name="연결된 셀 3 11 8" xfId="24513"/>
    <cellStyle name="연결된 셀 3 12" xfId="7388"/>
    <cellStyle name="연결된 셀 3 12 2" xfId="7389"/>
    <cellStyle name="연결된 셀 3 12 2 2" xfId="7390"/>
    <cellStyle name="연결된 셀 3 12 2 2 2" xfId="24531"/>
    <cellStyle name="연결된 셀 3 12 2 3" xfId="7391"/>
    <cellStyle name="연결된 셀 3 12 2 3 2" xfId="24532"/>
    <cellStyle name="연결된 셀 3 12 2 4" xfId="7392"/>
    <cellStyle name="연결된 셀 3 12 2 4 2" xfId="24533"/>
    <cellStyle name="연결된 셀 3 12 2 5" xfId="24530"/>
    <cellStyle name="연결된 셀 3 12 3" xfId="7393"/>
    <cellStyle name="연결된 셀 3 12 3 2" xfId="7394"/>
    <cellStyle name="연결된 셀 3 12 3 2 2" xfId="24535"/>
    <cellStyle name="연결된 셀 3 12 3 3" xfId="7395"/>
    <cellStyle name="연결된 셀 3 12 3 3 2" xfId="24536"/>
    <cellStyle name="연결된 셀 3 12 3 4" xfId="7396"/>
    <cellStyle name="연결된 셀 3 12 3 4 2" xfId="24537"/>
    <cellStyle name="연결된 셀 3 12 3 5" xfId="24534"/>
    <cellStyle name="연결된 셀 3 12 4" xfId="7397"/>
    <cellStyle name="연결된 셀 3 12 4 2" xfId="7398"/>
    <cellStyle name="연결된 셀 3 12 4 2 2" xfId="24539"/>
    <cellStyle name="연결된 셀 3 12 4 3" xfId="7399"/>
    <cellStyle name="연결된 셀 3 12 4 3 2" xfId="24540"/>
    <cellStyle name="연결된 셀 3 12 4 4" xfId="7400"/>
    <cellStyle name="연결된 셀 3 12 4 4 2" xfId="24541"/>
    <cellStyle name="연결된 셀 3 12 4 5" xfId="24538"/>
    <cellStyle name="연결된 셀 3 12 5" xfId="7401"/>
    <cellStyle name="연결된 셀 3 12 5 2" xfId="24542"/>
    <cellStyle name="연결된 셀 3 12 6" xfId="7402"/>
    <cellStyle name="연결된 셀 3 12 6 2" xfId="24543"/>
    <cellStyle name="연결된 셀 3 12 7" xfId="7403"/>
    <cellStyle name="연결된 셀 3 12 7 2" xfId="24544"/>
    <cellStyle name="연결된 셀 3 12 8" xfId="24529"/>
    <cellStyle name="연결된 셀 3 13" xfId="7404"/>
    <cellStyle name="연결된 셀 3 13 2" xfId="7405"/>
    <cellStyle name="연결된 셀 3 13 2 2" xfId="24546"/>
    <cellStyle name="연결된 셀 3 13 3" xfId="7406"/>
    <cellStyle name="연결된 셀 3 13 3 2" xfId="24547"/>
    <cellStyle name="연결된 셀 3 13 4" xfId="7407"/>
    <cellStyle name="연결된 셀 3 13 4 2" xfId="24548"/>
    <cellStyle name="연결된 셀 3 13 5" xfId="24545"/>
    <cellStyle name="연결된 셀 3 14" xfId="7408"/>
    <cellStyle name="연결된 셀 3 14 2" xfId="24549"/>
    <cellStyle name="연결된 셀 3 15" xfId="7409"/>
    <cellStyle name="연결된 셀 3 15 2" xfId="24550"/>
    <cellStyle name="연결된 셀 3 16" xfId="7410"/>
    <cellStyle name="연결된 셀 3 16 2" xfId="24551"/>
    <cellStyle name="연결된 셀 3 17" xfId="17475"/>
    <cellStyle name="연결된 셀 3 18" xfId="35673"/>
    <cellStyle name="연결된 셀 3 2" xfId="841"/>
    <cellStyle name="연결된 셀 3 2 10" xfId="7411"/>
    <cellStyle name="연결된 셀 3 2 10 2" xfId="7412"/>
    <cellStyle name="연결된 셀 3 2 10 2 2" xfId="7413"/>
    <cellStyle name="연결된 셀 3 2 10 2 2 2" xfId="24554"/>
    <cellStyle name="연결된 셀 3 2 10 2 3" xfId="7414"/>
    <cellStyle name="연결된 셀 3 2 10 2 3 2" xfId="24555"/>
    <cellStyle name="연결된 셀 3 2 10 2 4" xfId="7415"/>
    <cellStyle name="연결된 셀 3 2 10 2 4 2" xfId="24556"/>
    <cellStyle name="연결된 셀 3 2 10 2 5" xfId="24553"/>
    <cellStyle name="연결된 셀 3 2 10 3" xfId="7416"/>
    <cellStyle name="연결된 셀 3 2 10 3 2" xfId="7417"/>
    <cellStyle name="연결된 셀 3 2 10 3 2 2" xfId="24558"/>
    <cellStyle name="연결된 셀 3 2 10 3 3" xfId="7418"/>
    <cellStyle name="연결된 셀 3 2 10 3 3 2" xfId="24559"/>
    <cellStyle name="연결된 셀 3 2 10 3 4" xfId="7419"/>
    <cellStyle name="연결된 셀 3 2 10 3 4 2" xfId="24560"/>
    <cellStyle name="연결된 셀 3 2 10 3 5" xfId="24557"/>
    <cellStyle name="연결된 셀 3 2 10 4" xfId="7420"/>
    <cellStyle name="연결된 셀 3 2 10 4 2" xfId="7421"/>
    <cellStyle name="연결된 셀 3 2 10 4 2 2" xfId="24562"/>
    <cellStyle name="연결된 셀 3 2 10 4 3" xfId="7422"/>
    <cellStyle name="연결된 셀 3 2 10 4 3 2" xfId="24563"/>
    <cellStyle name="연결된 셀 3 2 10 4 4" xfId="7423"/>
    <cellStyle name="연결된 셀 3 2 10 4 4 2" xfId="24564"/>
    <cellStyle name="연결된 셀 3 2 10 4 5" xfId="24561"/>
    <cellStyle name="연결된 셀 3 2 10 5" xfId="7424"/>
    <cellStyle name="연결된 셀 3 2 10 5 2" xfId="24565"/>
    <cellStyle name="연결된 셀 3 2 10 6" xfId="7425"/>
    <cellStyle name="연결된 셀 3 2 10 6 2" xfId="24566"/>
    <cellStyle name="연결된 셀 3 2 10 7" xfId="7426"/>
    <cellStyle name="연결된 셀 3 2 10 7 2" xfId="24567"/>
    <cellStyle name="연결된 셀 3 2 10 8" xfId="24552"/>
    <cellStyle name="연결된 셀 3 2 11" xfId="7427"/>
    <cellStyle name="연결된 셀 3 2 11 2" xfId="7428"/>
    <cellStyle name="연결된 셀 3 2 11 2 2" xfId="7429"/>
    <cellStyle name="연결된 셀 3 2 11 2 2 2" xfId="24570"/>
    <cellStyle name="연결된 셀 3 2 11 2 3" xfId="7430"/>
    <cellStyle name="연결된 셀 3 2 11 2 3 2" xfId="24571"/>
    <cellStyle name="연결된 셀 3 2 11 2 4" xfId="7431"/>
    <cellStyle name="연결된 셀 3 2 11 2 4 2" xfId="24572"/>
    <cellStyle name="연결된 셀 3 2 11 2 5" xfId="24569"/>
    <cellStyle name="연결된 셀 3 2 11 3" xfId="7432"/>
    <cellStyle name="연결된 셀 3 2 11 3 2" xfId="7433"/>
    <cellStyle name="연결된 셀 3 2 11 3 2 2" xfId="24574"/>
    <cellStyle name="연결된 셀 3 2 11 3 3" xfId="7434"/>
    <cellStyle name="연결된 셀 3 2 11 3 3 2" xfId="24575"/>
    <cellStyle name="연결된 셀 3 2 11 3 4" xfId="7435"/>
    <cellStyle name="연결된 셀 3 2 11 3 4 2" xfId="24576"/>
    <cellStyle name="연결된 셀 3 2 11 3 5" xfId="24573"/>
    <cellStyle name="연결된 셀 3 2 11 4" xfId="7436"/>
    <cellStyle name="연결된 셀 3 2 11 4 2" xfId="7437"/>
    <cellStyle name="연결된 셀 3 2 11 4 2 2" xfId="24578"/>
    <cellStyle name="연결된 셀 3 2 11 4 3" xfId="7438"/>
    <cellStyle name="연결된 셀 3 2 11 4 3 2" xfId="24579"/>
    <cellStyle name="연결된 셀 3 2 11 4 4" xfId="7439"/>
    <cellStyle name="연결된 셀 3 2 11 4 4 2" xfId="24580"/>
    <cellStyle name="연결된 셀 3 2 11 4 5" xfId="24577"/>
    <cellStyle name="연결된 셀 3 2 11 5" xfId="7440"/>
    <cellStyle name="연결된 셀 3 2 11 5 2" xfId="24581"/>
    <cellStyle name="연결된 셀 3 2 11 6" xfId="7441"/>
    <cellStyle name="연결된 셀 3 2 11 6 2" xfId="24582"/>
    <cellStyle name="연결된 셀 3 2 11 7" xfId="7442"/>
    <cellStyle name="연결된 셀 3 2 11 7 2" xfId="24583"/>
    <cellStyle name="연결된 셀 3 2 11 8" xfId="24568"/>
    <cellStyle name="연결된 셀 3 2 12" xfId="7443"/>
    <cellStyle name="연결된 셀 3 2 12 2" xfId="7444"/>
    <cellStyle name="연결된 셀 3 2 12 2 2" xfId="24585"/>
    <cellStyle name="연결된 셀 3 2 12 3" xfId="7445"/>
    <cellStyle name="연결된 셀 3 2 12 3 2" xfId="24586"/>
    <cellStyle name="연결된 셀 3 2 12 4" xfId="7446"/>
    <cellStyle name="연결된 셀 3 2 12 4 2" xfId="24587"/>
    <cellStyle name="연결된 셀 3 2 12 5" xfId="24584"/>
    <cellStyle name="연결된 셀 3 2 13" xfId="7447"/>
    <cellStyle name="연결된 셀 3 2 13 2" xfId="24588"/>
    <cellStyle name="연결된 셀 3 2 14" xfId="7448"/>
    <cellStyle name="연결된 셀 3 2 14 2" xfId="24589"/>
    <cellStyle name="연결된 셀 3 2 15" xfId="7449"/>
    <cellStyle name="연결된 셀 3 2 15 2" xfId="24590"/>
    <cellStyle name="연결된 셀 3 2 16" xfId="17984"/>
    <cellStyle name="연결된 셀 3 2 2" xfId="7450"/>
    <cellStyle name="연결된 셀 3 2 2 2" xfId="7451"/>
    <cellStyle name="연결된 셀 3 2 2 2 2" xfId="7452"/>
    <cellStyle name="연결된 셀 3 2 2 2 2 2" xfId="24593"/>
    <cellStyle name="연결된 셀 3 2 2 2 3" xfId="7453"/>
    <cellStyle name="연결된 셀 3 2 2 2 3 2" xfId="24594"/>
    <cellStyle name="연결된 셀 3 2 2 2 4" xfId="7454"/>
    <cellStyle name="연결된 셀 3 2 2 2 4 2" xfId="24595"/>
    <cellStyle name="연결된 셀 3 2 2 2 5" xfId="24592"/>
    <cellStyle name="연결된 셀 3 2 2 3" xfId="7455"/>
    <cellStyle name="연결된 셀 3 2 2 3 2" xfId="7456"/>
    <cellStyle name="연결된 셀 3 2 2 3 2 2" xfId="24597"/>
    <cellStyle name="연결된 셀 3 2 2 3 3" xfId="7457"/>
    <cellStyle name="연결된 셀 3 2 2 3 3 2" xfId="24598"/>
    <cellStyle name="연결된 셀 3 2 2 3 4" xfId="7458"/>
    <cellStyle name="연결된 셀 3 2 2 3 4 2" xfId="24599"/>
    <cellStyle name="연결된 셀 3 2 2 3 5" xfId="24596"/>
    <cellStyle name="연결된 셀 3 2 2 4" xfId="7459"/>
    <cellStyle name="연결된 셀 3 2 2 4 2" xfId="7460"/>
    <cellStyle name="연결된 셀 3 2 2 4 2 2" xfId="24601"/>
    <cellStyle name="연결된 셀 3 2 2 4 3" xfId="7461"/>
    <cellStyle name="연결된 셀 3 2 2 4 3 2" xfId="24602"/>
    <cellStyle name="연결된 셀 3 2 2 4 4" xfId="7462"/>
    <cellStyle name="연결된 셀 3 2 2 4 4 2" xfId="24603"/>
    <cellStyle name="연결된 셀 3 2 2 4 5" xfId="24600"/>
    <cellStyle name="연결된 셀 3 2 2 5" xfId="7463"/>
    <cellStyle name="연결된 셀 3 2 2 5 2" xfId="24604"/>
    <cellStyle name="연결된 셀 3 2 2 6" xfId="7464"/>
    <cellStyle name="연결된 셀 3 2 2 6 2" xfId="24605"/>
    <cellStyle name="연결된 셀 3 2 2 7" xfId="7465"/>
    <cellStyle name="연결된 셀 3 2 2 7 2" xfId="24606"/>
    <cellStyle name="연결된 셀 3 2 2 8" xfId="24591"/>
    <cellStyle name="연결된 셀 3 2 3" xfId="7466"/>
    <cellStyle name="연결된 셀 3 2 3 2" xfId="7467"/>
    <cellStyle name="연결된 셀 3 2 3 2 2" xfId="7468"/>
    <cellStyle name="연결된 셀 3 2 3 2 2 2" xfId="24609"/>
    <cellStyle name="연결된 셀 3 2 3 2 3" xfId="7469"/>
    <cellStyle name="연결된 셀 3 2 3 2 3 2" xfId="24610"/>
    <cellStyle name="연결된 셀 3 2 3 2 4" xfId="7470"/>
    <cellStyle name="연결된 셀 3 2 3 2 4 2" xfId="24611"/>
    <cellStyle name="연결된 셀 3 2 3 2 5" xfId="24608"/>
    <cellStyle name="연결된 셀 3 2 3 3" xfId="7471"/>
    <cellStyle name="연결된 셀 3 2 3 3 2" xfId="7472"/>
    <cellStyle name="연결된 셀 3 2 3 3 2 2" xfId="24613"/>
    <cellStyle name="연결된 셀 3 2 3 3 3" xfId="7473"/>
    <cellStyle name="연결된 셀 3 2 3 3 3 2" xfId="24614"/>
    <cellStyle name="연결된 셀 3 2 3 3 4" xfId="7474"/>
    <cellStyle name="연결된 셀 3 2 3 3 4 2" xfId="24615"/>
    <cellStyle name="연결된 셀 3 2 3 3 5" xfId="24612"/>
    <cellStyle name="연결된 셀 3 2 3 4" xfId="7475"/>
    <cellStyle name="연결된 셀 3 2 3 4 2" xfId="7476"/>
    <cellStyle name="연결된 셀 3 2 3 4 2 2" xfId="24617"/>
    <cellStyle name="연결된 셀 3 2 3 4 3" xfId="7477"/>
    <cellStyle name="연결된 셀 3 2 3 4 3 2" xfId="24618"/>
    <cellStyle name="연결된 셀 3 2 3 4 4" xfId="7478"/>
    <cellStyle name="연결된 셀 3 2 3 4 4 2" xfId="24619"/>
    <cellStyle name="연결된 셀 3 2 3 4 5" xfId="24616"/>
    <cellStyle name="연결된 셀 3 2 3 5" xfId="7479"/>
    <cellStyle name="연결된 셀 3 2 3 5 2" xfId="24620"/>
    <cellStyle name="연결된 셀 3 2 3 6" xfId="7480"/>
    <cellStyle name="연결된 셀 3 2 3 6 2" xfId="24621"/>
    <cellStyle name="연결된 셀 3 2 3 7" xfId="7481"/>
    <cellStyle name="연결된 셀 3 2 3 7 2" xfId="24622"/>
    <cellStyle name="연결된 셀 3 2 3 8" xfId="24607"/>
    <cellStyle name="연결된 셀 3 2 4" xfId="7482"/>
    <cellStyle name="연결된 셀 3 2 4 2" xfId="7483"/>
    <cellStyle name="연결된 셀 3 2 4 2 2" xfId="7484"/>
    <cellStyle name="연결된 셀 3 2 4 2 2 2" xfId="24625"/>
    <cellStyle name="연결된 셀 3 2 4 2 3" xfId="7485"/>
    <cellStyle name="연결된 셀 3 2 4 2 3 2" xfId="24626"/>
    <cellStyle name="연결된 셀 3 2 4 2 4" xfId="7486"/>
    <cellStyle name="연결된 셀 3 2 4 2 4 2" xfId="24627"/>
    <cellStyle name="연결된 셀 3 2 4 2 5" xfId="24624"/>
    <cellStyle name="연결된 셀 3 2 4 3" xfId="7487"/>
    <cellStyle name="연결된 셀 3 2 4 3 2" xfId="7488"/>
    <cellStyle name="연결된 셀 3 2 4 3 2 2" xfId="24629"/>
    <cellStyle name="연결된 셀 3 2 4 3 3" xfId="7489"/>
    <cellStyle name="연결된 셀 3 2 4 3 3 2" xfId="24630"/>
    <cellStyle name="연결된 셀 3 2 4 3 4" xfId="7490"/>
    <cellStyle name="연결된 셀 3 2 4 3 4 2" xfId="24631"/>
    <cellStyle name="연결된 셀 3 2 4 3 5" xfId="24628"/>
    <cellStyle name="연결된 셀 3 2 4 4" xfId="7491"/>
    <cellStyle name="연결된 셀 3 2 4 4 2" xfId="7492"/>
    <cellStyle name="연결된 셀 3 2 4 4 2 2" xfId="24633"/>
    <cellStyle name="연결된 셀 3 2 4 4 3" xfId="7493"/>
    <cellStyle name="연결된 셀 3 2 4 4 3 2" xfId="24634"/>
    <cellStyle name="연결된 셀 3 2 4 4 4" xfId="7494"/>
    <cellStyle name="연결된 셀 3 2 4 4 4 2" xfId="24635"/>
    <cellStyle name="연결된 셀 3 2 4 4 5" xfId="24632"/>
    <cellStyle name="연결된 셀 3 2 4 5" xfId="7495"/>
    <cellStyle name="연결된 셀 3 2 4 5 2" xfId="24636"/>
    <cellStyle name="연결된 셀 3 2 4 6" xfId="7496"/>
    <cellStyle name="연결된 셀 3 2 4 6 2" xfId="24637"/>
    <cellStyle name="연결된 셀 3 2 4 7" xfId="7497"/>
    <cellStyle name="연결된 셀 3 2 4 7 2" xfId="24638"/>
    <cellStyle name="연결된 셀 3 2 4 8" xfId="24623"/>
    <cellStyle name="연결된 셀 3 2 5" xfId="7498"/>
    <cellStyle name="연결된 셀 3 2 5 2" xfId="7499"/>
    <cellStyle name="연결된 셀 3 2 5 2 2" xfId="7500"/>
    <cellStyle name="연결된 셀 3 2 5 2 2 2" xfId="24641"/>
    <cellStyle name="연결된 셀 3 2 5 2 3" xfId="7501"/>
    <cellStyle name="연결된 셀 3 2 5 2 3 2" xfId="24642"/>
    <cellStyle name="연결된 셀 3 2 5 2 4" xfId="7502"/>
    <cellStyle name="연결된 셀 3 2 5 2 4 2" xfId="24643"/>
    <cellStyle name="연결된 셀 3 2 5 2 5" xfId="24640"/>
    <cellStyle name="연결된 셀 3 2 5 3" xfId="7503"/>
    <cellStyle name="연결된 셀 3 2 5 3 2" xfId="7504"/>
    <cellStyle name="연결된 셀 3 2 5 3 2 2" xfId="24645"/>
    <cellStyle name="연결된 셀 3 2 5 3 3" xfId="7505"/>
    <cellStyle name="연결된 셀 3 2 5 3 3 2" xfId="24646"/>
    <cellStyle name="연결된 셀 3 2 5 3 4" xfId="7506"/>
    <cellStyle name="연결된 셀 3 2 5 3 4 2" xfId="24647"/>
    <cellStyle name="연결된 셀 3 2 5 3 5" xfId="24644"/>
    <cellStyle name="연결된 셀 3 2 5 4" xfId="7507"/>
    <cellStyle name="연결된 셀 3 2 5 4 2" xfId="7508"/>
    <cellStyle name="연결된 셀 3 2 5 4 2 2" xfId="24649"/>
    <cellStyle name="연결된 셀 3 2 5 4 3" xfId="7509"/>
    <cellStyle name="연결된 셀 3 2 5 4 3 2" xfId="24650"/>
    <cellStyle name="연결된 셀 3 2 5 4 4" xfId="7510"/>
    <cellStyle name="연결된 셀 3 2 5 4 4 2" xfId="24651"/>
    <cellStyle name="연결된 셀 3 2 5 4 5" xfId="24648"/>
    <cellStyle name="연결된 셀 3 2 5 5" xfId="7511"/>
    <cellStyle name="연결된 셀 3 2 5 5 2" xfId="24652"/>
    <cellStyle name="연결된 셀 3 2 5 6" xfId="7512"/>
    <cellStyle name="연결된 셀 3 2 5 6 2" xfId="24653"/>
    <cellStyle name="연결된 셀 3 2 5 7" xfId="7513"/>
    <cellStyle name="연결된 셀 3 2 5 7 2" xfId="24654"/>
    <cellStyle name="연결된 셀 3 2 5 8" xfId="24639"/>
    <cellStyle name="연결된 셀 3 2 6" xfId="7514"/>
    <cellStyle name="연결된 셀 3 2 6 2" xfId="7515"/>
    <cellStyle name="연결된 셀 3 2 6 2 2" xfId="7516"/>
    <cellStyle name="연결된 셀 3 2 6 2 2 2" xfId="24657"/>
    <cellStyle name="연결된 셀 3 2 6 2 3" xfId="7517"/>
    <cellStyle name="연결된 셀 3 2 6 2 3 2" xfId="24658"/>
    <cellStyle name="연결된 셀 3 2 6 2 4" xfId="7518"/>
    <cellStyle name="연결된 셀 3 2 6 2 4 2" xfId="24659"/>
    <cellStyle name="연결된 셀 3 2 6 2 5" xfId="24656"/>
    <cellStyle name="연결된 셀 3 2 6 3" xfId="7519"/>
    <cellStyle name="연결된 셀 3 2 6 3 2" xfId="7520"/>
    <cellStyle name="연결된 셀 3 2 6 3 2 2" xfId="24661"/>
    <cellStyle name="연결된 셀 3 2 6 3 3" xfId="7521"/>
    <cellStyle name="연결된 셀 3 2 6 3 3 2" xfId="24662"/>
    <cellStyle name="연결된 셀 3 2 6 3 4" xfId="7522"/>
    <cellStyle name="연결된 셀 3 2 6 3 4 2" xfId="24663"/>
    <cellStyle name="연결된 셀 3 2 6 3 5" xfId="24660"/>
    <cellStyle name="연결된 셀 3 2 6 4" xfId="7523"/>
    <cellStyle name="연결된 셀 3 2 6 4 2" xfId="7524"/>
    <cellStyle name="연결된 셀 3 2 6 4 2 2" xfId="24665"/>
    <cellStyle name="연결된 셀 3 2 6 4 3" xfId="7525"/>
    <cellStyle name="연결된 셀 3 2 6 4 3 2" xfId="24666"/>
    <cellStyle name="연결된 셀 3 2 6 4 4" xfId="7526"/>
    <cellStyle name="연결된 셀 3 2 6 4 4 2" xfId="24667"/>
    <cellStyle name="연결된 셀 3 2 6 4 5" xfId="24664"/>
    <cellStyle name="연결된 셀 3 2 6 5" xfId="7527"/>
    <cellStyle name="연결된 셀 3 2 6 5 2" xfId="24668"/>
    <cellStyle name="연결된 셀 3 2 6 6" xfId="7528"/>
    <cellStyle name="연결된 셀 3 2 6 6 2" xfId="24669"/>
    <cellStyle name="연결된 셀 3 2 6 7" xfId="7529"/>
    <cellStyle name="연결된 셀 3 2 6 7 2" xfId="24670"/>
    <cellStyle name="연결된 셀 3 2 6 8" xfId="24655"/>
    <cellStyle name="연결된 셀 3 2 7" xfId="7530"/>
    <cellStyle name="연결된 셀 3 2 7 2" xfId="7531"/>
    <cellStyle name="연결된 셀 3 2 7 2 2" xfId="7532"/>
    <cellStyle name="연결된 셀 3 2 7 2 2 2" xfId="24673"/>
    <cellStyle name="연결된 셀 3 2 7 2 3" xfId="7533"/>
    <cellStyle name="연결된 셀 3 2 7 2 3 2" xfId="24674"/>
    <cellStyle name="연결된 셀 3 2 7 2 4" xfId="7534"/>
    <cellStyle name="연결된 셀 3 2 7 2 4 2" xfId="24675"/>
    <cellStyle name="연결된 셀 3 2 7 2 5" xfId="24672"/>
    <cellStyle name="연결된 셀 3 2 7 3" xfId="7535"/>
    <cellStyle name="연결된 셀 3 2 7 3 2" xfId="7536"/>
    <cellStyle name="연결된 셀 3 2 7 3 2 2" xfId="24677"/>
    <cellStyle name="연결된 셀 3 2 7 3 3" xfId="7537"/>
    <cellStyle name="연결된 셀 3 2 7 3 3 2" xfId="24678"/>
    <cellStyle name="연결된 셀 3 2 7 3 4" xfId="7538"/>
    <cellStyle name="연결된 셀 3 2 7 3 4 2" xfId="24679"/>
    <cellStyle name="연결된 셀 3 2 7 3 5" xfId="24676"/>
    <cellStyle name="연결된 셀 3 2 7 4" xfId="7539"/>
    <cellStyle name="연결된 셀 3 2 7 4 2" xfId="7540"/>
    <cellStyle name="연결된 셀 3 2 7 4 2 2" xfId="24681"/>
    <cellStyle name="연결된 셀 3 2 7 4 3" xfId="7541"/>
    <cellStyle name="연결된 셀 3 2 7 4 3 2" xfId="24682"/>
    <cellStyle name="연결된 셀 3 2 7 4 4" xfId="7542"/>
    <cellStyle name="연결된 셀 3 2 7 4 4 2" xfId="24683"/>
    <cellStyle name="연결된 셀 3 2 7 4 5" xfId="24680"/>
    <cellStyle name="연결된 셀 3 2 7 5" xfId="7543"/>
    <cellStyle name="연결된 셀 3 2 7 5 2" xfId="24684"/>
    <cellStyle name="연결된 셀 3 2 7 6" xfId="7544"/>
    <cellStyle name="연결된 셀 3 2 7 6 2" xfId="24685"/>
    <cellStyle name="연결된 셀 3 2 7 7" xfId="7545"/>
    <cellStyle name="연결된 셀 3 2 7 7 2" xfId="24686"/>
    <cellStyle name="연결된 셀 3 2 7 8" xfId="24671"/>
    <cellStyle name="연결된 셀 3 2 8" xfId="7546"/>
    <cellStyle name="연결된 셀 3 2 8 2" xfId="7547"/>
    <cellStyle name="연결된 셀 3 2 8 2 2" xfId="7548"/>
    <cellStyle name="연결된 셀 3 2 8 2 2 2" xfId="24689"/>
    <cellStyle name="연결된 셀 3 2 8 2 3" xfId="7549"/>
    <cellStyle name="연결된 셀 3 2 8 2 3 2" xfId="24690"/>
    <cellStyle name="연결된 셀 3 2 8 2 4" xfId="7550"/>
    <cellStyle name="연결된 셀 3 2 8 2 4 2" xfId="24691"/>
    <cellStyle name="연결된 셀 3 2 8 2 5" xfId="24688"/>
    <cellStyle name="연결된 셀 3 2 8 3" xfId="7551"/>
    <cellStyle name="연결된 셀 3 2 8 3 2" xfId="7552"/>
    <cellStyle name="연결된 셀 3 2 8 3 2 2" xfId="24693"/>
    <cellStyle name="연결된 셀 3 2 8 3 3" xfId="7553"/>
    <cellStyle name="연결된 셀 3 2 8 3 3 2" xfId="24694"/>
    <cellStyle name="연결된 셀 3 2 8 3 4" xfId="7554"/>
    <cellStyle name="연결된 셀 3 2 8 3 4 2" xfId="24695"/>
    <cellStyle name="연결된 셀 3 2 8 3 5" xfId="24692"/>
    <cellStyle name="연결된 셀 3 2 8 4" xfId="7555"/>
    <cellStyle name="연결된 셀 3 2 8 4 2" xfId="7556"/>
    <cellStyle name="연결된 셀 3 2 8 4 2 2" xfId="24697"/>
    <cellStyle name="연결된 셀 3 2 8 4 3" xfId="7557"/>
    <cellStyle name="연결된 셀 3 2 8 4 3 2" xfId="24698"/>
    <cellStyle name="연결된 셀 3 2 8 4 4" xfId="7558"/>
    <cellStyle name="연결된 셀 3 2 8 4 4 2" xfId="24699"/>
    <cellStyle name="연결된 셀 3 2 8 4 5" xfId="24696"/>
    <cellStyle name="연결된 셀 3 2 8 5" xfId="7559"/>
    <cellStyle name="연결된 셀 3 2 8 5 2" xfId="24700"/>
    <cellStyle name="연결된 셀 3 2 8 6" xfId="7560"/>
    <cellStyle name="연결된 셀 3 2 8 6 2" xfId="24701"/>
    <cellStyle name="연결된 셀 3 2 8 7" xfId="7561"/>
    <cellStyle name="연결된 셀 3 2 8 7 2" xfId="24702"/>
    <cellStyle name="연결된 셀 3 2 8 8" xfId="24687"/>
    <cellStyle name="연결된 셀 3 2 9" xfId="7562"/>
    <cellStyle name="연결된 셀 3 2 9 2" xfId="7563"/>
    <cellStyle name="연결된 셀 3 2 9 2 2" xfId="7564"/>
    <cellStyle name="연결된 셀 3 2 9 2 2 2" xfId="24705"/>
    <cellStyle name="연결된 셀 3 2 9 2 3" xfId="7565"/>
    <cellStyle name="연결된 셀 3 2 9 2 3 2" xfId="24706"/>
    <cellStyle name="연결된 셀 3 2 9 2 4" xfId="7566"/>
    <cellStyle name="연결된 셀 3 2 9 2 4 2" xfId="24707"/>
    <cellStyle name="연결된 셀 3 2 9 2 5" xfId="24704"/>
    <cellStyle name="연결된 셀 3 2 9 3" xfId="7567"/>
    <cellStyle name="연결된 셀 3 2 9 3 2" xfId="7568"/>
    <cellStyle name="연결된 셀 3 2 9 3 2 2" xfId="24709"/>
    <cellStyle name="연결된 셀 3 2 9 3 3" xfId="7569"/>
    <cellStyle name="연결된 셀 3 2 9 3 3 2" xfId="24710"/>
    <cellStyle name="연결된 셀 3 2 9 3 4" xfId="7570"/>
    <cellStyle name="연결된 셀 3 2 9 3 4 2" xfId="24711"/>
    <cellStyle name="연결된 셀 3 2 9 3 5" xfId="24708"/>
    <cellStyle name="연결된 셀 3 2 9 4" xfId="7571"/>
    <cellStyle name="연결된 셀 3 2 9 4 2" xfId="7572"/>
    <cellStyle name="연결된 셀 3 2 9 4 2 2" xfId="24713"/>
    <cellStyle name="연결된 셀 3 2 9 4 3" xfId="7573"/>
    <cellStyle name="연결된 셀 3 2 9 4 3 2" xfId="24714"/>
    <cellStyle name="연결된 셀 3 2 9 4 4" xfId="7574"/>
    <cellStyle name="연결된 셀 3 2 9 4 4 2" xfId="24715"/>
    <cellStyle name="연결된 셀 3 2 9 4 5" xfId="24712"/>
    <cellStyle name="연결된 셀 3 2 9 5" xfId="7575"/>
    <cellStyle name="연결된 셀 3 2 9 5 2" xfId="24716"/>
    <cellStyle name="연결된 셀 3 2 9 6" xfId="7576"/>
    <cellStyle name="연결된 셀 3 2 9 6 2" xfId="24717"/>
    <cellStyle name="연결된 셀 3 2 9 7" xfId="7577"/>
    <cellStyle name="연결된 셀 3 2 9 7 2" xfId="24718"/>
    <cellStyle name="연결된 셀 3 2 9 8" xfId="24703"/>
    <cellStyle name="연결된 셀 3 3" xfId="589"/>
    <cellStyle name="연결된 셀 3 3 2" xfId="7578"/>
    <cellStyle name="연결된 셀 3 3 2 2" xfId="7579"/>
    <cellStyle name="연결된 셀 3 3 2 2 2" xfId="24720"/>
    <cellStyle name="연결된 셀 3 3 2 3" xfId="7580"/>
    <cellStyle name="연결된 셀 3 3 2 3 2" xfId="24721"/>
    <cellStyle name="연결된 셀 3 3 2 4" xfId="7581"/>
    <cellStyle name="연결된 셀 3 3 2 4 2" xfId="24722"/>
    <cellStyle name="연결된 셀 3 3 2 5" xfId="24719"/>
    <cellStyle name="연결된 셀 3 3 3" xfId="7582"/>
    <cellStyle name="연결된 셀 3 3 3 2" xfId="7583"/>
    <cellStyle name="연결된 셀 3 3 3 2 2" xfId="24724"/>
    <cellStyle name="연결된 셀 3 3 3 3" xfId="7584"/>
    <cellStyle name="연결된 셀 3 3 3 3 2" xfId="24725"/>
    <cellStyle name="연결된 셀 3 3 3 4" xfId="7585"/>
    <cellStyle name="연결된 셀 3 3 3 4 2" xfId="24726"/>
    <cellStyle name="연결된 셀 3 3 3 5" xfId="24723"/>
    <cellStyle name="연결된 셀 3 3 4" xfId="7586"/>
    <cellStyle name="연결된 셀 3 3 4 2" xfId="7587"/>
    <cellStyle name="연결된 셀 3 3 4 2 2" xfId="24728"/>
    <cellStyle name="연결된 셀 3 3 4 3" xfId="7588"/>
    <cellStyle name="연결된 셀 3 3 4 3 2" xfId="24729"/>
    <cellStyle name="연결된 셀 3 3 4 4" xfId="7589"/>
    <cellStyle name="연결된 셀 3 3 4 4 2" xfId="24730"/>
    <cellStyle name="연결된 셀 3 3 4 5" xfId="24727"/>
    <cellStyle name="연결된 셀 3 3 5" xfId="7590"/>
    <cellStyle name="연결된 셀 3 3 5 2" xfId="24731"/>
    <cellStyle name="연결된 셀 3 3 6" xfId="7591"/>
    <cellStyle name="연결된 셀 3 3 6 2" xfId="24732"/>
    <cellStyle name="연결된 셀 3 3 7" xfId="7592"/>
    <cellStyle name="연결된 셀 3 3 7 2" xfId="24733"/>
    <cellStyle name="연결된 셀 3 3 8" xfId="17732"/>
    <cellStyle name="연결된 셀 3 4" xfId="7593"/>
    <cellStyle name="연결된 셀 3 4 2" xfId="7594"/>
    <cellStyle name="연결된 셀 3 4 2 2" xfId="7595"/>
    <cellStyle name="연결된 셀 3 4 2 2 2" xfId="24736"/>
    <cellStyle name="연결된 셀 3 4 2 3" xfId="7596"/>
    <cellStyle name="연결된 셀 3 4 2 3 2" xfId="24737"/>
    <cellStyle name="연결된 셀 3 4 2 4" xfId="7597"/>
    <cellStyle name="연결된 셀 3 4 2 4 2" xfId="24738"/>
    <cellStyle name="연결된 셀 3 4 2 5" xfId="24735"/>
    <cellStyle name="연결된 셀 3 4 3" xfId="7598"/>
    <cellStyle name="연결된 셀 3 4 3 2" xfId="7599"/>
    <cellStyle name="연결된 셀 3 4 3 2 2" xfId="24740"/>
    <cellStyle name="연결된 셀 3 4 3 3" xfId="7600"/>
    <cellStyle name="연결된 셀 3 4 3 3 2" xfId="24741"/>
    <cellStyle name="연결된 셀 3 4 3 4" xfId="7601"/>
    <cellStyle name="연결된 셀 3 4 3 4 2" xfId="24742"/>
    <cellStyle name="연결된 셀 3 4 3 5" xfId="24739"/>
    <cellStyle name="연결된 셀 3 4 4" xfId="7602"/>
    <cellStyle name="연결된 셀 3 4 4 2" xfId="7603"/>
    <cellStyle name="연결된 셀 3 4 4 2 2" xfId="24744"/>
    <cellStyle name="연결된 셀 3 4 4 3" xfId="7604"/>
    <cellStyle name="연결된 셀 3 4 4 3 2" xfId="24745"/>
    <cellStyle name="연결된 셀 3 4 4 4" xfId="7605"/>
    <cellStyle name="연결된 셀 3 4 4 4 2" xfId="24746"/>
    <cellStyle name="연결된 셀 3 4 4 5" xfId="24743"/>
    <cellStyle name="연결된 셀 3 4 5" xfId="7606"/>
    <cellStyle name="연결된 셀 3 4 5 2" xfId="24747"/>
    <cellStyle name="연결된 셀 3 4 6" xfId="7607"/>
    <cellStyle name="연결된 셀 3 4 6 2" xfId="24748"/>
    <cellStyle name="연결된 셀 3 4 7" xfId="7608"/>
    <cellStyle name="연결된 셀 3 4 7 2" xfId="24749"/>
    <cellStyle name="연결된 셀 3 4 8" xfId="24734"/>
    <cellStyle name="연결된 셀 3 5" xfId="7609"/>
    <cellStyle name="연결된 셀 3 5 2" xfId="7610"/>
    <cellStyle name="연결된 셀 3 5 2 2" xfId="7611"/>
    <cellStyle name="연결된 셀 3 5 2 2 2" xfId="24752"/>
    <cellStyle name="연결된 셀 3 5 2 3" xfId="7612"/>
    <cellStyle name="연결된 셀 3 5 2 3 2" xfId="24753"/>
    <cellStyle name="연결된 셀 3 5 2 4" xfId="7613"/>
    <cellStyle name="연결된 셀 3 5 2 4 2" xfId="24754"/>
    <cellStyle name="연결된 셀 3 5 2 5" xfId="24751"/>
    <cellStyle name="연결된 셀 3 5 3" xfId="7614"/>
    <cellStyle name="연결된 셀 3 5 3 2" xfId="7615"/>
    <cellStyle name="연결된 셀 3 5 3 2 2" xfId="24756"/>
    <cellStyle name="연결된 셀 3 5 3 3" xfId="7616"/>
    <cellStyle name="연결된 셀 3 5 3 3 2" xfId="24757"/>
    <cellStyle name="연결된 셀 3 5 3 4" xfId="7617"/>
    <cellStyle name="연결된 셀 3 5 3 4 2" xfId="24758"/>
    <cellStyle name="연결된 셀 3 5 3 5" xfId="24755"/>
    <cellStyle name="연결된 셀 3 5 4" xfId="7618"/>
    <cellStyle name="연결된 셀 3 5 4 2" xfId="7619"/>
    <cellStyle name="연결된 셀 3 5 4 2 2" xfId="24760"/>
    <cellStyle name="연결된 셀 3 5 4 3" xfId="7620"/>
    <cellStyle name="연결된 셀 3 5 4 3 2" xfId="24761"/>
    <cellStyle name="연결된 셀 3 5 4 4" xfId="7621"/>
    <cellStyle name="연결된 셀 3 5 4 4 2" xfId="24762"/>
    <cellStyle name="연결된 셀 3 5 4 5" xfId="24759"/>
    <cellStyle name="연결된 셀 3 5 5" xfId="7622"/>
    <cellStyle name="연결된 셀 3 5 5 2" xfId="24763"/>
    <cellStyle name="연결된 셀 3 5 6" xfId="7623"/>
    <cellStyle name="연결된 셀 3 5 6 2" xfId="24764"/>
    <cellStyle name="연결된 셀 3 5 7" xfId="7624"/>
    <cellStyle name="연결된 셀 3 5 7 2" xfId="24765"/>
    <cellStyle name="연결된 셀 3 5 8" xfId="24750"/>
    <cellStyle name="연결된 셀 3 6" xfId="7625"/>
    <cellStyle name="연결된 셀 3 6 2" xfId="7626"/>
    <cellStyle name="연결된 셀 3 6 2 2" xfId="7627"/>
    <cellStyle name="연결된 셀 3 6 2 2 2" xfId="24768"/>
    <cellStyle name="연결된 셀 3 6 2 3" xfId="7628"/>
    <cellStyle name="연결된 셀 3 6 2 3 2" xfId="24769"/>
    <cellStyle name="연결된 셀 3 6 2 4" xfId="7629"/>
    <cellStyle name="연결된 셀 3 6 2 4 2" xfId="24770"/>
    <cellStyle name="연결된 셀 3 6 2 5" xfId="24767"/>
    <cellStyle name="연결된 셀 3 6 3" xfId="7630"/>
    <cellStyle name="연결된 셀 3 6 3 2" xfId="7631"/>
    <cellStyle name="연결된 셀 3 6 3 2 2" xfId="24772"/>
    <cellStyle name="연결된 셀 3 6 3 3" xfId="7632"/>
    <cellStyle name="연결된 셀 3 6 3 3 2" xfId="24773"/>
    <cellStyle name="연결된 셀 3 6 3 4" xfId="7633"/>
    <cellStyle name="연결된 셀 3 6 3 4 2" xfId="24774"/>
    <cellStyle name="연결된 셀 3 6 3 5" xfId="24771"/>
    <cellStyle name="연결된 셀 3 6 4" xfId="7634"/>
    <cellStyle name="연결된 셀 3 6 4 2" xfId="7635"/>
    <cellStyle name="연결된 셀 3 6 4 2 2" xfId="24776"/>
    <cellStyle name="연결된 셀 3 6 4 3" xfId="7636"/>
    <cellStyle name="연결된 셀 3 6 4 3 2" xfId="24777"/>
    <cellStyle name="연결된 셀 3 6 4 4" xfId="7637"/>
    <cellStyle name="연결된 셀 3 6 4 4 2" xfId="24778"/>
    <cellStyle name="연결된 셀 3 6 4 5" xfId="24775"/>
    <cellStyle name="연결된 셀 3 6 5" xfId="7638"/>
    <cellStyle name="연결된 셀 3 6 5 2" xfId="24779"/>
    <cellStyle name="연결된 셀 3 6 6" xfId="7639"/>
    <cellStyle name="연결된 셀 3 6 6 2" xfId="24780"/>
    <cellStyle name="연결된 셀 3 6 7" xfId="7640"/>
    <cellStyle name="연결된 셀 3 6 7 2" xfId="24781"/>
    <cellStyle name="연결된 셀 3 6 8" xfId="24766"/>
    <cellStyle name="연결된 셀 3 7" xfId="7641"/>
    <cellStyle name="연결된 셀 3 7 2" xfId="7642"/>
    <cellStyle name="연결된 셀 3 7 2 2" xfId="7643"/>
    <cellStyle name="연결된 셀 3 7 2 2 2" xfId="24784"/>
    <cellStyle name="연결된 셀 3 7 2 3" xfId="7644"/>
    <cellStyle name="연결된 셀 3 7 2 3 2" xfId="24785"/>
    <cellStyle name="연결된 셀 3 7 2 4" xfId="7645"/>
    <cellStyle name="연결된 셀 3 7 2 4 2" xfId="24786"/>
    <cellStyle name="연결된 셀 3 7 2 5" xfId="24783"/>
    <cellStyle name="연결된 셀 3 7 3" xfId="7646"/>
    <cellStyle name="연결된 셀 3 7 3 2" xfId="7647"/>
    <cellStyle name="연결된 셀 3 7 3 2 2" xfId="24788"/>
    <cellStyle name="연결된 셀 3 7 3 3" xfId="7648"/>
    <cellStyle name="연결된 셀 3 7 3 3 2" xfId="24789"/>
    <cellStyle name="연결된 셀 3 7 3 4" xfId="7649"/>
    <cellStyle name="연결된 셀 3 7 3 4 2" xfId="24790"/>
    <cellStyle name="연결된 셀 3 7 3 5" xfId="24787"/>
    <cellStyle name="연결된 셀 3 7 4" xfId="7650"/>
    <cellStyle name="연결된 셀 3 7 4 2" xfId="7651"/>
    <cellStyle name="연결된 셀 3 7 4 2 2" xfId="24792"/>
    <cellStyle name="연결된 셀 3 7 4 3" xfId="7652"/>
    <cellStyle name="연결된 셀 3 7 4 3 2" xfId="24793"/>
    <cellStyle name="연결된 셀 3 7 4 4" xfId="7653"/>
    <cellStyle name="연결된 셀 3 7 4 4 2" xfId="24794"/>
    <cellStyle name="연결된 셀 3 7 4 5" xfId="24791"/>
    <cellStyle name="연결된 셀 3 7 5" xfId="7654"/>
    <cellStyle name="연결된 셀 3 7 5 2" xfId="24795"/>
    <cellStyle name="연결된 셀 3 7 6" xfId="7655"/>
    <cellStyle name="연결된 셀 3 7 6 2" xfId="24796"/>
    <cellStyle name="연결된 셀 3 7 7" xfId="7656"/>
    <cellStyle name="연결된 셀 3 7 7 2" xfId="24797"/>
    <cellStyle name="연결된 셀 3 7 8" xfId="24782"/>
    <cellStyle name="연결된 셀 3 8" xfId="7657"/>
    <cellStyle name="연결된 셀 3 8 2" xfId="7658"/>
    <cellStyle name="연결된 셀 3 8 2 2" xfId="7659"/>
    <cellStyle name="연결된 셀 3 8 2 2 2" xfId="24800"/>
    <cellStyle name="연결된 셀 3 8 2 3" xfId="7660"/>
    <cellStyle name="연결된 셀 3 8 2 3 2" xfId="24801"/>
    <cellStyle name="연결된 셀 3 8 2 4" xfId="7661"/>
    <cellStyle name="연결된 셀 3 8 2 4 2" xfId="24802"/>
    <cellStyle name="연결된 셀 3 8 2 5" xfId="24799"/>
    <cellStyle name="연결된 셀 3 8 3" xfId="7662"/>
    <cellStyle name="연결된 셀 3 8 3 2" xfId="7663"/>
    <cellStyle name="연결된 셀 3 8 3 2 2" xfId="24804"/>
    <cellStyle name="연결된 셀 3 8 3 3" xfId="7664"/>
    <cellStyle name="연결된 셀 3 8 3 3 2" xfId="24805"/>
    <cellStyle name="연결된 셀 3 8 3 4" xfId="7665"/>
    <cellStyle name="연결된 셀 3 8 3 4 2" xfId="24806"/>
    <cellStyle name="연결된 셀 3 8 3 5" xfId="24803"/>
    <cellStyle name="연결된 셀 3 8 4" xfId="7666"/>
    <cellStyle name="연결된 셀 3 8 4 2" xfId="7667"/>
    <cellStyle name="연결된 셀 3 8 4 2 2" xfId="24808"/>
    <cellStyle name="연결된 셀 3 8 4 3" xfId="7668"/>
    <cellStyle name="연결된 셀 3 8 4 3 2" xfId="24809"/>
    <cellStyle name="연결된 셀 3 8 4 4" xfId="7669"/>
    <cellStyle name="연결된 셀 3 8 4 4 2" xfId="24810"/>
    <cellStyle name="연결된 셀 3 8 4 5" xfId="24807"/>
    <cellStyle name="연결된 셀 3 8 5" xfId="7670"/>
    <cellStyle name="연결된 셀 3 8 5 2" xfId="24811"/>
    <cellStyle name="연결된 셀 3 8 6" xfId="7671"/>
    <cellStyle name="연결된 셀 3 8 6 2" xfId="24812"/>
    <cellStyle name="연결된 셀 3 8 7" xfId="7672"/>
    <cellStyle name="연결된 셀 3 8 7 2" xfId="24813"/>
    <cellStyle name="연결된 셀 3 8 8" xfId="24798"/>
    <cellStyle name="연결된 셀 3 9" xfId="7673"/>
    <cellStyle name="연결된 셀 3 9 2" xfId="7674"/>
    <cellStyle name="연결된 셀 3 9 2 2" xfId="7675"/>
    <cellStyle name="연결된 셀 3 9 2 2 2" xfId="24816"/>
    <cellStyle name="연결된 셀 3 9 2 3" xfId="7676"/>
    <cellStyle name="연결된 셀 3 9 2 3 2" xfId="24817"/>
    <cellStyle name="연결된 셀 3 9 2 4" xfId="7677"/>
    <cellStyle name="연결된 셀 3 9 2 4 2" xfId="24818"/>
    <cellStyle name="연결된 셀 3 9 2 5" xfId="24815"/>
    <cellStyle name="연결된 셀 3 9 3" xfId="7678"/>
    <cellStyle name="연결된 셀 3 9 3 2" xfId="7679"/>
    <cellStyle name="연결된 셀 3 9 3 2 2" xfId="24820"/>
    <cellStyle name="연결된 셀 3 9 3 3" xfId="7680"/>
    <cellStyle name="연결된 셀 3 9 3 3 2" xfId="24821"/>
    <cellStyle name="연결된 셀 3 9 3 4" xfId="7681"/>
    <cellStyle name="연결된 셀 3 9 3 4 2" xfId="24822"/>
    <cellStyle name="연결된 셀 3 9 3 5" xfId="24819"/>
    <cellStyle name="연결된 셀 3 9 4" xfId="7682"/>
    <cellStyle name="연결된 셀 3 9 4 2" xfId="7683"/>
    <cellStyle name="연결된 셀 3 9 4 2 2" xfId="24824"/>
    <cellStyle name="연결된 셀 3 9 4 3" xfId="7684"/>
    <cellStyle name="연결된 셀 3 9 4 3 2" xfId="24825"/>
    <cellStyle name="연결된 셀 3 9 4 4" xfId="7685"/>
    <cellStyle name="연결된 셀 3 9 4 4 2" xfId="24826"/>
    <cellStyle name="연결된 셀 3 9 4 5" xfId="24823"/>
    <cellStyle name="연결된 셀 3 9 5" xfId="7686"/>
    <cellStyle name="연결된 셀 3 9 5 2" xfId="24827"/>
    <cellStyle name="연결된 셀 3 9 6" xfId="7687"/>
    <cellStyle name="연결된 셀 3 9 6 2" xfId="24828"/>
    <cellStyle name="연결된 셀 3 9 7" xfId="7688"/>
    <cellStyle name="연결된 셀 3 9 7 2" xfId="24829"/>
    <cellStyle name="연결된 셀 3 9 8" xfId="24814"/>
    <cellStyle name="연결된 셀 4" xfId="368"/>
    <cellStyle name="연결된 셀 4 10" xfId="7689"/>
    <cellStyle name="연결된 셀 4 10 2" xfId="7690"/>
    <cellStyle name="연결된 셀 4 10 2 2" xfId="7691"/>
    <cellStyle name="연결된 셀 4 10 2 2 2" xfId="24832"/>
    <cellStyle name="연결된 셀 4 10 2 3" xfId="7692"/>
    <cellStyle name="연결된 셀 4 10 2 3 2" xfId="24833"/>
    <cellStyle name="연결된 셀 4 10 2 4" xfId="7693"/>
    <cellStyle name="연결된 셀 4 10 2 4 2" xfId="24834"/>
    <cellStyle name="연결된 셀 4 10 2 5" xfId="24831"/>
    <cellStyle name="연결된 셀 4 10 3" xfId="7694"/>
    <cellStyle name="연결된 셀 4 10 3 2" xfId="7695"/>
    <cellStyle name="연결된 셀 4 10 3 2 2" xfId="24836"/>
    <cellStyle name="연결된 셀 4 10 3 3" xfId="7696"/>
    <cellStyle name="연결된 셀 4 10 3 3 2" xfId="24837"/>
    <cellStyle name="연결된 셀 4 10 3 4" xfId="7697"/>
    <cellStyle name="연결된 셀 4 10 3 4 2" xfId="24838"/>
    <cellStyle name="연결된 셀 4 10 3 5" xfId="24835"/>
    <cellStyle name="연결된 셀 4 10 4" xfId="7698"/>
    <cellStyle name="연결된 셀 4 10 4 2" xfId="7699"/>
    <cellStyle name="연결된 셀 4 10 4 2 2" xfId="24840"/>
    <cellStyle name="연결된 셀 4 10 4 3" xfId="7700"/>
    <cellStyle name="연결된 셀 4 10 4 3 2" xfId="24841"/>
    <cellStyle name="연결된 셀 4 10 4 4" xfId="7701"/>
    <cellStyle name="연결된 셀 4 10 4 4 2" xfId="24842"/>
    <cellStyle name="연결된 셀 4 10 4 5" xfId="24839"/>
    <cellStyle name="연결된 셀 4 10 5" xfId="7702"/>
    <cellStyle name="연결된 셀 4 10 5 2" xfId="24843"/>
    <cellStyle name="연결된 셀 4 10 6" xfId="7703"/>
    <cellStyle name="연결된 셀 4 10 6 2" xfId="24844"/>
    <cellStyle name="연결된 셀 4 10 7" xfId="7704"/>
    <cellStyle name="연결된 셀 4 10 7 2" xfId="24845"/>
    <cellStyle name="연결된 셀 4 10 8" xfId="24830"/>
    <cellStyle name="연결된 셀 4 11" xfId="7705"/>
    <cellStyle name="연결된 셀 4 11 2" xfId="7706"/>
    <cellStyle name="연결된 셀 4 11 2 2" xfId="7707"/>
    <cellStyle name="연결된 셀 4 11 2 2 2" xfId="24848"/>
    <cellStyle name="연결된 셀 4 11 2 3" xfId="7708"/>
    <cellStyle name="연결된 셀 4 11 2 3 2" xfId="24849"/>
    <cellStyle name="연결된 셀 4 11 2 4" xfId="7709"/>
    <cellStyle name="연결된 셀 4 11 2 4 2" xfId="24850"/>
    <cellStyle name="연결된 셀 4 11 2 5" xfId="24847"/>
    <cellStyle name="연결된 셀 4 11 3" xfId="7710"/>
    <cellStyle name="연결된 셀 4 11 3 2" xfId="7711"/>
    <cellStyle name="연결된 셀 4 11 3 2 2" xfId="24852"/>
    <cellStyle name="연결된 셀 4 11 3 3" xfId="7712"/>
    <cellStyle name="연결된 셀 4 11 3 3 2" xfId="24853"/>
    <cellStyle name="연결된 셀 4 11 3 4" xfId="7713"/>
    <cellStyle name="연결된 셀 4 11 3 4 2" xfId="24854"/>
    <cellStyle name="연결된 셀 4 11 3 5" xfId="24851"/>
    <cellStyle name="연결된 셀 4 11 4" xfId="7714"/>
    <cellStyle name="연결된 셀 4 11 4 2" xfId="7715"/>
    <cellStyle name="연결된 셀 4 11 4 2 2" xfId="24856"/>
    <cellStyle name="연결된 셀 4 11 4 3" xfId="7716"/>
    <cellStyle name="연결된 셀 4 11 4 3 2" xfId="24857"/>
    <cellStyle name="연결된 셀 4 11 4 4" xfId="7717"/>
    <cellStyle name="연결된 셀 4 11 4 4 2" xfId="24858"/>
    <cellStyle name="연결된 셀 4 11 4 5" xfId="24855"/>
    <cellStyle name="연결된 셀 4 11 5" xfId="7718"/>
    <cellStyle name="연결된 셀 4 11 5 2" xfId="24859"/>
    <cellStyle name="연결된 셀 4 11 6" xfId="7719"/>
    <cellStyle name="연결된 셀 4 11 6 2" xfId="24860"/>
    <cellStyle name="연결된 셀 4 11 7" xfId="7720"/>
    <cellStyle name="연결된 셀 4 11 7 2" xfId="24861"/>
    <cellStyle name="연결된 셀 4 11 8" xfId="24846"/>
    <cellStyle name="연결된 셀 4 12" xfId="7721"/>
    <cellStyle name="연결된 셀 4 12 2" xfId="7722"/>
    <cellStyle name="연결된 셀 4 12 2 2" xfId="7723"/>
    <cellStyle name="연결된 셀 4 12 2 2 2" xfId="24864"/>
    <cellStyle name="연결된 셀 4 12 2 3" xfId="7724"/>
    <cellStyle name="연결된 셀 4 12 2 3 2" xfId="24865"/>
    <cellStyle name="연결된 셀 4 12 2 4" xfId="7725"/>
    <cellStyle name="연결된 셀 4 12 2 4 2" xfId="24866"/>
    <cellStyle name="연결된 셀 4 12 2 5" xfId="24863"/>
    <cellStyle name="연결된 셀 4 12 3" xfId="7726"/>
    <cellStyle name="연결된 셀 4 12 3 2" xfId="7727"/>
    <cellStyle name="연결된 셀 4 12 3 2 2" xfId="24868"/>
    <cellStyle name="연결된 셀 4 12 3 3" xfId="7728"/>
    <cellStyle name="연결된 셀 4 12 3 3 2" xfId="24869"/>
    <cellStyle name="연결된 셀 4 12 3 4" xfId="7729"/>
    <cellStyle name="연결된 셀 4 12 3 4 2" xfId="24870"/>
    <cellStyle name="연결된 셀 4 12 3 5" xfId="24867"/>
    <cellStyle name="연결된 셀 4 12 4" xfId="7730"/>
    <cellStyle name="연결된 셀 4 12 4 2" xfId="7731"/>
    <cellStyle name="연결된 셀 4 12 4 2 2" xfId="24872"/>
    <cellStyle name="연결된 셀 4 12 4 3" xfId="7732"/>
    <cellStyle name="연결된 셀 4 12 4 3 2" xfId="24873"/>
    <cellStyle name="연결된 셀 4 12 4 4" xfId="7733"/>
    <cellStyle name="연결된 셀 4 12 4 4 2" xfId="24874"/>
    <cellStyle name="연결된 셀 4 12 4 5" xfId="24871"/>
    <cellStyle name="연결된 셀 4 12 5" xfId="7734"/>
    <cellStyle name="연결된 셀 4 12 5 2" xfId="24875"/>
    <cellStyle name="연결된 셀 4 12 6" xfId="7735"/>
    <cellStyle name="연결된 셀 4 12 6 2" xfId="24876"/>
    <cellStyle name="연결된 셀 4 12 7" xfId="7736"/>
    <cellStyle name="연결된 셀 4 12 7 2" xfId="24877"/>
    <cellStyle name="연결된 셀 4 12 8" xfId="24862"/>
    <cellStyle name="연결된 셀 4 13" xfId="7737"/>
    <cellStyle name="연결된 셀 4 13 2" xfId="7738"/>
    <cellStyle name="연결된 셀 4 13 2 2" xfId="24879"/>
    <cellStyle name="연결된 셀 4 13 3" xfId="7739"/>
    <cellStyle name="연결된 셀 4 13 3 2" xfId="24880"/>
    <cellStyle name="연결된 셀 4 13 4" xfId="7740"/>
    <cellStyle name="연결된 셀 4 13 4 2" xfId="24881"/>
    <cellStyle name="연결된 셀 4 13 5" xfId="24878"/>
    <cellStyle name="연결된 셀 4 14" xfId="7741"/>
    <cellStyle name="연결된 셀 4 14 2" xfId="24882"/>
    <cellStyle name="연결된 셀 4 15" xfId="7742"/>
    <cellStyle name="연결된 셀 4 15 2" xfId="24883"/>
    <cellStyle name="연결된 셀 4 16" xfId="7743"/>
    <cellStyle name="연결된 셀 4 16 2" xfId="24884"/>
    <cellStyle name="연결된 셀 4 17" xfId="17511"/>
    <cellStyle name="연결된 셀 4 18" xfId="35674"/>
    <cellStyle name="연결된 셀 4 2" xfId="872"/>
    <cellStyle name="연결된 셀 4 2 10" xfId="7744"/>
    <cellStyle name="연결된 셀 4 2 10 2" xfId="7745"/>
    <cellStyle name="연결된 셀 4 2 10 2 2" xfId="7746"/>
    <cellStyle name="연결된 셀 4 2 10 2 2 2" xfId="24887"/>
    <cellStyle name="연결된 셀 4 2 10 2 3" xfId="7747"/>
    <cellStyle name="연결된 셀 4 2 10 2 3 2" xfId="24888"/>
    <cellStyle name="연결된 셀 4 2 10 2 4" xfId="7748"/>
    <cellStyle name="연결된 셀 4 2 10 2 4 2" xfId="24889"/>
    <cellStyle name="연결된 셀 4 2 10 2 5" xfId="24886"/>
    <cellStyle name="연결된 셀 4 2 10 3" xfId="7749"/>
    <cellStyle name="연결된 셀 4 2 10 3 2" xfId="7750"/>
    <cellStyle name="연결된 셀 4 2 10 3 2 2" xfId="24891"/>
    <cellStyle name="연결된 셀 4 2 10 3 3" xfId="7751"/>
    <cellStyle name="연결된 셀 4 2 10 3 3 2" xfId="24892"/>
    <cellStyle name="연결된 셀 4 2 10 3 4" xfId="7752"/>
    <cellStyle name="연결된 셀 4 2 10 3 4 2" xfId="24893"/>
    <cellStyle name="연결된 셀 4 2 10 3 5" xfId="24890"/>
    <cellStyle name="연결된 셀 4 2 10 4" xfId="7753"/>
    <cellStyle name="연결된 셀 4 2 10 4 2" xfId="7754"/>
    <cellStyle name="연결된 셀 4 2 10 4 2 2" xfId="24895"/>
    <cellStyle name="연결된 셀 4 2 10 4 3" xfId="7755"/>
    <cellStyle name="연결된 셀 4 2 10 4 3 2" xfId="24896"/>
    <cellStyle name="연결된 셀 4 2 10 4 4" xfId="7756"/>
    <cellStyle name="연결된 셀 4 2 10 4 4 2" xfId="24897"/>
    <cellStyle name="연결된 셀 4 2 10 4 5" xfId="24894"/>
    <cellStyle name="연결된 셀 4 2 10 5" xfId="7757"/>
    <cellStyle name="연결된 셀 4 2 10 5 2" xfId="24898"/>
    <cellStyle name="연결된 셀 4 2 10 6" xfId="7758"/>
    <cellStyle name="연결된 셀 4 2 10 6 2" xfId="24899"/>
    <cellStyle name="연결된 셀 4 2 10 7" xfId="7759"/>
    <cellStyle name="연결된 셀 4 2 10 7 2" xfId="24900"/>
    <cellStyle name="연결된 셀 4 2 10 8" xfId="24885"/>
    <cellStyle name="연결된 셀 4 2 11" xfId="7760"/>
    <cellStyle name="연결된 셀 4 2 11 2" xfId="7761"/>
    <cellStyle name="연결된 셀 4 2 11 2 2" xfId="7762"/>
    <cellStyle name="연결된 셀 4 2 11 2 2 2" xfId="24903"/>
    <cellStyle name="연결된 셀 4 2 11 2 3" xfId="7763"/>
    <cellStyle name="연결된 셀 4 2 11 2 3 2" xfId="24904"/>
    <cellStyle name="연결된 셀 4 2 11 2 4" xfId="7764"/>
    <cellStyle name="연결된 셀 4 2 11 2 4 2" xfId="24905"/>
    <cellStyle name="연결된 셀 4 2 11 2 5" xfId="24902"/>
    <cellStyle name="연결된 셀 4 2 11 3" xfId="7765"/>
    <cellStyle name="연결된 셀 4 2 11 3 2" xfId="7766"/>
    <cellStyle name="연결된 셀 4 2 11 3 2 2" xfId="24907"/>
    <cellStyle name="연결된 셀 4 2 11 3 3" xfId="7767"/>
    <cellStyle name="연결된 셀 4 2 11 3 3 2" xfId="24908"/>
    <cellStyle name="연결된 셀 4 2 11 3 4" xfId="7768"/>
    <cellStyle name="연결된 셀 4 2 11 3 4 2" xfId="24909"/>
    <cellStyle name="연결된 셀 4 2 11 3 5" xfId="24906"/>
    <cellStyle name="연결된 셀 4 2 11 4" xfId="7769"/>
    <cellStyle name="연결된 셀 4 2 11 4 2" xfId="7770"/>
    <cellStyle name="연결된 셀 4 2 11 4 2 2" xfId="24911"/>
    <cellStyle name="연결된 셀 4 2 11 4 3" xfId="7771"/>
    <cellStyle name="연결된 셀 4 2 11 4 3 2" xfId="24912"/>
    <cellStyle name="연결된 셀 4 2 11 4 4" xfId="7772"/>
    <cellStyle name="연결된 셀 4 2 11 4 4 2" xfId="24913"/>
    <cellStyle name="연결된 셀 4 2 11 4 5" xfId="24910"/>
    <cellStyle name="연결된 셀 4 2 11 5" xfId="7773"/>
    <cellStyle name="연결된 셀 4 2 11 5 2" xfId="24914"/>
    <cellStyle name="연결된 셀 4 2 11 6" xfId="7774"/>
    <cellStyle name="연결된 셀 4 2 11 6 2" xfId="24915"/>
    <cellStyle name="연결된 셀 4 2 11 7" xfId="7775"/>
    <cellStyle name="연결된 셀 4 2 11 7 2" xfId="24916"/>
    <cellStyle name="연결된 셀 4 2 11 8" xfId="24901"/>
    <cellStyle name="연결된 셀 4 2 12" xfId="7776"/>
    <cellStyle name="연결된 셀 4 2 12 2" xfId="7777"/>
    <cellStyle name="연결된 셀 4 2 12 2 2" xfId="24918"/>
    <cellStyle name="연결된 셀 4 2 12 3" xfId="7778"/>
    <cellStyle name="연결된 셀 4 2 12 3 2" xfId="24919"/>
    <cellStyle name="연결된 셀 4 2 12 4" xfId="7779"/>
    <cellStyle name="연결된 셀 4 2 12 4 2" xfId="24920"/>
    <cellStyle name="연결된 셀 4 2 12 5" xfId="24917"/>
    <cellStyle name="연결된 셀 4 2 13" xfId="7780"/>
    <cellStyle name="연결된 셀 4 2 13 2" xfId="24921"/>
    <cellStyle name="연결된 셀 4 2 14" xfId="7781"/>
    <cellStyle name="연결된 셀 4 2 14 2" xfId="24922"/>
    <cellStyle name="연결된 셀 4 2 15" xfId="7782"/>
    <cellStyle name="연결된 셀 4 2 15 2" xfId="24923"/>
    <cellStyle name="연결된 셀 4 2 16" xfId="18015"/>
    <cellStyle name="연결된 셀 4 2 2" xfId="7783"/>
    <cellStyle name="연결된 셀 4 2 2 2" xfId="7784"/>
    <cellStyle name="연결된 셀 4 2 2 2 2" xfId="7785"/>
    <cellStyle name="연결된 셀 4 2 2 2 2 2" xfId="24926"/>
    <cellStyle name="연결된 셀 4 2 2 2 3" xfId="7786"/>
    <cellStyle name="연결된 셀 4 2 2 2 3 2" xfId="24927"/>
    <cellStyle name="연결된 셀 4 2 2 2 4" xfId="7787"/>
    <cellStyle name="연결된 셀 4 2 2 2 4 2" xfId="24928"/>
    <cellStyle name="연결된 셀 4 2 2 2 5" xfId="24925"/>
    <cellStyle name="연결된 셀 4 2 2 3" xfId="7788"/>
    <cellStyle name="연결된 셀 4 2 2 3 2" xfId="7789"/>
    <cellStyle name="연결된 셀 4 2 2 3 2 2" xfId="24930"/>
    <cellStyle name="연결된 셀 4 2 2 3 3" xfId="7790"/>
    <cellStyle name="연결된 셀 4 2 2 3 3 2" xfId="24931"/>
    <cellStyle name="연결된 셀 4 2 2 3 4" xfId="7791"/>
    <cellStyle name="연결된 셀 4 2 2 3 4 2" xfId="24932"/>
    <cellStyle name="연결된 셀 4 2 2 3 5" xfId="24929"/>
    <cellStyle name="연결된 셀 4 2 2 4" xfId="7792"/>
    <cellStyle name="연결된 셀 4 2 2 4 2" xfId="7793"/>
    <cellStyle name="연결된 셀 4 2 2 4 2 2" xfId="24934"/>
    <cellStyle name="연결된 셀 4 2 2 4 3" xfId="7794"/>
    <cellStyle name="연결된 셀 4 2 2 4 3 2" xfId="24935"/>
    <cellStyle name="연결된 셀 4 2 2 4 4" xfId="7795"/>
    <cellStyle name="연결된 셀 4 2 2 4 4 2" xfId="24936"/>
    <cellStyle name="연결된 셀 4 2 2 4 5" xfId="24933"/>
    <cellStyle name="연결된 셀 4 2 2 5" xfId="7796"/>
    <cellStyle name="연결된 셀 4 2 2 5 2" xfId="24937"/>
    <cellStyle name="연결된 셀 4 2 2 6" xfId="7797"/>
    <cellStyle name="연결된 셀 4 2 2 6 2" xfId="24938"/>
    <cellStyle name="연결된 셀 4 2 2 7" xfId="7798"/>
    <cellStyle name="연결된 셀 4 2 2 7 2" xfId="24939"/>
    <cellStyle name="연결된 셀 4 2 2 8" xfId="24924"/>
    <cellStyle name="연결된 셀 4 2 3" xfId="7799"/>
    <cellStyle name="연결된 셀 4 2 3 2" xfId="7800"/>
    <cellStyle name="연결된 셀 4 2 3 2 2" xfId="7801"/>
    <cellStyle name="연결된 셀 4 2 3 2 2 2" xfId="24942"/>
    <cellStyle name="연결된 셀 4 2 3 2 3" xfId="7802"/>
    <cellStyle name="연결된 셀 4 2 3 2 3 2" xfId="24943"/>
    <cellStyle name="연결된 셀 4 2 3 2 4" xfId="7803"/>
    <cellStyle name="연결된 셀 4 2 3 2 4 2" xfId="24944"/>
    <cellStyle name="연결된 셀 4 2 3 2 5" xfId="24941"/>
    <cellStyle name="연결된 셀 4 2 3 3" xfId="7804"/>
    <cellStyle name="연결된 셀 4 2 3 3 2" xfId="7805"/>
    <cellStyle name="연결된 셀 4 2 3 3 2 2" xfId="24946"/>
    <cellStyle name="연결된 셀 4 2 3 3 3" xfId="7806"/>
    <cellStyle name="연결된 셀 4 2 3 3 3 2" xfId="24947"/>
    <cellStyle name="연결된 셀 4 2 3 3 4" xfId="7807"/>
    <cellStyle name="연결된 셀 4 2 3 3 4 2" xfId="24948"/>
    <cellStyle name="연결된 셀 4 2 3 3 5" xfId="24945"/>
    <cellStyle name="연결된 셀 4 2 3 4" xfId="7808"/>
    <cellStyle name="연결된 셀 4 2 3 4 2" xfId="7809"/>
    <cellStyle name="연결된 셀 4 2 3 4 2 2" xfId="24950"/>
    <cellStyle name="연결된 셀 4 2 3 4 3" xfId="7810"/>
    <cellStyle name="연결된 셀 4 2 3 4 3 2" xfId="24951"/>
    <cellStyle name="연결된 셀 4 2 3 4 4" xfId="7811"/>
    <cellStyle name="연결된 셀 4 2 3 4 4 2" xfId="24952"/>
    <cellStyle name="연결된 셀 4 2 3 4 5" xfId="24949"/>
    <cellStyle name="연결된 셀 4 2 3 5" xfId="7812"/>
    <cellStyle name="연결된 셀 4 2 3 5 2" xfId="24953"/>
    <cellStyle name="연결된 셀 4 2 3 6" xfId="7813"/>
    <cellStyle name="연결된 셀 4 2 3 6 2" xfId="24954"/>
    <cellStyle name="연결된 셀 4 2 3 7" xfId="7814"/>
    <cellStyle name="연결된 셀 4 2 3 7 2" xfId="24955"/>
    <cellStyle name="연결된 셀 4 2 3 8" xfId="24940"/>
    <cellStyle name="연결된 셀 4 2 4" xfId="7815"/>
    <cellStyle name="연결된 셀 4 2 4 2" xfId="7816"/>
    <cellStyle name="연결된 셀 4 2 4 2 2" xfId="7817"/>
    <cellStyle name="연결된 셀 4 2 4 2 2 2" xfId="24958"/>
    <cellStyle name="연결된 셀 4 2 4 2 3" xfId="7818"/>
    <cellStyle name="연결된 셀 4 2 4 2 3 2" xfId="24959"/>
    <cellStyle name="연결된 셀 4 2 4 2 4" xfId="7819"/>
    <cellStyle name="연결된 셀 4 2 4 2 4 2" xfId="24960"/>
    <cellStyle name="연결된 셀 4 2 4 2 5" xfId="24957"/>
    <cellStyle name="연결된 셀 4 2 4 3" xfId="7820"/>
    <cellStyle name="연결된 셀 4 2 4 3 2" xfId="7821"/>
    <cellStyle name="연결된 셀 4 2 4 3 2 2" xfId="24962"/>
    <cellStyle name="연결된 셀 4 2 4 3 3" xfId="7822"/>
    <cellStyle name="연결된 셀 4 2 4 3 3 2" xfId="24963"/>
    <cellStyle name="연결된 셀 4 2 4 3 4" xfId="7823"/>
    <cellStyle name="연결된 셀 4 2 4 3 4 2" xfId="24964"/>
    <cellStyle name="연결된 셀 4 2 4 3 5" xfId="24961"/>
    <cellStyle name="연결된 셀 4 2 4 4" xfId="7824"/>
    <cellStyle name="연결된 셀 4 2 4 4 2" xfId="7825"/>
    <cellStyle name="연결된 셀 4 2 4 4 2 2" xfId="24966"/>
    <cellStyle name="연결된 셀 4 2 4 4 3" xfId="7826"/>
    <cellStyle name="연결된 셀 4 2 4 4 3 2" xfId="24967"/>
    <cellStyle name="연결된 셀 4 2 4 4 4" xfId="7827"/>
    <cellStyle name="연결된 셀 4 2 4 4 4 2" xfId="24968"/>
    <cellStyle name="연결된 셀 4 2 4 4 5" xfId="24965"/>
    <cellStyle name="연결된 셀 4 2 4 5" xfId="7828"/>
    <cellStyle name="연결된 셀 4 2 4 5 2" xfId="24969"/>
    <cellStyle name="연결된 셀 4 2 4 6" xfId="7829"/>
    <cellStyle name="연결된 셀 4 2 4 6 2" xfId="24970"/>
    <cellStyle name="연결된 셀 4 2 4 7" xfId="7830"/>
    <cellStyle name="연결된 셀 4 2 4 7 2" xfId="24971"/>
    <cellStyle name="연결된 셀 4 2 4 8" xfId="24956"/>
    <cellStyle name="연결된 셀 4 2 5" xfId="7831"/>
    <cellStyle name="연결된 셀 4 2 5 2" xfId="7832"/>
    <cellStyle name="연결된 셀 4 2 5 2 2" xfId="7833"/>
    <cellStyle name="연결된 셀 4 2 5 2 2 2" xfId="24974"/>
    <cellStyle name="연결된 셀 4 2 5 2 3" xfId="7834"/>
    <cellStyle name="연결된 셀 4 2 5 2 3 2" xfId="24975"/>
    <cellStyle name="연결된 셀 4 2 5 2 4" xfId="7835"/>
    <cellStyle name="연결된 셀 4 2 5 2 4 2" xfId="24976"/>
    <cellStyle name="연결된 셀 4 2 5 2 5" xfId="24973"/>
    <cellStyle name="연결된 셀 4 2 5 3" xfId="7836"/>
    <cellStyle name="연결된 셀 4 2 5 3 2" xfId="7837"/>
    <cellStyle name="연결된 셀 4 2 5 3 2 2" xfId="24978"/>
    <cellStyle name="연결된 셀 4 2 5 3 3" xfId="7838"/>
    <cellStyle name="연결된 셀 4 2 5 3 3 2" xfId="24979"/>
    <cellStyle name="연결된 셀 4 2 5 3 4" xfId="7839"/>
    <cellStyle name="연결된 셀 4 2 5 3 4 2" xfId="24980"/>
    <cellStyle name="연결된 셀 4 2 5 3 5" xfId="24977"/>
    <cellStyle name="연결된 셀 4 2 5 4" xfId="7840"/>
    <cellStyle name="연결된 셀 4 2 5 4 2" xfId="7841"/>
    <cellStyle name="연결된 셀 4 2 5 4 2 2" xfId="24982"/>
    <cellStyle name="연결된 셀 4 2 5 4 3" xfId="7842"/>
    <cellStyle name="연결된 셀 4 2 5 4 3 2" xfId="24983"/>
    <cellStyle name="연결된 셀 4 2 5 4 4" xfId="7843"/>
    <cellStyle name="연결된 셀 4 2 5 4 4 2" xfId="24984"/>
    <cellStyle name="연결된 셀 4 2 5 4 5" xfId="24981"/>
    <cellStyle name="연결된 셀 4 2 5 5" xfId="7844"/>
    <cellStyle name="연결된 셀 4 2 5 5 2" xfId="24985"/>
    <cellStyle name="연결된 셀 4 2 5 6" xfId="7845"/>
    <cellStyle name="연결된 셀 4 2 5 6 2" xfId="24986"/>
    <cellStyle name="연결된 셀 4 2 5 7" xfId="7846"/>
    <cellStyle name="연결된 셀 4 2 5 7 2" xfId="24987"/>
    <cellStyle name="연결된 셀 4 2 5 8" xfId="24972"/>
    <cellStyle name="연결된 셀 4 2 6" xfId="7847"/>
    <cellStyle name="연결된 셀 4 2 6 2" xfId="7848"/>
    <cellStyle name="연결된 셀 4 2 6 2 2" xfId="7849"/>
    <cellStyle name="연결된 셀 4 2 6 2 2 2" xfId="24990"/>
    <cellStyle name="연결된 셀 4 2 6 2 3" xfId="7850"/>
    <cellStyle name="연결된 셀 4 2 6 2 3 2" xfId="24991"/>
    <cellStyle name="연결된 셀 4 2 6 2 4" xfId="7851"/>
    <cellStyle name="연결된 셀 4 2 6 2 4 2" xfId="24992"/>
    <cellStyle name="연결된 셀 4 2 6 2 5" xfId="24989"/>
    <cellStyle name="연결된 셀 4 2 6 3" xfId="7852"/>
    <cellStyle name="연결된 셀 4 2 6 3 2" xfId="7853"/>
    <cellStyle name="연결된 셀 4 2 6 3 2 2" xfId="24994"/>
    <cellStyle name="연결된 셀 4 2 6 3 3" xfId="7854"/>
    <cellStyle name="연결된 셀 4 2 6 3 3 2" xfId="24995"/>
    <cellStyle name="연결된 셀 4 2 6 3 4" xfId="7855"/>
    <cellStyle name="연결된 셀 4 2 6 3 4 2" xfId="24996"/>
    <cellStyle name="연결된 셀 4 2 6 3 5" xfId="24993"/>
    <cellStyle name="연결된 셀 4 2 6 4" xfId="7856"/>
    <cellStyle name="연결된 셀 4 2 6 4 2" xfId="7857"/>
    <cellStyle name="연결된 셀 4 2 6 4 2 2" xfId="24998"/>
    <cellStyle name="연결된 셀 4 2 6 4 3" xfId="7858"/>
    <cellStyle name="연결된 셀 4 2 6 4 3 2" xfId="24999"/>
    <cellStyle name="연결된 셀 4 2 6 4 4" xfId="7859"/>
    <cellStyle name="연결된 셀 4 2 6 4 4 2" xfId="25000"/>
    <cellStyle name="연결된 셀 4 2 6 4 5" xfId="24997"/>
    <cellStyle name="연결된 셀 4 2 6 5" xfId="7860"/>
    <cellStyle name="연결된 셀 4 2 6 5 2" xfId="25001"/>
    <cellStyle name="연결된 셀 4 2 6 6" xfId="7861"/>
    <cellStyle name="연결된 셀 4 2 6 6 2" xfId="25002"/>
    <cellStyle name="연결된 셀 4 2 6 7" xfId="7862"/>
    <cellStyle name="연결된 셀 4 2 6 7 2" xfId="25003"/>
    <cellStyle name="연결된 셀 4 2 6 8" xfId="24988"/>
    <cellStyle name="연결된 셀 4 2 7" xfId="7863"/>
    <cellStyle name="연결된 셀 4 2 7 2" xfId="7864"/>
    <cellStyle name="연결된 셀 4 2 7 2 2" xfId="7865"/>
    <cellStyle name="연결된 셀 4 2 7 2 2 2" xfId="25006"/>
    <cellStyle name="연결된 셀 4 2 7 2 3" xfId="7866"/>
    <cellStyle name="연결된 셀 4 2 7 2 3 2" xfId="25007"/>
    <cellStyle name="연결된 셀 4 2 7 2 4" xfId="7867"/>
    <cellStyle name="연결된 셀 4 2 7 2 4 2" xfId="25008"/>
    <cellStyle name="연결된 셀 4 2 7 2 5" xfId="25005"/>
    <cellStyle name="연결된 셀 4 2 7 3" xfId="7868"/>
    <cellStyle name="연결된 셀 4 2 7 3 2" xfId="7869"/>
    <cellStyle name="연결된 셀 4 2 7 3 2 2" xfId="25010"/>
    <cellStyle name="연결된 셀 4 2 7 3 3" xfId="7870"/>
    <cellStyle name="연결된 셀 4 2 7 3 3 2" xfId="25011"/>
    <cellStyle name="연결된 셀 4 2 7 3 4" xfId="7871"/>
    <cellStyle name="연결된 셀 4 2 7 3 4 2" xfId="25012"/>
    <cellStyle name="연결된 셀 4 2 7 3 5" xfId="25009"/>
    <cellStyle name="연결된 셀 4 2 7 4" xfId="7872"/>
    <cellStyle name="연결된 셀 4 2 7 4 2" xfId="7873"/>
    <cellStyle name="연결된 셀 4 2 7 4 2 2" xfId="25014"/>
    <cellStyle name="연결된 셀 4 2 7 4 3" xfId="7874"/>
    <cellStyle name="연결된 셀 4 2 7 4 3 2" xfId="25015"/>
    <cellStyle name="연결된 셀 4 2 7 4 4" xfId="7875"/>
    <cellStyle name="연결된 셀 4 2 7 4 4 2" xfId="25016"/>
    <cellStyle name="연결된 셀 4 2 7 4 5" xfId="25013"/>
    <cellStyle name="연결된 셀 4 2 7 5" xfId="7876"/>
    <cellStyle name="연결된 셀 4 2 7 5 2" xfId="25017"/>
    <cellStyle name="연결된 셀 4 2 7 6" xfId="7877"/>
    <cellStyle name="연결된 셀 4 2 7 6 2" xfId="25018"/>
    <cellStyle name="연결된 셀 4 2 7 7" xfId="7878"/>
    <cellStyle name="연결된 셀 4 2 7 7 2" xfId="25019"/>
    <cellStyle name="연결된 셀 4 2 7 8" xfId="25004"/>
    <cellStyle name="연결된 셀 4 2 8" xfId="7879"/>
    <cellStyle name="연결된 셀 4 2 8 2" xfId="7880"/>
    <cellStyle name="연결된 셀 4 2 8 2 2" xfId="7881"/>
    <cellStyle name="연결된 셀 4 2 8 2 2 2" xfId="25022"/>
    <cellStyle name="연결된 셀 4 2 8 2 3" xfId="7882"/>
    <cellStyle name="연결된 셀 4 2 8 2 3 2" xfId="25023"/>
    <cellStyle name="연결된 셀 4 2 8 2 4" xfId="7883"/>
    <cellStyle name="연결된 셀 4 2 8 2 4 2" xfId="25024"/>
    <cellStyle name="연결된 셀 4 2 8 2 5" xfId="25021"/>
    <cellStyle name="연결된 셀 4 2 8 3" xfId="7884"/>
    <cellStyle name="연결된 셀 4 2 8 3 2" xfId="7885"/>
    <cellStyle name="연결된 셀 4 2 8 3 2 2" xfId="25026"/>
    <cellStyle name="연결된 셀 4 2 8 3 3" xfId="7886"/>
    <cellStyle name="연결된 셀 4 2 8 3 3 2" xfId="25027"/>
    <cellStyle name="연결된 셀 4 2 8 3 4" xfId="7887"/>
    <cellStyle name="연결된 셀 4 2 8 3 4 2" xfId="25028"/>
    <cellStyle name="연결된 셀 4 2 8 3 5" xfId="25025"/>
    <cellStyle name="연결된 셀 4 2 8 4" xfId="7888"/>
    <cellStyle name="연결된 셀 4 2 8 4 2" xfId="7889"/>
    <cellStyle name="연결된 셀 4 2 8 4 2 2" xfId="25030"/>
    <cellStyle name="연결된 셀 4 2 8 4 3" xfId="7890"/>
    <cellStyle name="연결된 셀 4 2 8 4 3 2" xfId="25031"/>
    <cellStyle name="연결된 셀 4 2 8 4 4" xfId="7891"/>
    <cellStyle name="연결된 셀 4 2 8 4 4 2" xfId="25032"/>
    <cellStyle name="연결된 셀 4 2 8 4 5" xfId="25029"/>
    <cellStyle name="연결된 셀 4 2 8 5" xfId="7892"/>
    <cellStyle name="연결된 셀 4 2 8 5 2" xfId="25033"/>
    <cellStyle name="연결된 셀 4 2 8 6" xfId="7893"/>
    <cellStyle name="연결된 셀 4 2 8 6 2" xfId="25034"/>
    <cellStyle name="연결된 셀 4 2 8 7" xfId="7894"/>
    <cellStyle name="연결된 셀 4 2 8 7 2" xfId="25035"/>
    <cellStyle name="연결된 셀 4 2 8 8" xfId="25020"/>
    <cellStyle name="연결된 셀 4 2 9" xfId="7895"/>
    <cellStyle name="연결된 셀 4 2 9 2" xfId="7896"/>
    <cellStyle name="연결된 셀 4 2 9 2 2" xfId="7897"/>
    <cellStyle name="연결된 셀 4 2 9 2 2 2" xfId="25038"/>
    <cellStyle name="연결된 셀 4 2 9 2 3" xfId="7898"/>
    <cellStyle name="연결된 셀 4 2 9 2 3 2" xfId="25039"/>
    <cellStyle name="연결된 셀 4 2 9 2 4" xfId="7899"/>
    <cellStyle name="연결된 셀 4 2 9 2 4 2" xfId="25040"/>
    <cellStyle name="연결된 셀 4 2 9 2 5" xfId="25037"/>
    <cellStyle name="연결된 셀 4 2 9 3" xfId="7900"/>
    <cellStyle name="연결된 셀 4 2 9 3 2" xfId="7901"/>
    <cellStyle name="연결된 셀 4 2 9 3 2 2" xfId="25042"/>
    <cellStyle name="연결된 셀 4 2 9 3 3" xfId="7902"/>
    <cellStyle name="연결된 셀 4 2 9 3 3 2" xfId="25043"/>
    <cellStyle name="연결된 셀 4 2 9 3 4" xfId="7903"/>
    <cellStyle name="연결된 셀 4 2 9 3 4 2" xfId="25044"/>
    <cellStyle name="연결된 셀 4 2 9 3 5" xfId="25041"/>
    <cellStyle name="연결된 셀 4 2 9 4" xfId="7904"/>
    <cellStyle name="연결된 셀 4 2 9 4 2" xfId="7905"/>
    <cellStyle name="연결된 셀 4 2 9 4 2 2" xfId="25046"/>
    <cellStyle name="연결된 셀 4 2 9 4 3" xfId="7906"/>
    <cellStyle name="연결된 셀 4 2 9 4 3 2" xfId="25047"/>
    <cellStyle name="연결된 셀 4 2 9 4 4" xfId="7907"/>
    <cellStyle name="연결된 셀 4 2 9 4 4 2" xfId="25048"/>
    <cellStyle name="연결된 셀 4 2 9 4 5" xfId="25045"/>
    <cellStyle name="연결된 셀 4 2 9 5" xfId="7908"/>
    <cellStyle name="연결된 셀 4 2 9 5 2" xfId="25049"/>
    <cellStyle name="연결된 셀 4 2 9 6" xfId="7909"/>
    <cellStyle name="연결된 셀 4 2 9 6 2" xfId="25050"/>
    <cellStyle name="연결된 셀 4 2 9 7" xfId="7910"/>
    <cellStyle name="연결된 셀 4 2 9 7 2" xfId="25051"/>
    <cellStyle name="연결된 셀 4 2 9 8" xfId="25036"/>
    <cellStyle name="연결된 셀 4 3" xfId="620"/>
    <cellStyle name="연결된 셀 4 3 2" xfId="7911"/>
    <cellStyle name="연결된 셀 4 3 2 2" xfId="7912"/>
    <cellStyle name="연결된 셀 4 3 2 2 2" xfId="25053"/>
    <cellStyle name="연결된 셀 4 3 2 3" xfId="7913"/>
    <cellStyle name="연결된 셀 4 3 2 3 2" xfId="25054"/>
    <cellStyle name="연결된 셀 4 3 2 4" xfId="7914"/>
    <cellStyle name="연결된 셀 4 3 2 4 2" xfId="25055"/>
    <cellStyle name="연결된 셀 4 3 2 5" xfId="25052"/>
    <cellStyle name="연결된 셀 4 3 3" xfId="7915"/>
    <cellStyle name="연결된 셀 4 3 3 2" xfId="7916"/>
    <cellStyle name="연결된 셀 4 3 3 2 2" xfId="25057"/>
    <cellStyle name="연결된 셀 4 3 3 3" xfId="7917"/>
    <cellStyle name="연결된 셀 4 3 3 3 2" xfId="25058"/>
    <cellStyle name="연결된 셀 4 3 3 4" xfId="7918"/>
    <cellStyle name="연결된 셀 4 3 3 4 2" xfId="25059"/>
    <cellStyle name="연결된 셀 4 3 3 5" xfId="25056"/>
    <cellStyle name="연결된 셀 4 3 4" xfId="7919"/>
    <cellStyle name="연결된 셀 4 3 4 2" xfId="7920"/>
    <cellStyle name="연결된 셀 4 3 4 2 2" xfId="25061"/>
    <cellStyle name="연결된 셀 4 3 4 3" xfId="7921"/>
    <cellStyle name="연결된 셀 4 3 4 3 2" xfId="25062"/>
    <cellStyle name="연결된 셀 4 3 4 4" xfId="7922"/>
    <cellStyle name="연결된 셀 4 3 4 4 2" xfId="25063"/>
    <cellStyle name="연결된 셀 4 3 4 5" xfId="25060"/>
    <cellStyle name="연결된 셀 4 3 5" xfId="7923"/>
    <cellStyle name="연결된 셀 4 3 5 2" xfId="25064"/>
    <cellStyle name="연결된 셀 4 3 6" xfId="7924"/>
    <cellStyle name="연결된 셀 4 3 6 2" xfId="25065"/>
    <cellStyle name="연결된 셀 4 3 7" xfId="7925"/>
    <cellStyle name="연결된 셀 4 3 7 2" xfId="25066"/>
    <cellStyle name="연결된 셀 4 3 8" xfId="17763"/>
    <cellStyle name="연결된 셀 4 4" xfId="7926"/>
    <cellStyle name="연결된 셀 4 4 2" xfId="7927"/>
    <cellStyle name="연결된 셀 4 4 2 2" xfId="7928"/>
    <cellStyle name="연결된 셀 4 4 2 2 2" xfId="25069"/>
    <cellStyle name="연결된 셀 4 4 2 3" xfId="7929"/>
    <cellStyle name="연결된 셀 4 4 2 3 2" xfId="25070"/>
    <cellStyle name="연결된 셀 4 4 2 4" xfId="7930"/>
    <cellStyle name="연결된 셀 4 4 2 4 2" xfId="25071"/>
    <cellStyle name="연결된 셀 4 4 2 5" xfId="25068"/>
    <cellStyle name="연결된 셀 4 4 3" xfId="7931"/>
    <cellStyle name="연결된 셀 4 4 3 2" xfId="7932"/>
    <cellStyle name="연결된 셀 4 4 3 2 2" xfId="25073"/>
    <cellStyle name="연결된 셀 4 4 3 3" xfId="7933"/>
    <cellStyle name="연결된 셀 4 4 3 3 2" xfId="25074"/>
    <cellStyle name="연결된 셀 4 4 3 4" xfId="7934"/>
    <cellStyle name="연결된 셀 4 4 3 4 2" xfId="25075"/>
    <cellStyle name="연결된 셀 4 4 3 5" xfId="25072"/>
    <cellStyle name="연결된 셀 4 4 4" xfId="7935"/>
    <cellStyle name="연결된 셀 4 4 4 2" xfId="7936"/>
    <cellStyle name="연결된 셀 4 4 4 2 2" xfId="25077"/>
    <cellStyle name="연결된 셀 4 4 4 3" xfId="7937"/>
    <cellStyle name="연결된 셀 4 4 4 3 2" xfId="25078"/>
    <cellStyle name="연결된 셀 4 4 4 4" xfId="7938"/>
    <cellStyle name="연결된 셀 4 4 4 4 2" xfId="25079"/>
    <cellStyle name="연결된 셀 4 4 4 5" xfId="25076"/>
    <cellStyle name="연결된 셀 4 4 5" xfId="7939"/>
    <cellStyle name="연결된 셀 4 4 5 2" xfId="25080"/>
    <cellStyle name="연결된 셀 4 4 6" xfId="7940"/>
    <cellStyle name="연결된 셀 4 4 6 2" xfId="25081"/>
    <cellStyle name="연결된 셀 4 4 7" xfId="7941"/>
    <cellStyle name="연결된 셀 4 4 7 2" xfId="25082"/>
    <cellStyle name="연결된 셀 4 4 8" xfId="25067"/>
    <cellStyle name="연결된 셀 4 5" xfId="7942"/>
    <cellStyle name="연결된 셀 4 5 2" xfId="7943"/>
    <cellStyle name="연결된 셀 4 5 2 2" xfId="7944"/>
    <cellStyle name="연결된 셀 4 5 2 2 2" xfId="25085"/>
    <cellStyle name="연결된 셀 4 5 2 3" xfId="7945"/>
    <cellStyle name="연결된 셀 4 5 2 3 2" xfId="25086"/>
    <cellStyle name="연결된 셀 4 5 2 4" xfId="7946"/>
    <cellStyle name="연결된 셀 4 5 2 4 2" xfId="25087"/>
    <cellStyle name="연결된 셀 4 5 2 5" xfId="25084"/>
    <cellStyle name="연결된 셀 4 5 3" xfId="7947"/>
    <cellStyle name="연결된 셀 4 5 3 2" xfId="7948"/>
    <cellStyle name="연결된 셀 4 5 3 2 2" xfId="25089"/>
    <cellStyle name="연결된 셀 4 5 3 3" xfId="7949"/>
    <cellStyle name="연결된 셀 4 5 3 3 2" xfId="25090"/>
    <cellStyle name="연결된 셀 4 5 3 4" xfId="7950"/>
    <cellStyle name="연결된 셀 4 5 3 4 2" xfId="25091"/>
    <cellStyle name="연결된 셀 4 5 3 5" xfId="25088"/>
    <cellStyle name="연결된 셀 4 5 4" xfId="7951"/>
    <cellStyle name="연결된 셀 4 5 4 2" xfId="7952"/>
    <cellStyle name="연결된 셀 4 5 4 2 2" xfId="25093"/>
    <cellStyle name="연결된 셀 4 5 4 3" xfId="7953"/>
    <cellStyle name="연결된 셀 4 5 4 3 2" xfId="25094"/>
    <cellStyle name="연결된 셀 4 5 4 4" xfId="7954"/>
    <cellStyle name="연결된 셀 4 5 4 4 2" xfId="25095"/>
    <cellStyle name="연결된 셀 4 5 4 5" xfId="25092"/>
    <cellStyle name="연결된 셀 4 5 5" xfId="7955"/>
    <cellStyle name="연결된 셀 4 5 5 2" xfId="25096"/>
    <cellStyle name="연결된 셀 4 5 6" xfId="7956"/>
    <cellStyle name="연결된 셀 4 5 6 2" xfId="25097"/>
    <cellStyle name="연결된 셀 4 5 7" xfId="7957"/>
    <cellStyle name="연결된 셀 4 5 7 2" xfId="25098"/>
    <cellStyle name="연결된 셀 4 5 8" xfId="25083"/>
    <cellStyle name="연결된 셀 4 6" xfId="7958"/>
    <cellStyle name="연결된 셀 4 6 2" xfId="7959"/>
    <cellStyle name="연결된 셀 4 6 2 2" xfId="7960"/>
    <cellStyle name="연결된 셀 4 6 2 2 2" xfId="25101"/>
    <cellStyle name="연결된 셀 4 6 2 3" xfId="7961"/>
    <cellStyle name="연결된 셀 4 6 2 3 2" xfId="25102"/>
    <cellStyle name="연결된 셀 4 6 2 4" xfId="7962"/>
    <cellStyle name="연결된 셀 4 6 2 4 2" xfId="25103"/>
    <cellStyle name="연결된 셀 4 6 2 5" xfId="25100"/>
    <cellStyle name="연결된 셀 4 6 3" xfId="7963"/>
    <cellStyle name="연결된 셀 4 6 3 2" xfId="7964"/>
    <cellStyle name="연결된 셀 4 6 3 2 2" xfId="25105"/>
    <cellStyle name="연결된 셀 4 6 3 3" xfId="7965"/>
    <cellStyle name="연결된 셀 4 6 3 3 2" xfId="25106"/>
    <cellStyle name="연결된 셀 4 6 3 4" xfId="7966"/>
    <cellStyle name="연결된 셀 4 6 3 4 2" xfId="25107"/>
    <cellStyle name="연결된 셀 4 6 3 5" xfId="25104"/>
    <cellStyle name="연결된 셀 4 6 4" xfId="7967"/>
    <cellStyle name="연결된 셀 4 6 4 2" xfId="7968"/>
    <cellStyle name="연결된 셀 4 6 4 2 2" xfId="25109"/>
    <cellStyle name="연결된 셀 4 6 4 3" xfId="7969"/>
    <cellStyle name="연결된 셀 4 6 4 3 2" xfId="25110"/>
    <cellStyle name="연결된 셀 4 6 4 4" xfId="7970"/>
    <cellStyle name="연결된 셀 4 6 4 4 2" xfId="25111"/>
    <cellStyle name="연결된 셀 4 6 4 5" xfId="25108"/>
    <cellStyle name="연결된 셀 4 6 5" xfId="7971"/>
    <cellStyle name="연결된 셀 4 6 5 2" xfId="25112"/>
    <cellStyle name="연결된 셀 4 6 6" xfId="7972"/>
    <cellStyle name="연결된 셀 4 6 6 2" xfId="25113"/>
    <cellStyle name="연결된 셀 4 6 7" xfId="7973"/>
    <cellStyle name="연결된 셀 4 6 7 2" xfId="25114"/>
    <cellStyle name="연결된 셀 4 6 8" xfId="25099"/>
    <cellStyle name="연결된 셀 4 7" xfId="7974"/>
    <cellStyle name="연결된 셀 4 7 2" xfId="7975"/>
    <cellStyle name="연결된 셀 4 7 2 2" xfId="7976"/>
    <cellStyle name="연결된 셀 4 7 2 2 2" xfId="25117"/>
    <cellStyle name="연결된 셀 4 7 2 3" xfId="7977"/>
    <cellStyle name="연결된 셀 4 7 2 3 2" xfId="25118"/>
    <cellStyle name="연결된 셀 4 7 2 4" xfId="7978"/>
    <cellStyle name="연결된 셀 4 7 2 4 2" xfId="25119"/>
    <cellStyle name="연결된 셀 4 7 2 5" xfId="25116"/>
    <cellStyle name="연결된 셀 4 7 3" xfId="7979"/>
    <cellStyle name="연결된 셀 4 7 3 2" xfId="7980"/>
    <cellStyle name="연결된 셀 4 7 3 2 2" xfId="25121"/>
    <cellStyle name="연결된 셀 4 7 3 3" xfId="7981"/>
    <cellStyle name="연결된 셀 4 7 3 3 2" xfId="25122"/>
    <cellStyle name="연결된 셀 4 7 3 4" xfId="7982"/>
    <cellStyle name="연결된 셀 4 7 3 4 2" xfId="25123"/>
    <cellStyle name="연결된 셀 4 7 3 5" xfId="25120"/>
    <cellStyle name="연결된 셀 4 7 4" xfId="7983"/>
    <cellStyle name="연결된 셀 4 7 4 2" xfId="7984"/>
    <cellStyle name="연결된 셀 4 7 4 2 2" xfId="25125"/>
    <cellStyle name="연결된 셀 4 7 4 3" xfId="7985"/>
    <cellStyle name="연결된 셀 4 7 4 3 2" xfId="25126"/>
    <cellStyle name="연결된 셀 4 7 4 4" xfId="7986"/>
    <cellStyle name="연결된 셀 4 7 4 4 2" xfId="25127"/>
    <cellStyle name="연결된 셀 4 7 4 5" xfId="25124"/>
    <cellStyle name="연결된 셀 4 7 5" xfId="7987"/>
    <cellStyle name="연결된 셀 4 7 5 2" xfId="25128"/>
    <cellStyle name="연결된 셀 4 7 6" xfId="7988"/>
    <cellStyle name="연결된 셀 4 7 6 2" xfId="25129"/>
    <cellStyle name="연결된 셀 4 7 7" xfId="7989"/>
    <cellStyle name="연결된 셀 4 7 7 2" xfId="25130"/>
    <cellStyle name="연결된 셀 4 7 8" xfId="25115"/>
    <cellStyle name="연결된 셀 4 8" xfId="7990"/>
    <cellStyle name="연결된 셀 4 8 2" xfId="7991"/>
    <cellStyle name="연결된 셀 4 8 2 2" xfId="7992"/>
    <cellStyle name="연결된 셀 4 8 2 2 2" xfId="25133"/>
    <cellStyle name="연결된 셀 4 8 2 3" xfId="7993"/>
    <cellStyle name="연결된 셀 4 8 2 3 2" xfId="25134"/>
    <cellStyle name="연결된 셀 4 8 2 4" xfId="7994"/>
    <cellStyle name="연결된 셀 4 8 2 4 2" xfId="25135"/>
    <cellStyle name="연결된 셀 4 8 2 5" xfId="25132"/>
    <cellStyle name="연결된 셀 4 8 3" xfId="7995"/>
    <cellStyle name="연결된 셀 4 8 3 2" xfId="7996"/>
    <cellStyle name="연결된 셀 4 8 3 2 2" xfId="25137"/>
    <cellStyle name="연결된 셀 4 8 3 3" xfId="7997"/>
    <cellStyle name="연결된 셀 4 8 3 3 2" xfId="25138"/>
    <cellStyle name="연결된 셀 4 8 3 4" xfId="7998"/>
    <cellStyle name="연결된 셀 4 8 3 4 2" xfId="25139"/>
    <cellStyle name="연결된 셀 4 8 3 5" xfId="25136"/>
    <cellStyle name="연결된 셀 4 8 4" xfId="7999"/>
    <cellStyle name="연결된 셀 4 8 4 2" xfId="8000"/>
    <cellStyle name="연결된 셀 4 8 4 2 2" xfId="25141"/>
    <cellStyle name="연결된 셀 4 8 4 3" xfId="8001"/>
    <cellStyle name="연결된 셀 4 8 4 3 2" xfId="25142"/>
    <cellStyle name="연결된 셀 4 8 4 4" xfId="8002"/>
    <cellStyle name="연결된 셀 4 8 4 4 2" xfId="25143"/>
    <cellStyle name="연결된 셀 4 8 4 5" xfId="25140"/>
    <cellStyle name="연결된 셀 4 8 5" xfId="8003"/>
    <cellStyle name="연결된 셀 4 8 5 2" xfId="25144"/>
    <cellStyle name="연결된 셀 4 8 6" xfId="8004"/>
    <cellStyle name="연결된 셀 4 8 6 2" xfId="25145"/>
    <cellStyle name="연결된 셀 4 8 7" xfId="8005"/>
    <cellStyle name="연결된 셀 4 8 7 2" xfId="25146"/>
    <cellStyle name="연결된 셀 4 8 8" xfId="25131"/>
    <cellStyle name="연결된 셀 4 9" xfId="8006"/>
    <cellStyle name="연결된 셀 4 9 2" xfId="8007"/>
    <cellStyle name="연결된 셀 4 9 2 2" xfId="8008"/>
    <cellStyle name="연결된 셀 4 9 2 2 2" xfId="25149"/>
    <cellStyle name="연결된 셀 4 9 2 3" xfId="8009"/>
    <cellStyle name="연결된 셀 4 9 2 3 2" xfId="25150"/>
    <cellStyle name="연결된 셀 4 9 2 4" xfId="8010"/>
    <cellStyle name="연결된 셀 4 9 2 4 2" xfId="25151"/>
    <cellStyle name="연결된 셀 4 9 2 5" xfId="25148"/>
    <cellStyle name="연결된 셀 4 9 3" xfId="8011"/>
    <cellStyle name="연결된 셀 4 9 3 2" xfId="8012"/>
    <cellStyle name="연결된 셀 4 9 3 2 2" xfId="25153"/>
    <cellStyle name="연결된 셀 4 9 3 3" xfId="8013"/>
    <cellStyle name="연결된 셀 4 9 3 3 2" xfId="25154"/>
    <cellStyle name="연결된 셀 4 9 3 4" xfId="8014"/>
    <cellStyle name="연결된 셀 4 9 3 4 2" xfId="25155"/>
    <cellStyle name="연결된 셀 4 9 3 5" xfId="25152"/>
    <cellStyle name="연결된 셀 4 9 4" xfId="8015"/>
    <cellStyle name="연결된 셀 4 9 4 2" xfId="8016"/>
    <cellStyle name="연결된 셀 4 9 4 2 2" xfId="25157"/>
    <cellStyle name="연결된 셀 4 9 4 3" xfId="8017"/>
    <cellStyle name="연결된 셀 4 9 4 3 2" xfId="25158"/>
    <cellStyle name="연결된 셀 4 9 4 4" xfId="8018"/>
    <cellStyle name="연결된 셀 4 9 4 4 2" xfId="25159"/>
    <cellStyle name="연결된 셀 4 9 4 5" xfId="25156"/>
    <cellStyle name="연결된 셀 4 9 5" xfId="8019"/>
    <cellStyle name="연결된 셀 4 9 5 2" xfId="25160"/>
    <cellStyle name="연결된 셀 4 9 6" xfId="8020"/>
    <cellStyle name="연결된 셀 4 9 6 2" xfId="25161"/>
    <cellStyle name="연결된 셀 4 9 7" xfId="8021"/>
    <cellStyle name="연결된 셀 4 9 7 2" xfId="25162"/>
    <cellStyle name="연결된 셀 4 9 8" xfId="25147"/>
    <cellStyle name="연결된 셀 5" xfId="385"/>
    <cellStyle name="연결된 셀 5 10" xfId="8022"/>
    <cellStyle name="연결된 셀 5 10 2" xfId="8023"/>
    <cellStyle name="연결된 셀 5 10 2 2" xfId="8024"/>
    <cellStyle name="연결된 셀 5 10 2 2 2" xfId="25165"/>
    <cellStyle name="연결된 셀 5 10 2 3" xfId="8025"/>
    <cellStyle name="연결된 셀 5 10 2 3 2" xfId="25166"/>
    <cellStyle name="연결된 셀 5 10 2 4" xfId="8026"/>
    <cellStyle name="연결된 셀 5 10 2 4 2" xfId="25167"/>
    <cellStyle name="연결된 셀 5 10 2 5" xfId="25164"/>
    <cellStyle name="연결된 셀 5 10 3" xfId="8027"/>
    <cellStyle name="연결된 셀 5 10 3 2" xfId="8028"/>
    <cellStyle name="연결된 셀 5 10 3 2 2" xfId="25169"/>
    <cellStyle name="연결된 셀 5 10 3 3" xfId="8029"/>
    <cellStyle name="연결된 셀 5 10 3 3 2" xfId="25170"/>
    <cellStyle name="연결된 셀 5 10 3 4" xfId="8030"/>
    <cellStyle name="연결된 셀 5 10 3 4 2" xfId="25171"/>
    <cellStyle name="연결된 셀 5 10 3 5" xfId="25168"/>
    <cellStyle name="연결된 셀 5 10 4" xfId="8031"/>
    <cellStyle name="연결된 셀 5 10 4 2" xfId="8032"/>
    <cellStyle name="연결된 셀 5 10 4 2 2" xfId="25173"/>
    <cellStyle name="연결된 셀 5 10 4 3" xfId="8033"/>
    <cellStyle name="연결된 셀 5 10 4 3 2" xfId="25174"/>
    <cellStyle name="연결된 셀 5 10 4 4" xfId="8034"/>
    <cellStyle name="연결된 셀 5 10 4 4 2" xfId="25175"/>
    <cellStyle name="연결된 셀 5 10 4 5" xfId="25172"/>
    <cellStyle name="연결된 셀 5 10 5" xfId="8035"/>
    <cellStyle name="연결된 셀 5 10 5 2" xfId="25176"/>
    <cellStyle name="연결된 셀 5 10 6" xfId="8036"/>
    <cellStyle name="연결된 셀 5 10 6 2" xfId="25177"/>
    <cellStyle name="연결된 셀 5 10 7" xfId="8037"/>
    <cellStyle name="연결된 셀 5 10 7 2" xfId="25178"/>
    <cellStyle name="연결된 셀 5 10 8" xfId="25163"/>
    <cellStyle name="연결된 셀 5 11" xfId="8038"/>
    <cellStyle name="연결된 셀 5 11 2" xfId="8039"/>
    <cellStyle name="연결된 셀 5 11 2 2" xfId="8040"/>
    <cellStyle name="연결된 셀 5 11 2 2 2" xfId="25181"/>
    <cellStyle name="연결된 셀 5 11 2 3" xfId="8041"/>
    <cellStyle name="연결된 셀 5 11 2 3 2" xfId="25182"/>
    <cellStyle name="연결된 셀 5 11 2 4" xfId="8042"/>
    <cellStyle name="연결된 셀 5 11 2 4 2" xfId="25183"/>
    <cellStyle name="연결된 셀 5 11 2 5" xfId="25180"/>
    <cellStyle name="연결된 셀 5 11 3" xfId="8043"/>
    <cellStyle name="연결된 셀 5 11 3 2" xfId="8044"/>
    <cellStyle name="연결된 셀 5 11 3 2 2" xfId="25185"/>
    <cellStyle name="연결된 셀 5 11 3 3" xfId="8045"/>
    <cellStyle name="연결된 셀 5 11 3 3 2" xfId="25186"/>
    <cellStyle name="연결된 셀 5 11 3 4" xfId="8046"/>
    <cellStyle name="연결된 셀 5 11 3 4 2" xfId="25187"/>
    <cellStyle name="연결된 셀 5 11 3 5" xfId="25184"/>
    <cellStyle name="연결된 셀 5 11 4" xfId="8047"/>
    <cellStyle name="연결된 셀 5 11 4 2" xfId="8048"/>
    <cellStyle name="연결된 셀 5 11 4 2 2" xfId="25189"/>
    <cellStyle name="연결된 셀 5 11 4 3" xfId="8049"/>
    <cellStyle name="연결된 셀 5 11 4 3 2" xfId="25190"/>
    <cellStyle name="연결된 셀 5 11 4 4" xfId="8050"/>
    <cellStyle name="연결된 셀 5 11 4 4 2" xfId="25191"/>
    <cellStyle name="연결된 셀 5 11 4 5" xfId="25188"/>
    <cellStyle name="연결된 셀 5 11 5" xfId="8051"/>
    <cellStyle name="연결된 셀 5 11 5 2" xfId="25192"/>
    <cellStyle name="연결된 셀 5 11 6" xfId="8052"/>
    <cellStyle name="연결된 셀 5 11 6 2" xfId="25193"/>
    <cellStyle name="연결된 셀 5 11 7" xfId="8053"/>
    <cellStyle name="연결된 셀 5 11 7 2" xfId="25194"/>
    <cellStyle name="연결된 셀 5 11 8" xfId="25179"/>
    <cellStyle name="연결된 셀 5 12" xfId="8054"/>
    <cellStyle name="연결된 셀 5 12 2" xfId="8055"/>
    <cellStyle name="연결된 셀 5 12 2 2" xfId="8056"/>
    <cellStyle name="연결된 셀 5 12 2 2 2" xfId="25197"/>
    <cellStyle name="연결된 셀 5 12 2 3" xfId="8057"/>
    <cellStyle name="연결된 셀 5 12 2 3 2" xfId="25198"/>
    <cellStyle name="연결된 셀 5 12 2 4" xfId="8058"/>
    <cellStyle name="연결된 셀 5 12 2 4 2" xfId="25199"/>
    <cellStyle name="연결된 셀 5 12 2 5" xfId="25196"/>
    <cellStyle name="연결된 셀 5 12 3" xfId="8059"/>
    <cellStyle name="연결된 셀 5 12 3 2" xfId="8060"/>
    <cellStyle name="연결된 셀 5 12 3 2 2" xfId="25201"/>
    <cellStyle name="연결된 셀 5 12 3 3" xfId="8061"/>
    <cellStyle name="연결된 셀 5 12 3 3 2" xfId="25202"/>
    <cellStyle name="연결된 셀 5 12 3 4" xfId="8062"/>
    <cellStyle name="연결된 셀 5 12 3 4 2" xfId="25203"/>
    <cellStyle name="연결된 셀 5 12 3 5" xfId="25200"/>
    <cellStyle name="연결된 셀 5 12 4" xfId="8063"/>
    <cellStyle name="연결된 셀 5 12 4 2" xfId="8064"/>
    <cellStyle name="연결된 셀 5 12 4 2 2" xfId="25205"/>
    <cellStyle name="연결된 셀 5 12 4 3" xfId="8065"/>
    <cellStyle name="연결된 셀 5 12 4 3 2" xfId="25206"/>
    <cellStyle name="연결된 셀 5 12 4 4" xfId="8066"/>
    <cellStyle name="연결된 셀 5 12 4 4 2" xfId="25207"/>
    <cellStyle name="연결된 셀 5 12 4 5" xfId="25204"/>
    <cellStyle name="연결된 셀 5 12 5" xfId="8067"/>
    <cellStyle name="연결된 셀 5 12 5 2" xfId="25208"/>
    <cellStyle name="연결된 셀 5 12 6" xfId="8068"/>
    <cellStyle name="연결된 셀 5 12 6 2" xfId="25209"/>
    <cellStyle name="연결된 셀 5 12 7" xfId="8069"/>
    <cellStyle name="연결된 셀 5 12 7 2" xfId="25210"/>
    <cellStyle name="연결된 셀 5 12 8" xfId="25195"/>
    <cellStyle name="연결된 셀 5 13" xfId="8070"/>
    <cellStyle name="연결된 셀 5 13 2" xfId="8071"/>
    <cellStyle name="연결된 셀 5 13 2 2" xfId="25212"/>
    <cellStyle name="연결된 셀 5 13 3" xfId="8072"/>
    <cellStyle name="연결된 셀 5 13 3 2" xfId="25213"/>
    <cellStyle name="연결된 셀 5 13 4" xfId="8073"/>
    <cellStyle name="연결된 셀 5 13 4 2" xfId="25214"/>
    <cellStyle name="연결된 셀 5 13 5" xfId="25211"/>
    <cellStyle name="연결된 셀 5 14" xfId="8074"/>
    <cellStyle name="연결된 셀 5 14 2" xfId="25215"/>
    <cellStyle name="연결된 셀 5 15" xfId="8075"/>
    <cellStyle name="연결된 셀 5 15 2" xfId="25216"/>
    <cellStyle name="연결된 셀 5 16" xfId="8076"/>
    <cellStyle name="연결된 셀 5 16 2" xfId="25217"/>
    <cellStyle name="연결된 셀 5 17" xfId="17528"/>
    <cellStyle name="연결된 셀 5 2" xfId="881"/>
    <cellStyle name="연결된 셀 5 2 10" xfId="8077"/>
    <cellStyle name="연결된 셀 5 2 10 2" xfId="8078"/>
    <cellStyle name="연결된 셀 5 2 10 2 2" xfId="8079"/>
    <cellStyle name="연결된 셀 5 2 10 2 2 2" xfId="25220"/>
    <cellStyle name="연결된 셀 5 2 10 2 3" xfId="8080"/>
    <cellStyle name="연결된 셀 5 2 10 2 3 2" xfId="25221"/>
    <cellStyle name="연결된 셀 5 2 10 2 4" xfId="8081"/>
    <cellStyle name="연결된 셀 5 2 10 2 4 2" xfId="25222"/>
    <cellStyle name="연결된 셀 5 2 10 2 5" xfId="25219"/>
    <cellStyle name="연결된 셀 5 2 10 3" xfId="8082"/>
    <cellStyle name="연결된 셀 5 2 10 3 2" xfId="8083"/>
    <cellStyle name="연결된 셀 5 2 10 3 2 2" xfId="25224"/>
    <cellStyle name="연결된 셀 5 2 10 3 3" xfId="8084"/>
    <cellStyle name="연결된 셀 5 2 10 3 3 2" xfId="25225"/>
    <cellStyle name="연결된 셀 5 2 10 3 4" xfId="8085"/>
    <cellStyle name="연결된 셀 5 2 10 3 4 2" xfId="25226"/>
    <cellStyle name="연결된 셀 5 2 10 3 5" xfId="25223"/>
    <cellStyle name="연결된 셀 5 2 10 4" xfId="8086"/>
    <cellStyle name="연결된 셀 5 2 10 4 2" xfId="8087"/>
    <cellStyle name="연결된 셀 5 2 10 4 2 2" xfId="25228"/>
    <cellStyle name="연결된 셀 5 2 10 4 3" xfId="8088"/>
    <cellStyle name="연결된 셀 5 2 10 4 3 2" xfId="25229"/>
    <cellStyle name="연결된 셀 5 2 10 4 4" xfId="8089"/>
    <cellStyle name="연결된 셀 5 2 10 4 4 2" xfId="25230"/>
    <cellStyle name="연결된 셀 5 2 10 4 5" xfId="25227"/>
    <cellStyle name="연결된 셀 5 2 10 5" xfId="8090"/>
    <cellStyle name="연결된 셀 5 2 10 5 2" xfId="25231"/>
    <cellStyle name="연결된 셀 5 2 10 6" xfId="8091"/>
    <cellStyle name="연결된 셀 5 2 10 6 2" xfId="25232"/>
    <cellStyle name="연결된 셀 5 2 10 7" xfId="8092"/>
    <cellStyle name="연결된 셀 5 2 10 7 2" xfId="25233"/>
    <cellStyle name="연결된 셀 5 2 10 8" xfId="25218"/>
    <cellStyle name="연결된 셀 5 2 11" xfId="8093"/>
    <cellStyle name="연결된 셀 5 2 11 2" xfId="8094"/>
    <cellStyle name="연결된 셀 5 2 11 2 2" xfId="8095"/>
    <cellStyle name="연결된 셀 5 2 11 2 2 2" xfId="25236"/>
    <cellStyle name="연결된 셀 5 2 11 2 3" xfId="8096"/>
    <cellStyle name="연결된 셀 5 2 11 2 3 2" xfId="25237"/>
    <cellStyle name="연결된 셀 5 2 11 2 4" xfId="8097"/>
    <cellStyle name="연결된 셀 5 2 11 2 4 2" xfId="25238"/>
    <cellStyle name="연결된 셀 5 2 11 2 5" xfId="25235"/>
    <cellStyle name="연결된 셀 5 2 11 3" xfId="8098"/>
    <cellStyle name="연결된 셀 5 2 11 3 2" xfId="8099"/>
    <cellStyle name="연결된 셀 5 2 11 3 2 2" xfId="25240"/>
    <cellStyle name="연결된 셀 5 2 11 3 3" xfId="8100"/>
    <cellStyle name="연결된 셀 5 2 11 3 3 2" xfId="25241"/>
    <cellStyle name="연결된 셀 5 2 11 3 4" xfId="8101"/>
    <cellStyle name="연결된 셀 5 2 11 3 4 2" xfId="25242"/>
    <cellStyle name="연결된 셀 5 2 11 3 5" xfId="25239"/>
    <cellStyle name="연결된 셀 5 2 11 4" xfId="8102"/>
    <cellStyle name="연결된 셀 5 2 11 4 2" xfId="8103"/>
    <cellStyle name="연결된 셀 5 2 11 4 2 2" xfId="25244"/>
    <cellStyle name="연결된 셀 5 2 11 4 3" xfId="8104"/>
    <cellStyle name="연결된 셀 5 2 11 4 3 2" xfId="25245"/>
    <cellStyle name="연결된 셀 5 2 11 4 4" xfId="8105"/>
    <cellStyle name="연결된 셀 5 2 11 4 4 2" xfId="25246"/>
    <cellStyle name="연결된 셀 5 2 11 4 5" xfId="25243"/>
    <cellStyle name="연결된 셀 5 2 11 5" xfId="8106"/>
    <cellStyle name="연결된 셀 5 2 11 5 2" xfId="25247"/>
    <cellStyle name="연결된 셀 5 2 11 6" xfId="8107"/>
    <cellStyle name="연결된 셀 5 2 11 6 2" xfId="25248"/>
    <cellStyle name="연결된 셀 5 2 11 7" xfId="8108"/>
    <cellStyle name="연결된 셀 5 2 11 7 2" xfId="25249"/>
    <cellStyle name="연결된 셀 5 2 11 8" xfId="25234"/>
    <cellStyle name="연결된 셀 5 2 12" xfId="8109"/>
    <cellStyle name="연결된 셀 5 2 12 2" xfId="8110"/>
    <cellStyle name="연결된 셀 5 2 12 2 2" xfId="25251"/>
    <cellStyle name="연결된 셀 5 2 12 3" xfId="8111"/>
    <cellStyle name="연결된 셀 5 2 12 3 2" xfId="25252"/>
    <cellStyle name="연결된 셀 5 2 12 4" xfId="8112"/>
    <cellStyle name="연결된 셀 5 2 12 4 2" xfId="25253"/>
    <cellStyle name="연결된 셀 5 2 12 5" xfId="25250"/>
    <cellStyle name="연결된 셀 5 2 13" xfId="8113"/>
    <cellStyle name="연결된 셀 5 2 13 2" xfId="25254"/>
    <cellStyle name="연결된 셀 5 2 14" xfId="8114"/>
    <cellStyle name="연결된 셀 5 2 14 2" xfId="25255"/>
    <cellStyle name="연결된 셀 5 2 15" xfId="8115"/>
    <cellStyle name="연결된 셀 5 2 15 2" xfId="25256"/>
    <cellStyle name="연결된 셀 5 2 16" xfId="18024"/>
    <cellStyle name="연결된 셀 5 2 2" xfId="8116"/>
    <cellStyle name="연결된 셀 5 2 2 2" xfId="8117"/>
    <cellStyle name="연결된 셀 5 2 2 2 2" xfId="8118"/>
    <cellStyle name="연결된 셀 5 2 2 2 2 2" xfId="25259"/>
    <cellStyle name="연결된 셀 5 2 2 2 3" xfId="8119"/>
    <cellStyle name="연결된 셀 5 2 2 2 3 2" xfId="25260"/>
    <cellStyle name="연결된 셀 5 2 2 2 4" xfId="8120"/>
    <cellStyle name="연결된 셀 5 2 2 2 4 2" xfId="25261"/>
    <cellStyle name="연결된 셀 5 2 2 2 5" xfId="25258"/>
    <cellStyle name="연결된 셀 5 2 2 3" xfId="8121"/>
    <cellStyle name="연결된 셀 5 2 2 3 2" xfId="8122"/>
    <cellStyle name="연결된 셀 5 2 2 3 2 2" xfId="25263"/>
    <cellStyle name="연결된 셀 5 2 2 3 3" xfId="8123"/>
    <cellStyle name="연결된 셀 5 2 2 3 3 2" xfId="25264"/>
    <cellStyle name="연결된 셀 5 2 2 3 4" xfId="8124"/>
    <cellStyle name="연결된 셀 5 2 2 3 4 2" xfId="25265"/>
    <cellStyle name="연결된 셀 5 2 2 3 5" xfId="25262"/>
    <cellStyle name="연결된 셀 5 2 2 4" xfId="8125"/>
    <cellStyle name="연결된 셀 5 2 2 4 2" xfId="8126"/>
    <cellStyle name="연결된 셀 5 2 2 4 2 2" xfId="25267"/>
    <cellStyle name="연결된 셀 5 2 2 4 3" xfId="8127"/>
    <cellStyle name="연결된 셀 5 2 2 4 3 2" xfId="25268"/>
    <cellStyle name="연결된 셀 5 2 2 4 4" xfId="8128"/>
    <cellStyle name="연결된 셀 5 2 2 4 4 2" xfId="25269"/>
    <cellStyle name="연결된 셀 5 2 2 4 5" xfId="25266"/>
    <cellStyle name="연결된 셀 5 2 2 5" xfId="8129"/>
    <cellStyle name="연결된 셀 5 2 2 5 2" xfId="25270"/>
    <cellStyle name="연결된 셀 5 2 2 6" xfId="8130"/>
    <cellStyle name="연결된 셀 5 2 2 6 2" xfId="25271"/>
    <cellStyle name="연결된 셀 5 2 2 7" xfId="8131"/>
    <cellStyle name="연결된 셀 5 2 2 7 2" xfId="25272"/>
    <cellStyle name="연결된 셀 5 2 2 8" xfId="25257"/>
    <cellStyle name="연결된 셀 5 2 3" xfId="8132"/>
    <cellStyle name="연결된 셀 5 2 3 2" xfId="8133"/>
    <cellStyle name="연결된 셀 5 2 3 2 2" xfId="8134"/>
    <cellStyle name="연결된 셀 5 2 3 2 2 2" xfId="25275"/>
    <cellStyle name="연결된 셀 5 2 3 2 3" xfId="8135"/>
    <cellStyle name="연결된 셀 5 2 3 2 3 2" xfId="25276"/>
    <cellStyle name="연결된 셀 5 2 3 2 4" xfId="8136"/>
    <cellStyle name="연결된 셀 5 2 3 2 4 2" xfId="25277"/>
    <cellStyle name="연결된 셀 5 2 3 2 5" xfId="25274"/>
    <cellStyle name="연결된 셀 5 2 3 3" xfId="8137"/>
    <cellStyle name="연결된 셀 5 2 3 3 2" xfId="8138"/>
    <cellStyle name="연결된 셀 5 2 3 3 2 2" xfId="25279"/>
    <cellStyle name="연결된 셀 5 2 3 3 3" xfId="8139"/>
    <cellStyle name="연결된 셀 5 2 3 3 3 2" xfId="25280"/>
    <cellStyle name="연결된 셀 5 2 3 3 4" xfId="8140"/>
    <cellStyle name="연결된 셀 5 2 3 3 4 2" xfId="25281"/>
    <cellStyle name="연결된 셀 5 2 3 3 5" xfId="25278"/>
    <cellStyle name="연결된 셀 5 2 3 4" xfId="8141"/>
    <cellStyle name="연결된 셀 5 2 3 4 2" xfId="8142"/>
    <cellStyle name="연결된 셀 5 2 3 4 2 2" xfId="25283"/>
    <cellStyle name="연결된 셀 5 2 3 4 3" xfId="8143"/>
    <cellStyle name="연결된 셀 5 2 3 4 3 2" xfId="25284"/>
    <cellStyle name="연결된 셀 5 2 3 4 4" xfId="8144"/>
    <cellStyle name="연결된 셀 5 2 3 4 4 2" xfId="25285"/>
    <cellStyle name="연결된 셀 5 2 3 4 5" xfId="25282"/>
    <cellStyle name="연결된 셀 5 2 3 5" xfId="8145"/>
    <cellStyle name="연결된 셀 5 2 3 5 2" xfId="25286"/>
    <cellStyle name="연결된 셀 5 2 3 6" xfId="8146"/>
    <cellStyle name="연결된 셀 5 2 3 6 2" xfId="25287"/>
    <cellStyle name="연결된 셀 5 2 3 7" xfId="8147"/>
    <cellStyle name="연결된 셀 5 2 3 7 2" xfId="25288"/>
    <cellStyle name="연결된 셀 5 2 3 8" xfId="25273"/>
    <cellStyle name="연결된 셀 5 2 4" xfId="8148"/>
    <cellStyle name="연결된 셀 5 2 4 2" xfId="8149"/>
    <cellStyle name="연결된 셀 5 2 4 2 2" xfId="8150"/>
    <cellStyle name="연결된 셀 5 2 4 2 2 2" xfId="25291"/>
    <cellStyle name="연결된 셀 5 2 4 2 3" xfId="8151"/>
    <cellStyle name="연결된 셀 5 2 4 2 3 2" xfId="25292"/>
    <cellStyle name="연결된 셀 5 2 4 2 4" xfId="8152"/>
    <cellStyle name="연결된 셀 5 2 4 2 4 2" xfId="25293"/>
    <cellStyle name="연결된 셀 5 2 4 2 5" xfId="25290"/>
    <cellStyle name="연결된 셀 5 2 4 3" xfId="8153"/>
    <cellStyle name="연결된 셀 5 2 4 3 2" xfId="8154"/>
    <cellStyle name="연결된 셀 5 2 4 3 2 2" xfId="25295"/>
    <cellStyle name="연결된 셀 5 2 4 3 3" xfId="8155"/>
    <cellStyle name="연결된 셀 5 2 4 3 3 2" xfId="25296"/>
    <cellStyle name="연결된 셀 5 2 4 3 4" xfId="8156"/>
    <cellStyle name="연결된 셀 5 2 4 3 4 2" xfId="25297"/>
    <cellStyle name="연결된 셀 5 2 4 3 5" xfId="25294"/>
    <cellStyle name="연결된 셀 5 2 4 4" xfId="8157"/>
    <cellStyle name="연결된 셀 5 2 4 4 2" xfId="8158"/>
    <cellStyle name="연결된 셀 5 2 4 4 2 2" xfId="25299"/>
    <cellStyle name="연결된 셀 5 2 4 4 3" xfId="8159"/>
    <cellStyle name="연결된 셀 5 2 4 4 3 2" xfId="25300"/>
    <cellStyle name="연결된 셀 5 2 4 4 4" xfId="8160"/>
    <cellStyle name="연결된 셀 5 2 4 4 4 2" xfId="25301"/>
    <cellStyle name="연결된 셀 5 2 4 4 5" xfId="25298"/>
    <cellStyle name="연결된 셀 5 2 4 5" xfId="8161"/>
    <cellStyle name="연결된 셀 5 2 4 5 2" xfId="25302"/>
    <cellStyle name="연결된 셀 5 2 4 6" xfId="8162"/>
    <cellStyle name="연결된 셀 5 2 4 6 2" xfId="25303"/>
    <cellStyle name="연결된 셀 5 2 4 7" xfId="8163"/>
    <cellStyle name="연결된 셀 5 2 4 7 2" xfId="25304"/>
    <cellStyle name="연결된 셀 5 2 4 8" xfId="25289"/>
    <cellStyle name="연결된 셀 5 2 5" xfId="8164"/>
    <cellStyle name="연결된 셀 5 2 5 2" xfId="8165"/>
    <cellStyle name="연결된 셀 5 2 5 2 2" xfId="8166"/>
    <cellStyle name="연결된 셀 5 2 5 2 2 2" xfId="25307"/>
    <cellStyle name="연결된 셀 5 2 5 2 3" xfId="8167"/>
    <cellStyle name="연결된 셀 5 2 5 2 3 2" xfId="25308"/>
    <cellStyle name="연결된 셀 5 2 5 2 4" xfId="8168"/>
    <cellStyle name="연결된 셀 5 2 5 2 4 2" xfId="25309"/>
    <cellStyle name="연결된 셀 5 2 5 2 5" xfId="25306"/>
    <cellStyle name="연결된 셀 5 2 5 3" xfId="8169"/>
    <cellStyle name="연결된 셀 5 2 5 3 2" xfId="8170"/>
    <cellStyle name="연결된 셀 5 2 5 3 2 2" xfId="25311"/>
    <cellStyle name="연결된 셀 5 2 5 3 3" xfId="8171"/>
    <cellStyle name="연결된 셀 5 2 5 3 3 2" xfId="25312"/>
    <cellStyle name="연결된 셀 5 2 5 3 4" xfId="8172"/>
    <cellStyle name="연결된 셀 5 2 5 3 4 2" xfId="25313"/>
    <cellStyle name="연결된 셀 5 2 5 3 5" xfId="25310"/>
    <cellStyle name="연결된 셀 5 2 5 4" xfId="8173"/>
    <cellStyle name="연결된 셀 5 2 5 4 2" xfId="8174"/>
    <cellStyle name="연결된 셀 5 2 5 4 2 2" xfId="25315"/>
    <cellStyle name="연결된 셀 5 2 5 4 3" xfId="8175"/>
    <cellStyle name="연결된 셀 5 2 5 4 3 2" xfId="25316"/>
    <cellStyle name="연결된 셀 5 2 5 4 4" xfId="8176"/>
    <cellStyle name="연결된 셀 5 2 5 4 4 2" xfId="25317"/>
    <cellStyle name="연결된 셀 5 2 5 4 5" xfId="25314"/>
    <cellStyle name="연결된 셀 5 2 5 5" xfId="8177"/>
    <cellStyle name="연결된 셀 5 2 5 5 2" xfId="25318"/>
    <cellStyle name="연결된 셀 5 2 5 6" xfId="8178"/>
    <cellStyle name="연결된 셀 5 2 5 6 2" xfId="25319"/>
    <cellStyle name="연결된 셀 5 2 5 7" xfId="8179"/>
    <cellStyle name="연결된 셀 5 2 5 7 2" xfId="25320"/>
    <cellStyle name="연결된 셀 5 2 5 8" xfId="25305"/>
    <cellStyle name="연결된 셀 5 2 6" xfId="8180"/>
    <cellStyle name="연결된 셀 5 2 6 2" xfId="8181"/>
    <cellStyle name="연결된 셀 5 2 6 2 2" xfId="8182"/>
    <cellStyle name="연결된 셀 5 2 6 2 2 2" xfId="25323"/>
    <cellStyle name="연결된 셀 5 2 6 2 3" xfId="8183"/>
    <cellStyle name="연결된 셀 5 2 6 2 3 2" xfId="25324"/>
    <cellStyle name="연결된 셀 5 2 6 2 4" xfId="8184"/>
    <cellStyle name="연결된 셀 5 2 6 2 4 2" xfId="25325"/>
    <cellStyle name="연결된 셀 5 2 6 2 5" xfId="25322"/>
    <cellStyle name="연결된 셀 5 2 6 3" xfId="8185"/>
    <cellStyle name="연결된 셀 5 2 6 3 2" xfId="8186"/>
    <cellStyle name="연결된 셀 5 2 6 3 2 2" xfId="25327"/>
    <cellStyle name="연결된 셀 5 2 6 3 3" xfId="8187"/>
    <cellStyle name="연결된 셀 5 2 6 3 3 2" xfId="25328"/>
    <cellStyle name="연결된 셀 5 2 6 3 4" xfId="8188"/>
    <cellStyle name="연결된 셀 5 2 6 3 4 2" xfId="25329"/>
    <cellStyle name="연결된 셀 5 2 6 3 5" xfId="25326"/>
    <cellStyle name="연결된 셀 5 2 6 4" xfId="8189"/>
    <cellStyle name="연결된 셀 5 2 6 4 2" xfId="8190"/>
    <cellStyle name="연결된 셀 5 2 6 4 2 2" xfId="25331"/>
    <cellStyle name="연결된 셀 5 2 6 4 3" xfId="8191"/>
    <cellStyle name="연결된 셀 5 2 6 4 3 2" xfId="25332"/>
    <cellStyle name="연결된 셀 5 2 6 4 4" xfId="8192"/>
    <cellStyle name="연결된 셀 5 2 6 4 4 2" xfId="25333"/>
    <cellStyle name="연결된 셀 5 2 6 4 5" xfId="25330"/>
    <cellStyle name="연결된 셀 5 2 6 5" xfId="8193"/>
    <cellStyle name="연결된 셀 5 2 6 5 2" xfId="25334"/>
    <cellStyle name="연결된 셀 5 2 6 6" xfId="8194"/>
    <cellStyle name="연결된 셀 5 2 6 6 2" xfId="25335"/>
    <cellStyle name="연결된 셀 5 2 6 7" xfId="8195"/>
    <cellStyle name="연결된 셀 5 2 6 7 2" xfId="25336"/>
    <cellStyle name="연결된 셀 5 2 6 8" xfId="25321"/>
    <cellStyle name="연결된 셀 5 2 7" xfId="8196"/>
    <cellStyle name="연결된 셀 5 2 7 2" xfId="8197"/>
    <cellStyle name="연결된 셀 5 2 7 2 2" xfId="8198"/>
    <cellStyle name="연결된 셀 5 2 7 2 2 2" xfId="25339"/>
    <cellStyle name="연결된 셀 5 2 7 2 3" xfId="8199"/>
    <cellStyle name="연결된 셀 5 2 7 2 3 2" xfId="25340"/>
    <cellStyle name="연결된 셀 5 2 7 2 4" xfId="8200"/>
    <cellStyle name="연결된 셀 5 2 7 2 4 2" xfId="25341"/>
    <cellStyle name="연결된 셀 5 2 7 2 5" xfId="25338"/>
    <cellStyle name="연결된 셀 5 2 7 3" xfId="8201"/>
    <cellStyle name="연결된 셀 5 2 7 3 2" xfId="8202"/>
    <cellStyle name="연결된 셀 5 2 7 3 2 2" xfId="25343"/>
    <cellStyle name="연결된 셀 5 2 7 3 3" xfId="8203"/>
    <cellStyle name="연결된 셀 5 2 7 3 3 2" xfId="25344"/>
    <cellStyle name="연결된 셀 5 2 7 3 4" xfId="8204"/>
    <cellStyle name="연결된 셀 5 2 7 3 4 2" xfId="25345"/>
    <cellStyle name="연결된 셀 5 2 7 3 5" xfId="25342"/>
    <cellStyle name="연결된 셀 5 2 7 4" xfId="8205"/>
    <cellStyle name="연결된 셀 5 2 7 4 2" xfId="8206"/>
    <cellStyle name="연결된 셀 5 2 7 4 2 2" xfId="25347"/>
    <cellStyle name="연결된 셀 5 2 7 4 3" xfId="8207"/>
    <cellStyle name="연결된 셀 5 2 7 4 3 2" xfId="25348"/>
    <cellStyle name="연결된 셀 5 2 7 4 4" xfId="8208"/>
    <cellStyle name="연결된 셀 5 2 7 4 4 2" xfId="25349"/>
    <cellStyle name="연결된 셀 5 2 7 4 5" xfId="25346"/>
    <cellStyle name="연결된 셀 5 2 7 5" xfId="8209"/>
    <cellStyle name="연결된 셀 5 2 7 5 2" xfId="25350"/>
    <cellStyle name="연결된 셀 5 2 7 6" xfId="8210"/>
    <cellStyle name="연결된 셀 5 2 7 6 2" xfId="25351"/>
    <cellStyle name="연결된 셀 5 2 7 7" xfId="8211"/>
    <cellStyle name="연결된 셀 5 2 7 7 2" xfId="25352"/>
    <cellStyle name="연결된 셀 5 2 7 8" xfId="25337"/>
    <cellStyle name="연결된 셀 5 2 8" xfId="8212"/>
    <cellStyle name="연결된 셀 5 2 8 2" xfId="8213"/>
    <cellStyle name="연결된 셀 5 2 8 2 2" xfId="8214"/>
    <cellStyle name="연결된 셀 5 2 8 2 2 2" xfId="25355"/>
    <cellStyle name="연결된 셀 5 2 8 2 3" xfId="8215"/>
    <cellStyle name="연결된 셀 5 2 8 2 3 2" xfId="25356"/>
    <cellStyle name="연결된 셀 5 2 8 2 4" xfId="8216"/>
    <cellStyle name="연결된 셀 5 2 8 2 4 2" xfId="25357"/>
    <cellStyle name="연결된 셀 5 2 8 2 5" xfId="25354"/>
    <cellStyle name="연결된 셀 5 2 8 3" xfId="8217"/>
    <cellStyle name="연결된 셀 5 2 8 3 2" xfId="8218"/>
    <cellStyle name="연결된 셀 5 2 8 3 2 2" xfId="25359"/>
    <cellStyle name="연결된 셀 5 2 8 3 3" xfId="8219"/>
    <cellStyle name="연결된 셀 5 2 8 3 3 2" xfId="25360"/>
    <cellStyle name="연결된 셀 5 2 8 3 4" xfId="8220"/>
    <cellStyle name="연결된 셀 5 2 8 3 4 2" xfId="25361"/>
    <cellStyle name="연결된 셀 5 2 8 3 5" xfId="25358"/>
    <cellStyle name="연결된 셀 5 2 8 4" xfId="8221"/>
    <cellStyle name="연결된 셀 5 2 8 4 2" xfId="8222"/>
    <cellStyle name="연결된 셀 5 2 8 4 2 2" xfId="25363"/>
    <cellStyle name="연결된 셀 5 2 8 4 3" xfId="8223"/>
    <cellStyle name="연결된 셀 5 2 8 4 3 2" xfId="25364"/>
    <cellStyle name="연결된 셀 5 2 8 4 4" xfId="8224"/>
    <cellStyle name="연결된 셀 5 2 8 4 4 2" xfId="25365"/>
    <cellStyle name="연결된 셀 5 2 8 4 5" xfId="25362"/>
    <cellStyle name="연결된 셀 5 2 8 5" xfId="8225"/>
    <cellStyle name="연결된 셀 5 2 8 5 2" xfId="25366"/>
    <cellStyle name="연결된 셀 5 2 8 6" xfId="8226"/>
    <cellStyle name="연결된 셀 5 2 8 6 2" xfId="25367"/>
    <cellStyle name="연결된 셀 5 2 8 7" xfId="8227"/>
    <cellStyle name="연결된 셀 5 2 8 7 2" xfId="25368"/>
    <cellStyle name="연결된 셀 5 2 8 8" xfId="25353"/>
    <cellStyle name="연결된 셀 5 2 9" xfId="8228"/>
    <cellStyle name="연결된 셀 5 2 9 2" xfId="8229"/>
    <cellStyle name="연결된 셀 5 2 9 2 2" xfId="8230"/>
    <cellStyle name="연결된 셀 5 2 9 2 2 2" xfId="25371"/>
    <cellStyle name="연결된 셀 5 2 9 2 3" xfId="8231"/>
    <cellStyle name="연결된 셀 5 2 9 2 3 2" xfId="25372"/>
    <cellStyle name="연결된 셀 5 2 9 2 4" xfId="8232"/>
    <cellStyle name="연결된 셀 5 2 9 2 4 2" xfId="25373"/>
    <cellStyle name="연결된 셀 5 2 9 2 5" xfId="25370"/>
    <cellStyle name="연결된 셀 5 2 9 3" xfId="8233"/>
    <cellStyle name="연결된 셀 5 2 9 3 2" xfId="8234"/>
    <cellStyle name="연결된 셀 5 2 9 3 2 2" xfId="25375"/>
    <cellStyle name="연결된 셀 5 2 9 3 3" xfId="8235"/>
    <cellStyle name="연결된 셀 5 2 9 3 3 2" xfId="25376"/>
    <cellStyle name="연결된 셀 5 2 9 3 4" xfId="8236"/>
    <cellStyle name="연결된 셀 5 2 9 3 4 2" xfId="25377"/>
    <cellStyle name="연결된 셀 5 2 9 3 5" xfId="25374"/>
    <cellStyle name="연결된 셀 5 2 9 4" xfId="8237"/>
    <cellStyle name="연결된 셀 5 2 9 4 2" xfId="8238"/>
    <cellStyle name="연결된 셀 5 2 9 4 2 2" xfId="25379"/>
    <cellStyle name="연결된 셀 5 2 9 4 3" xfId="8239"/>
    <cellStyle name="연결된 셀 5 2 9 4 3 2" xfId="25380"/>
    <cellStyle name="연결된 셀 5 2 9 4 4" xfId="8240"/>
    <cellStyle name="연결된 셀 5 2 9 4 4 2" xfId="25381"/>
    <cellStyle name="연결된 셀 5 2 9 4 5" xfId="25378"/>
    <cellStyle name="연결된 셀 5 2 9 5" xfId="8241"/>
    <cellStyle name="연결된 셀 5 2 9 5 2" xfId="25382"/>
    <cellStyle name="연결된 셀 5 2 9 6" xfId="8242"/>
    <cellStyle name="연결된 셀 5 2 9 6 2" xfId="25383"/>
    <cellStyle name="연결된 셀 5 2 9 7" xfId="8243"/>
    <cellStyle name="연결된 셀 5 2 9 7 2" xfId="25384"/>
    <cellStyle name="연결된 셀 5 2 9 8" xfId="25369"/>
    <cellStyle name="연결된 셀 5 3" xfId="629"/>
    <cellStyle name="연결된 셀 5 3 2" xfId="8244"/>
    <cellStyle name="연결된 셀 5 3 2 2" xfId="8245"/>
    <cellStyle name="연결된 셀 5 3 2 2 2" xfId="25386"/>
    <cellStyle name="연결된 셀 5 3 2 3" xfId="8246"/>
    <cellStyle name="연결된 셀 5 3 2 3 2" xfId="25387"/>
    <cellStyle name="연결된 셀 5 3 2 4" xfId="8247"/>
    <cellStyle name="연결된 셀 5 3 2 4 2" xfId="25388"/>
    <cellStyle name="연결된 셀 5 3 2 5" xfId="25385"/>
    <cellStyle name="연결된 셀 5 3 3" xfId="8248"/>
    <cellStyle name="연결된 셀 5 3 3 2" xfId="8249"/>
    <cellStyle name="연결된 셀 5 3 3 2 2" xfId="25390"/>
    <cellStyle name="연결된 셀 5 3 3 3" xfId="8250"/>
    <cellStyle name="연결된 셀 5 3 3 3 2" xfId="25391"/>
    <cellStyle name="연결된 셀 5 3 3 4" xfId="8251"/>
    <cellStyle name="연결된 셀 5 3 3 4 2" xfId="25392"/>
    <cellStyle name="연결된 셀 5 3 3 5" xfId="25389"/>
    <cellStyle name="연결된 셀 5 3 4" xfId="8252"/>
    <cellStyle name="연결된 셀 5 3 4 2" xfId="8253"/>
    <cellStyle name="연결된 셀 5 3 4 2 2" xfId="25394"/>
    <cellStyle name="연결된 셀 5 3 4 3" xfId="8254"/>
    <cellStyle name="연결된 셀 5 3 4 3 2" xfId="25395"/>
    <cellStyle name="연결된 셀 5 3 4 4" xfId="8255"/>
    <cellStyle name="연결된 셀 5 3 4 4 2" xfId="25396"/>
    <cellStyle name="연결된 셀 5 3 4 5" xfId="25393"/>
    <cellStyle name="연결된 셀 5 3 5" xfId="8256"/>
    <cellStyle name="연결된 셀 5 3 5 2" xfId="25397"/>
    <cellStyle name="연결된 셀 5 3 6" xfId="8257"/>
    <cellStyle name="연결된 셀 5 3 6 2" xfId="25398"/>
    <cellStyle name="연결된 셀 5 3 7" xfId="8258"/>
    <cellStyle name="연결된 셀 5 3 7 2" xfId="25399"/>
    <cellStyle name="연결된 셀 5 3 8" xfId="17772"/>
    <cellStyle name="연결된 셀 5 4" xfId="8259"/>
    <cellStyle name="연결된 셀 5 4 2" xfId="8260"/>
    <cellStyle name="연결된 셀 5 4 2 2" xfId="8261"/>
    <cellStyle name="연결된 셀 5 4 2 2 2" xfId="25402"/>
    <cellStyle name="연결된 셀 5 4 2 3" xfId="8262"/>
    <cellStyle name="연결된 셀 5 4 2 3 2" xfId="25403"/>
    <cellStyle name="연결된 셀 5 4 2 4" xfId="8263"/>
    <cellStyle name="연결된 셀 5 4 2 4 2" xfId="25404"/>
    <cellStyle name="연결된 셀 5 4 2 5" xfId="25401"/>
    <cellStyle name="연결된 셀 5 4 3" xfId="8264"/>
    <cellStyle name="연결된 셀 5 4 3 2" xfId="8265"/>
    <cellStyle name="연결된 셀 5 4 3 2 2" xfId="25406"/>
    <cellStyle name="연결된 셀 5 4 3 3" xfId="8266"/>
    <cellStyle name="연결된 셀 5 4 3 3 2" xfId="25407"/>
    <cellStyle name="연결된 셀 5 4 3 4" xfId="8267"/>
    <cellStyle name="연결된 셀 5 4 3 4 2" xfId="25408"/>
    <cellStyle name="연결된 셀 5 4 3 5" xfId="25405"/>
    <cellStyle name="연결된 셀 5 4 4" xfId="8268"/>
    <cellStyle name="연결된 셀 5 4 4 2" xfId="8269"/>
    <cellStyle name="연결된 셀 5 4 4 2 2" xfId="25410"/>
    <cellStyle name="연결된 셀 5 4 4 3" xfId="8270"/>
    <cellStyle name="연결된 셀 5 4 4 3 2" xfId="25411"/>
    <cellStyle name="연결된 셀 5 4 4 4" xfId="8271"/>
    <cellStyle name="연결된 셀 5 4 4 4 2" xfId="25412"/>
    <cellStyle name="연결된 셀 5 4 4 5" xfId="25409"/>
    <cellStyle name="연결된 셀 5 4 5" xfId="8272"/>
    <cellStyle name="연결된 셀 5 4 5 2" xfId="25413"/>
    <cellStyle name="연결된 셀 5 4 6" xfId="8273"/>
    <cellStyle name="연결된 셀 5 4 6 2" xfId="25414"/>
    <cellStyle name="연결된 셀 5 4 7" xfId="8274"/>
    <cellStyle name="연결된 셀 5 4 7 2" xfId="25415"/>
    <cellStyle name="연결된 셀 5 4 8" xfId="25400"/>
    <cellStyle name="연결된 셀 5 5" xfId="8275"/>
    <cellStyle name="연결된 셀 5 5 2" xfId="8276"/>
    <cellStyle name="연결된 셀 5 5 2 2" xfId="8277"/>
    <cellStyle name="연결된 셀 5 5 2 2 2" xfId="25418"/>
    <cellStyle name="연결된 셀 5 5 2 3" xfId="8278"/>
    <cellStyle name="연결된 셀 5 5 2 3 2" xfId="25419"/>
    <cellStyle name="연결된 셀 5 5 2 4" xfId="8279"/>
    <cellStyle name="연결된 셀 5 5 2 4 2" xfId="25420"/>
    <cellStyle name="연결된 셀 5 5 2 5" xfId="25417"/>
    <cellStyle name="연결된 셀 5 5 3" xfId="8280"/>
    <cellStyle name="연결된 셀 5 5 3 2" xfId="8281"/>
    <cellStyle name="연결된 셀 5 5 3 2 2" xfId="25422"/>
    <cellStyle name="연결된 셀 5 5 3 3" xfId="8282"/>
    <cellStyle name="연결된 셀 5 5 3 3 2" xfId="25423"/>
    <cellStyle name="연결된 셀 5 5 3 4" xfId="8283"/>
    <cellStyle name="연결된 셀 5 5 3 4 2" xfId="25424"/>
    <cellStyle name="연결된 셀 5 5 3 5" xfId="25421"/>
    <cellStyle name="연결된 셀 5 5 4" xfId="8284"/>
    <cellStyle name="연결된 셀 5 5 4 2" xfId="8285"/>
    <cellStyle name="연결된 셀 5 5 4 2 2" xfId="25426"/>
    <cellStyle name="연결된 셀 5 5 4 3" xfId="8286"/>
    <cellStyle name="연결된 셀 5 5 4 3 2" xfId="25427"/>
    <cellStyle name="연결된 셀 5 5 4 4" xfId="8287"/>
    <cellStyle name="연결된 셀 5 5 4 4 2" xfId="25428"/>
    <cellStyle name="연결된 셀 5 5 4 5" xfId="25425"/>
    <cellStyle name="연결된 셀 5 5 5" xfId="8288"/>
    <cellStyle name="연결된 셀 5 5 5 2" xfId="25429"/>
    <cellStyle name="연결된 셀 5 5 6" xfId="8289"/>
    <cellStyle name="연결된 셀 5 5 6 2" xfId="25430"/>
    <cellStyle name="연결된 셀 5 5 7" xfId="8290"/>
    <cellStyle name="연결된 셀 5 5 7 2" xfId="25431"/>
    <cellStyle name="연결된 셀 5 5 8" xfId="25416"/>
    <cellStyle name="연결된 셀 5 6" xfId="8291"/>
    <cellStyle name="연결된 셀 5 6 2" xfId="8292"/>
    <cellStyle name="연결된 셀 5 6 2 2" xfId="8293"/>
    <cellStyle name="연결된 셀 5 6 2 2 2" xfId="25434"/>
    <cellStyle name="연결된 셀 5 6 2 3" xfId="8294"/>
    <cellStyle name="연결된 셀 5 6 2 3 2" xfId="25435"/>
    <cellStyle name="연결된 셀 5 6 2 4" xfId="8295"/>
    <cellStyle name="연결된 셀 5 6 2 4 2" xfId="25436"/>
    <cellStyle name="연결된 셀 5 6 2 5" xfId="25433"/>
    <cellStyle name="연결된 셀 5 6 3" xfId="8296"/>
    <cellStyle name="연결된 셀 5 6 3 2" xfId="8297"/>
    <cellStyle name="연결된 셀 5 6 3 2 2" xfId="25438"/>
    <cellStyle name="연결된 셀 5 6 3 3" xfId="8298"/>
    <cellStyle name="연결된 셀 5 6 3 3 2" xfId="25439"/>
    <cellStyle name="연결된 셀 5 6 3 4" xfId="8299"/>
    <cellStyle name="연결된 셀 5 6 3 4 2" xfId="25440"/>
    <cellStyle name="연결된 셀 5 6 3 5" xfId="25437"/>
    <cellStyle name="연결된 셀 5 6 4" xfId="8300"/>
    <cellStyle name="연결된 셀 5 6 4 2" xfId="8301"/>
    <cellStyle name="연결된 셀 5 6 4 2 2" xfId="25442"/>
    <cellStyle name="연결된 셀 5 6 4 3" xfId="8302"/>
    <cellStyle name="연결된 셀 5 6 4 3 2" xfId="25443"/>
    <cellStyle name="연결된 셀 5 6 4 4" xfId="8303"/>
    <cellStyle name="연결된 셀 5 6 4 4 2" xfId="25444"/>
    <cellStyle name="연결된 셀 5 6 4 5" xfId="25441"/>
    <cellStyle name="연결된 셀 5 6 5" xfId="8304"/>
    <cellStyle name="연결된 셀 5 6 5 2" xfId="25445"/>
    <cellStyle name="연결된 셀 5 6 6" xfId="8305"/>
    <cellStyle name="연결된 셀 5 6 6 2" xfId="25446"/>
    <cellStyle name="연결된 셀 5 6 7" xfId="8306"/>
    <cellStyle name="연결된 셀 5 6 7 2" xfId="25447"/>
    <cellStyle name="연결된 셀 5 6 8" xfId="25432"/>
    <cellStyle name="연결된 셀 5 7" xfId="8307"/>
    <cellStyle name="연결된 셀 5 7 2" xfId="8308"/>
    <cellStyle name="연결된 셀 5 7 2 2" xfId="8309"/>
    <cellStyle name="연결된 셀 5 7 2 2 2" xfId="25450"/>
    <cellStyle name="연결된 셀 5 7 2 3" xfId="8310"/>
    <cellStyle name="연결된 셀 5 7 2 3 2" xfId="25451"/>
    <cellStyle name="연결된 셀 5 7 2 4" xfId="8311"/>
    <cellStyle name="연결된 셀 5 7 2 4 2" xfId="25452"/>
    <cellStyle name="연결된 셀 5 7 2 5" xfId="25449"/>
    <cellStyle name="연결된 셀 5 7 3" xfId="8312"/>
    <cellStyle name="연결된 셀 5 7 3 2" xfId="8313"/>
    <cellStyle name="연결된 셀 5 7 3 2 2" xfId="25454"/>
    <cellStyle name="연결된 셀 5 7 3 3" xfId="8314"/>
    <cellStyle name="연결된 셀 5 7 3 3 2" xfId="25455"/>
    <cellStyle name="연결된 셀 5 7 3 4" xfId="8315"/>
    <cellStyle name="연결된 셀 5 7 3 4 2" xfId="25456"/>
    <cellStyle name="연결된 셀 5 7 3 5" xfId="25453"/>
    <cellStyle name="연결된 셀 5 7 4" xfId="8316"/>
    <cellStyle name="연결된 셀 5 7 4 2" xfId="8317"/>
    <cellStyle name="연결된 셀 5 7 4 2 2" xfId="25458"/>
    <cellStyle name="연결된 셀 5 7 4 3" xfId="8318"/>
    <cellStyle name="연결된 셀 5 7 4 3 2" xfId="25459"/>
    <cellStyle name="연결된 셀 5 7 4 4" xfId="8319"/>
    <cellStyle name="연결된 셀 5 7 4 4 2" xfId="25460"/>
    <cellStyle name="연결된 셀 5 7 4 5" xfId="25457"/>
    <cellStyle name="연결된 셀 5 7 5" xfId="8320"/>
    <cellStyle name="연결된 셀 5 7 5 2" xfId="25461"/>
    <cellStyle name="연결된 셀 5 7 6" xfId="8321"/>
    <cellStyle name="연결된 셀 5 7 6 2" xfId="25462"/>
    <cellStyle name="연결된 셀 5 7 7" xfId="8322"/>
    <cellStyle name="연결된 셀 5 7 7 2" xfId="25463"/>
    <cellStyle name="연결된 셀 5 7 8" xfId="25448"/>
    <cellStyle name="연결된 셀 5 8" xfId="8323"/>
    <cellStyle name="연결된 셀 5 8 2" xfId="8324"/>
    <cellStyle name="연결된 셀 5 8 2 2" xfId="8325"/>
    <cellStyle name="연결된 셀 5 8 2 2 2" xfId="25466"/>
    <cellStyle name="연결된 셀 5 8 2 3" xfId="8326"/>
    <cellStyle name="연결된 셀 5 8 2 3 2" xfId="25467"/>
    <cellStyle name="연결된 셀 5 8 2 4" xfId="8327"/>
    <cellStyle name="연결된 셀 5 8 2 4 2" xfId="25468"/>
    <cellStyle name="연결된 셀 5 8 2 5" xfId="25465"/>
    <cellStyle name="연결된 셀 5 8 3" xfId="8328"/>
    <cellStyle name="연결된 셀 5 8 3 2" xfId="8329"/>
    <cellStyle name="연결된 셀 5 8 3 2 2" xfId="25470"/>
    <cellStyle name="연결된 셀 5 8 3 3" xfId="8330"/>
    <cellStyle name="연결된 셀 5 8 3 3 2" xfId="25471"/>
    <cellStyle name="연결된 셀 5 8 3 4" xfId="8331"/>
    <cellStyle name="연결된 셀 5 8 3 4 2" xfId="25472"/>
    <cellStyle name="연결된 셀 5 8 3 5" xfId="25469"/>
    <cellStyle name="연결된 셀 5 8 4" xfId="8332"/>
    <cellStyle name="연결된 셀 5 8 4 2" xfId="8333"/>
    <cellStyle name="연결된 셀 5 8 4 2 2" xfId="25474"/>
    <cellStyle name="연결된 셀 5 8 4 3" xfId="8334"/>
    <cellStyle name="연결된 셀 5 8 4 3 2" xfId="25475"/>
    <cellStyle name="연결된 셀 5 8 4 4" xfId="8335"/>
    <cellStyle name="연결된 셀 5 8 4 4 2" xfId="25476"/>
    <cellStyle name="연결된 셀 5 8 4 5" xfId="25473"/>
    <cellStyle name="연결된 셀 5 8 5" xfId="8336"/>
    <cellStyle name="연결된 셀 5 8 5 2" xfId="25477"/>
    <cellStyle name="연결된 셀 5 8 6" xfId="8337"/>
    <cellStyle name="연결된 셀 5 8 6 2" xfId="25478"/>
    <cellStyle name="연결된 셀 5 8 7" xfId="8338"/>
    <cellStyle name="연결된 셀 5 8 7 2" xfId="25479"/>
    <cellStyle name="연결된 셀 5 8 8" xfId="25464"/>
    <cellStyle name="연결된 셀 5 9" xfId="8339"/>
    <cellStyle name="연결된 셀 5 9 2" xfId="8340"/>
    <cellStyle name="연결된 셀 5 9 2 2" xfId="8341"/>
    <cellStyle name="연결된 셀 5 9 2 2 2" xfId="25482"/>
    <cellStyle name="연결된 셀 5 9 2 3" xfId="8342"/>
    <cellStyle name="연결된 셀 5 9 2 3 2" xfId="25483"/>
    <cellStyle name="연결된 셀 5 9 2 4" xfId="8343"/>
    <cellStyle name="연결된 셀 5 9 2 4 2" xfId="25484"/>
    <cellStyle name="연결된 셀 5 9 2 5" xfId="25481"/>
    <cellStyle name="연결된 셀 5 9 3" xfId="8344"/>
    <cellStyle name="연결된 셀 5 9 3 2" xfId="8345"/>
    <cellStyle name="연결된 셀 5 9 3 2 2" xfId="25486"/>
    <cellStyle name="연결된 셀 5 9 3 3" xfId="8346"/>
    <cellStyle name="연결된 셀 5 9 3 3 2" xfId="25487"/>
    <cellStyle name="연결된 셀 5 9 3 4" xfId="8347"/>
    <cellStyle name="연결된 셀 5 9 3 4 2" xfId="25488"/>
    <cellStyle name="연결된 셀 5 9 3 5" xfId="25485"/>
    <cellStyle name="연결된 셀 5 9 4" xfId="8348"/>
    <cellStyle name="연결된 셀 5 9 4 2" xfId="8349"/>
    <cellStyle name="연결된 셀 5 9 4 2 2" xfId="25490"/>
    <cellStyle name="연결된 셀 5 9 4 3" xfId="8350"/>
    <cellStyle name="연결된 셀 5 9 4 3 2" xfId="25491"/>
    <cellStyle name="연결된 셀 5 9 4 4" xfId="8351"/>
    <cellStyle name="연결된 셀 5 9 4 4 2" xfId="25492"/>
    <cellStyle name="연결된 셀 5 9 4 5" xfId="25489"/>
    <cellStyle name="연결된 셀 5 9 5" xfId="8352"/>
    <cellStyle name="연결된 셀 5 9 5 2" xfId="25493"/>
    <cellStyle name="연결된 셀 5 9 6" xfId="8353"/>
    <cellStyle name="연결된 셀 5 9 6 2" xfId="25494"/>
    <cellStyle name="연결된 셀 5 9 7" xfId="8354"/>
    <cellStyle name="연결된 셀 5 9 7 2" xfId="25495"/>
    <cellStyle name="연결된 셀 5 9 8" xfId="25480"/>
    <cellStyle name="연결된 셀 6" xfId="286"/>
    <cellStyle name="연결된 셀 6 10" xfId="8355"/>
    <cellStyle name="연결된 셀 6 10 2" xfId="8356"/>
    <cellStyle name="연결된 셀 6 10 2 2" xfId="8357"/>
    <cellStyle name="연결된 셀 6 10 2 2 2" xfId="25498"/>
    <cellStyle name="연결된 셀 6 10 2 3" xfId="8358"/>
    <cellStyle name="연결된 셀 6 10 2 3 2" xfId="25499"/>
    <cellStyle name="연결된 셀 6 10 2 4" xfId="8359"/>
    <cellStyle name="연결된 셀 6 10 2 4 2" xfId="25500"/>
    <cellStyle name="연결된 셀 6 10 2 5" xfId="25497"/>
    <cellStyle name="연결된 셀 6 10 3" xfId="8360"/>
    <cellStyle name="연결된 셀 6 10 3 2" xfId="8361"/>
    <cellStyle name="연결된 셀 6 10 3 2 2" xfId="25502"/>
    <cellStyle name="연결된 셀 6 10 3 3" xfId="8362"/>
    <cellStyle name="연결된 셀 6 10 3 3 2" xfId="25503"/>
    <cellStyle name="연결된 셀 6 10 3 4" xfId="8363"/>
    <cellStyle name="연결된 셀 6 10 3 4 2" xfId="25504"/>
    <cellStyle name="연결된 셀 6 10 3 5" xfId="25501"/>
    <cellStyle name="연결된 셀 6 10 4" xfId="8364"/>
    <cellStyle name="연결된 셀 6 10 4 2" xfId="8365"/>
    <cellStyle name="연결된 셀 6 10 4 2 2" xfId="25506"/>
    <cellStyle name="연결된 셀 6 10 4 3" xfId="8366"/>
    <cellStyle name="연결된 셀 6 10 4 3 2" xfId="25507"/>
    <cellStyle name="연결된 셀 6 10 4 4" xfId="8367"/>
    <cellStyle name="연결된 셀 6 10 4 4 2" xfId="25508"/>
    <cellStyle name="연결된 셀 6 10 4 5" xfId="25505"/>
    <cellStyle name="연결된 셀 6 10 5" xfId="8368"/>
    <cellStyle name="연결된 셀 6 10 5 2" xfId="25509"/>
    <cellStyle name="연결된 셀 6 10 6" xfId="8369"/>
    <cellStyle name="연결된 셀 6 10 6 2" xfId="25510"/>
    <cellStyle name="연결된 셀 6 10 7" xfId="8370"/>
    <cellStyle name="연결된 셀 6 10 7 2" xfId="25511"/>
    <cellStyle name="연결된 셀 6 10 8" xfId="25496"/>
    <cellStyle name="연결된 셀 6 11" xfId="8371"/>
    <cellStyle name="연결된 셀 6 11 2" xfId="8372"/>
    <cellStyle name="연결된 셀 6 11 2 2" xfId="8373"/>
    <cellStyle name="연결된 셀 6 11 2 2 2" xfId="25514"/>
    <cellStyle name="연결된 셀 6 11 2 3" xfId="8374"/>
    <cellStyle name="연결된 셀 6 11 2 3 2" xfId="25515"/>
    <cellStyle name="연결된 셀 6 11 2 4" xfId="8375"/>
    <cellStyle name="연결된 셀 6 11 2 4 2" xfId="25516"/>
    <cellStyle name="연결된 셀 6 11 2 5" xfId="25513"/>
    <cellStyle name="연결된 셀 6 11 3" xfId="8376"/>
    <cellStyle name="연결된 셀 6 11 3 2" xfId="8377"/>
    <cellStyle name="연결된 셀 6 11 3 2 2" xfId="25518"/>
    <cellStyle name="연결된 셀 6 11 3 3" xfId="8378"/>
    <cellStyle name="연결된 셀 6 11 3 3 2" xfId="25519"/>
    <cellStyle name="연결된 셀 6 11 3 4" xfId="8379"/>
    <cellStyle name="연결된 셀 6 11 3 4 2" xfId="25520"/>
    <cellStyle name="연결된 셀 6 11 3 5" xfId="25517"/>
    <cellStyle name="연결된 셀 6 11 4" xfId="8380"/>
    <cellStyle name="연결된 셀 6 11 4 2" xfId="8381"/>
    <cellStyle name="연결된 셀 6 11 4 2 2" xfId="25522"/>
    <cellStyle name="연결된 셀 6 11 4 3" xfId="8382"/>
    <cellStyle name="연결된 셀 6 11 4 3 2" xfId="25523"/>
    <cellStyle name="연결된 셀 6 11 4 4" xfId="8383"/>
    <cellStyle name="연결된 셀 6 11 4 4 2" xfId="25524"/>
    <cellStyle name="연결된 셀 6 11 4 5" xfId="25521"/>
    <cellStyle name="연결된 셀 6 11 5" xfId="8384"/>
    <cellStyle name="연결된 셀 6 11 5 2" xfId="25525"/>
    <cellStyle name="연결된 셀 6 11 6" xfId="8385"/>
    <cellStyle name="연결된 셀 6 11 6 2" xfId="25526"/>
    <cellStyle name="연결된 셀 6 11 7" xfId="8386"/>
    <cellStyle name="연결된 셀 6 11 7 2" xfId="25527"/>
    <cellStyle name="연결된 셀 6 11 8" xfId="25512"/>
    <cellStyle name="연결된 셀 6 12" xfId="8387"/>
    <cellStyle name="연결된 셀 6 12 2" xfId="8388"/>
    <cellStyle name="연결된 셀 6 12 2 2" xfId="8389"/>
    <cellStyle name="연결된 셀 6 12 2 2 2" xfId="25530"/>
    <cellStyle name="연결된 셀 6 12 2 3" xfId="8390"/>
    <cellStyle name="연결된 셀 6 12 2 3 2" xfId="25531"/>
    <cellStyle name="연결된 셀 6 12 2 4" xfId="8391"/>
    <cellStyle name="연결된 셀 6 12 2 4 2" xfId="25532"/>
    <cellStyle name="연결된 셀 6 12 2 5" xfId="25529"/>
    <cellStyle name="연결된 셀 6 12 3" xfId="8392"/>
    <cellStyle name="연결된 셀 6 12 3 2" xfId="8393"/>
    <cellStyle name="연결된 셀 6 12 3 2 2" xfId="25534"/>
    <cellStyle name="연결된 셀 6 12 3 3" xfId="8394"/>
    <cellStyle name="연결된 셀 6 12 3 3 2" xfId="25535"/>
    <cellStyle name="연결된 셀 6 12 3 4" xfId="8395"/>
    <cellStyle name="연결된 셀 6 12 3 4 2" xfId="25536"/>
    <cellStyle name="연결된 셀 6 12 3 5" xfId="25533"/>
    <cellStyle name="연결된 셀 6 12 4" xfId="8396"/>
    <cellStyle name="연결된 셀 6 12 4 2" xfId="8397"/>
    <cellStyle name="연결된 셀 6 12 4 2 2" xfId="25538"/>
    <cellStyle name="연결된 셀 6 12 4 3" xfId="8398"/>
    <cellStyle name="연결된 셀 6 12 4 3 2" xfId="25539"/>
    <cellStyle name="연결된 셀 6 12 4 4" xfId="8399"/>
    <cellStyle name="연결된 셀 6 12 4 4 2" xfId="25540"/>
    <cellStyle name="연결된 셀 6 12 4 5" xfId="25537"/>
    <cellStyle name="연결된 셀 6 12 5" xfId="8400"/>
    <cellStyle name="연결된 셀 6 12 5 2" xfId="25541"/>
    <cellStyle name="연결된 셀 6 12 6" xfId="8401"/>
    <cellStyle name="연결된 셀 6 12 6 2" xfId="25542"/>
    <cellStyle name="연결된 셀 6 12 7" xfId="8402"/>
    <cellStyle name="연결된 셀 6 12 7 2" xfId="25543"/>
    <cellStyle name="연결된 셀 6 12 8" xfId="25528"/>
    <cellStyle name="연결된 셀 6 13" xfId="8403"/>
    <cellStyle name="연결된 셀 6 13 2" xfId="8404"/>
    <cellStyle name="연결된 셀 6 13 2 2" xfId="25545"/>
    <cellStyle name="연결된 셀 6 13 3" xfId="8405"/>
    <cellStyle name="연결된 셀 6 13 3 2" xfId="25546"/>
    <cellStyle name="연결된 셀 6 13 4" xfId="8406"/>
    <cellStyle name="연결된 셀 6 13 4 2" xfId="25547"/>
    <cellStyle name="연결된 셀 6 13 5" xfId="25544"/>
    <cellStyle name="연결된 셀 6 14" xfId="8407"/>
    <cellStyle name="연결된 셀 6 14 2" xfId="25548"/>
    <cellStyle name="연결된 셀 6 15" xfId="8408"/>
    <cellStyle name="연결된 셀 6 15 2" xfId="25549"/>
    <cellStyle name="연결된 셀 6 16" xfId="8409"/>
    <cellStyle name="연결된 셀 6 16 2" xfId="25550"/>
    <cellStyle name="연결된 셀 6 17" xfId="17429"/>
    <cellStyle name="연결된 셀 6 2" xfId="823"/>
    <cellStyle name="연결된 셀 6 2 10" xfId="8410"/>
    <cellStyle name="연결된 셀 6 2 10 2" xfId="8411"/>
    <cellStyle name="연결된 셀 6 2 10 2 2" xfId="8412"/>
    <cellStyle name="연결된 셀 6 2 10 2 2 2" xfId="25553"/>
    <cellStyle name="연결된 셀 6 2 10 2 3" xfId="8413"/>
    <cellStyle name="연결된 셀 6 2 10 2 3 2" xfId="25554"/>
    <cellStyle name="연결된 셀 6 2 10 2 4" xfId="8414"/>
    <cellStyle name="연결된 셀 6 2 10 2 4 2" xfId="25555"/>
    <cellStyle name="연결된 셀 6 2 10 2 5" xfId="25552"/>
    <cellStyle name="연결된 셀 6 2 10 3" xfId="8415"/>
    <cellStyle name="연결된 셀 6 2 10 3 2" xfId="8416"/>
    <cellStyle name="연결된 셀 6 2 10 3 2 2" xfId="25557"/>
    <cellStyle name="연결된 셀 6 2 10 3 3" xfId="8417"/>
    <cellStyle name="연결된 셀 6 2 10 3 3 2" xfId="25558"/>
    <cellStyle name="연결된 셀 6 2 10 3 4" xfId="8418"/>
    <cellStyle name="연결된 셀 6 2 10 3 4 2" xfId="25559"/>
    <cellStyle name="연결된 셀 6 2 10 3 5" xfId="25556"/>
    <cellStyle name="연결된 셀 6 2 10 4" xfId="8419"/>
    <cellStyle name="연결된 셀 6 2 10 4 2" xfId="8420"/>
    <cellStyle name="연결된 셀 6 2 10 4 2 2" xfId="25561"/>
    <cellStyle name="연결된 셀 6 2 10 4 3" xfId="8421"/>
    <cellStyle name="연결된 셀 6 2 10 4 3 2" xfId="25562"/>
    <cellStyle name="연결된 셀 6 2 10 4 4" xfId="8422"/>
    <cellStyle name="연결된 셀 6 2 10 4 4 2" xfId="25563"/>
    <cellStyle name="연결된 셀 6 2 10 4 5" xfId="25560"/>
    <cellStyle name="연결된 셀 6 2 10 5" xfId="8423"/>
    <cellStyle name="연결된 셀 6 2 10 5 2" xfId="25564"/>
    <cellStyle name="연결된 셀 6 2 10 6" xfId="8424"/>
    <cellStyle name="연결된 셀 6 2 10 6 2" xfId="25565"/>
    <cellStyle name="연결된 셀 6 2 10 7" xfId="8425"/>
    <cellStyle name="연결된 셀 6 2 10 7 2" xfId="25566"/>
    <cellStyle name="연결된 셀 6 2 10 8" xfId="25551"/>
    <cellStyle name="연결된 셀 6 2 11" xfId="8426"/>
    <cellStyle name="연결된 셀 6 2 11 2" xfId="8427"/>
    <cellStyle name="연결된 셀 6 2 11 2 2" xfId="8428"/>
    <cellStyle name="연결된 셀 6 2 11 2 2 2" xfId="25569"/>
    <cellStyle name="연결된 셀 6 2 11 2 3" xfId="8429"/>
    <cellStyle name="연결된 셀 6 2 11 2 3 2" xfId="25570"/>
    <cellStyle name="연결된 셀 6 2 11 2 4" xfId="8430"/>
    <cellStyle name="연결된 셀 6 2 11 2 4 2" xfId="25571"/>
    <cellStyle name="연결된 셀 6 2 11 2 5" xfId="25568"/>
    <cellStyle name="연결된 셀 6 2 11 3" xfId="8431"/>
    <cellStyle name="연결된 셀 6 2 11 3 2" xfId="8432"/>
    <cellStyle name="연결된 셀 6 2 11 3 2 2" xfId="25573"/>
    <cellStyle name="연결된 셀 6 2 11 3 3" xfId="8433"/>
    <cellStyle name="연결된 셀 6 2 11 3 3 2" xfId="25574"/>
    <cellStyle name="연결된 셀 6 2 11 3 4" xfId="8434"/>
    <cellStyle name="연결된 셀 6 2 11 3 4 2" xfId="25575"/>
    <cellStyle name="연결된 셀 6 2 11 3 5" xfId="25572"/>
    <cellStyle name="연결된 셀 6 2 11 4" xfId="8435"/>
    <cellStyle name="연결된 셀 6 2 11 4 2" xfId="8436"/>
    <cellStyle name="연결된 셀 6 2 11 4 2 2" xfId="25577"/>
    <cellStyle name="연결된 셀 6 2 11 4 3" xfId="8437"/>
    <cellStyle name="연결된 셀 6 2 11 4 3 2" xfId="25578"/>
    <cellStyle name="연결된 셀 6 2 11 4 4" xfId="8438"/>
    <cellStyle name="연결된 셀 6 2 11 4 4 2" xfId="25579"/>
    <cellStyle name="연결된 셀 6 2 11 4 5" xfId="25576"/>
    <cellStyle name="연결된 셀 6 2 11 5" xfId="8439"/>
    <cellStyle name="연결된 셀 6 2 11 5 2" xfId="25580"/>
    <cellStyle name="연결된 셀 6 2 11 6" xfId="8440"/>
    <cellStyle name="연결된 셀 6 2 11 6 2" xfId="25581"/>
    <cellStyle name="연결된 셀 6 2 11 7" xfId="8441"/>
    <cellStyle name="연결된 셀 6 2 11 7 2" xfId="25582"/>
    <cellStyle name="연결된 셀 6 2 11 8" xfId="25567"/>
    <cellStyle name="연결된 셀 6 2 12" xfId="8442"/>
    <cellStyle name="연결된 셀 6 2 12 2" xfId="8443"/>
    <cellStyle name="연결된 셀 6 2 12 2 2" xfId="25584"/>
    <cellStyle name="연결된 셀 6 2 12 3" xfId="8444"/>
    <cellStyle name="연결된 셀 6 2 12 3 2" xfId="25585"/>
    <cellStyle name="연결된 셀 6 2 12 4" xfId="8445"/>
    <cellStyle name="연결된 셀 6 2 12 4 2" xfId="25586"/>
    <cellStyle name="연결된 셀 6 2 12 5" xfId="25583"/>
    <cellStyle name="연결된 셀 6 2 13" xfId="8446"/>
    <cellStyle name="연결된 셀 6 2 13 2" xfId="25587"/>
    <cellStyle name="연결된 셀 6 2 14" xfId="8447"/>
    <cellStyle name="연결된 셀 6 2 14 2" xfId="25588"/>
    <cellStyle name="연결된 셀 6 2 15" xfId="8448"/>
    <cellStyle name="연결된 셀 6 2 15 2" xfId="25589"/>
    <cellStyle name="연결된 셀 6 2 16" xfId="17966"/>
    <cellStyle name="연결된 셀 6 2 2" xfId="8449"/>
    <cellStyle name="연결된 셀 6 2 2 2" xfId="8450"/>
    <cellStyle name="연결된 셀 6 2 2 2 2" xfId="8451"/>
    <cellStyle name="연결된 셀 6 2 2 2 2 2" xfId="25592"/>
    <cellStyle name="연결된 셀 6 2 2 2 3" xfId="8452"/>
    <cellStyle name="연결된 셀 6 2 2 2 3 2" xfId="25593"/>
    <cellStyle name="연결된 셀 6 2 2 2 4" xfId="8453"/>
    <cellStyle name="연결된 셀 6 2 2 2 4 2" xfId="25594"/>
    <cellStyle name="연결된 셀 6 2 2 2 5" xfId="25591"/>
    <cellStyle name="연결된 셀 6 2 2 3" xfId="8454"/>
    <cellStyle name="연결된 셀 6 2 2 3 2" xfId="8455"/>
    <cellStyle name="연결된 셀 6 2 2 3 2 2" xfId="25596"/>
    <cellStyle name="연결된 셀 6 2 2 3 3" xfId="8456"/>
    <cellStyle name="연결된 셀 6 2 2 3 3 2" xfId="25597"/>
    <cellStyle name="연결된 셀 6 2 2 3 4" xfId="8457"/>
    <cellStyle name="연결된 셀 6 2 2 3 4 2" xfId="25598"/>
    <cellStyle name="연결된 셀 6 2 2 3 5" xfId="25595"/>
    <cellStyle name="연결된 셀 6 2 2 4" xfId="8458"/>
    <cellStyle name="연결된 셀 6 2 2 4 2" xfId="8459"/>
    <cellStyle name="연결된 셀 6 2 2 4 2 2" xfId="25600"/>
    <cellStyle name="연결된 셀 6 2 2 4 3" xfId="8460"/>
    <cellStyle name="연결된 셀 6 2 2 4 3 2" xfId="25601"/>
    <cellStyle name="연결된 셀 6 2 2 4 4" xfId="8461"/>
    <cellStyle name="연결된 셀 6 2 2 4 4 2" xfId="25602"/>
    <cellStyle name="연결된 셀 6 2 2 4 5" xfId="25599"/>
    <cellStyle name="연결된 셀 6 2 2 5" xfId="8462"/>
    <cellStyle name="연결된 셀 6 2 2 5 2" xfId="25603"/>
    <cellStyle name="연결된 셀 6 2 2 6" xfId="8463"/>
    <cellStyle name="연결된 셀 6 2 2 6 2" xfId="25604"/>
    <cellStyle name="연결된 셀 6 2 2 7" xfId="8464"/>
    <cellStyle name="연결된 셀 6 2 2 7 2" xfId="25605"/>
    <cellStyle name="연결된 셀 6 2 2 8" xfId="25590"/>
    <cellStyle name="연결된 셀 6 2 3" xfId="8465"/>
    <cellStyle name="연결된 셀 6 2 3 2" xfId="8466"/>
    <cellStyle name="연결된 셀 6 2 3 2 2" xfId="8467"/>
    <cellStyle name="연결된 셀 6 2 3 2 2 2" xfId="25608"/>
    <cellStyle name="연결된 셀 6 2 3 2 3" xfId="8468"/>
    <cellStyle name="연결된 셀 6 2 3 2 3 2" xfId="25609"/>
    <cellStyle name="연결된 셀 6 2 3 2 4" xfId="8469"/>
    <cellStyle name="연결된 셀 6 2 3 2 4 2" xfId="25610"/>
    <cellStyle name="연결된 셀 6 2 3 2 5" xfId="25607"/>
    <cellStyle name="연결된 셀 6 2 3 3" xfId="8470"/>
    <cellStyle name="연결된 셀 6 2 3 3 2" xfId="8471"/>
    <cellStyle name="연결된 셀 6 2 3 3 2 2" xfId="25612"/>
    <cellStyle name="연결된 셀 6 2 3 3 3" xfId="8472"/>
    <cellStyle name="연결된 셀 6 2 3 3 3 2" xfId="25613"/>
    <cellStyle name="연결된 셀 6 2 3 3 4" xfId="8473"/>
    <cellStyle name="연결된 셀 6 2 3 3 4 2" xfId="25614"/>
    <cellStyle name="연결된 셀 6 2 3 3 5" xfId="25611"/>
    <cellStyle name="연결된 셀 6 2 3 4" xfId="8474"/>
    <cellStyle name="연결된 셀 6 2 3 4 2" xfId="8475"/>
    <cellStyle name="연결된 셀 6 2 3 4 2 2" xfId="25616"/>
    <cellStyle name="연결된 셀 6 2 3 4 3" xfId="8476"/>
    <cellStyle name="연결된 셀 6 2 3 4 3 2" xfId="25617"/>
    <cellStyle name="연결된 셀 6 2 3 4 4" xfId="8477"/>
    <cellStyle name="연결된 셀 6 2 3 4 4 2" xfId="25618"/>
    <cellStyle name="연결된 셀 6 2 3 4 5" xfId="25615"/>
    <cellStyle name="연결된 셀 6 2 3 5" xfId="8478"/>
    <cellStyle name="연결된 셀 6 2 3 5 2" xfId="25619"/>
    <cellStyle name="연결된 셀 6 2 3 6" xfId="8479"/>
    <cellStyle name="연결된 셀 6 2 3 6 2" xfId="25620"/>
    <cellStyle name="연결된 셀 6 2 3 7" xfId="8480"/>
    <cellStyle name="연결된 셀 6 2 3 7 2" xfId="25621"/>
    <cellStyle name="연결된 셀 6 2 3 8" xfId="25606"/>
    <cellStyle name="연결된 셀 6 2 4" xfId="8481"/>
    <cellStyle name="연결된 셀 6 2 4 2" xfId="8482"/>
    <cellStyle name="연결된 셀 6 2 4 2 2" xfId="8483"/>
    <cellStyle name="연결된 셀 6 2 4 2 2 2" xfId="25624"/>
    <cellStyle name="연결된 셀 6 2 4 2 3" xfId="8484"/>
    <cellStyle name="연결된 셀 6 2 4 2 3 2" xfId="25625"/>
    <cellStyle name="연결된 셀 6 2 4 2 4" xfId="8485"/>
    <cellStyle name="연결된 셀 6 2 4 2 4 2" xfId="25626"/>
    <cellStyle name="연결된 셀 6 2 4 2 5" xfId="25623"/>
    <cellStyle name="연결된 셀 6 2 4 3" xfId="8486"/>
    <cellStyle name="연결된 셀 6 2 4 3 2" xfId="8487"/>
    <cellStyle name="연결된 셀 6 2 4 3 2 2" xfId="25628"/>
    <cellStyle name="연결된 셀 6 2 4 3 3" xfId="8488"/>
    <cellStyle name="연결된 셀 6 2 4 3 3 2" xfId="25629"/>
    <cellStyle name="연결된 셀 6 2 4 3 4" xfId="8489"/>
    <cellStyle name="연결된 셀 6 2 4 3 4 2" xfId="25630"/>
    <cellStyle name="연결된 셀 6 2 4 3 5" xfId="25627"/>
    <cellStyle name="연결된 셀 6 2 4 4" xfId="8490"/>
    <cellStyle name="연결된 셀 6 2 4 4 2" xfId="8491"/>
    <cellStyle name="연결된 셀 6 2 4 4 2 2" xfId="25632"/>
    <cellStyle name="연결된 셀 6 2 4 4 3" xfId="8492"/>
    <cellStyle name="연결된 셀 6 2 4 4 3 2" xfId="25633"/>
    <cellStyle name="연결된 셀 6 2 4 4 4" xfId="8493"/>
    <cellStyle name="연결된 셀 6 2 4 4 4 2" xfId="25634"/>
    <cellStyle name="연결된 셀 6 2 4 4 5" xfId="25631"/>
    <cellStyle name="연결된 셀 6 2 4 5" xfId="8494"/>
    <cellStyle name="연결된 셀 6 2 4 5 2" xfId="25635"/>
    <cellStyle name="연결된 셀 6 2 4 6" xfId="8495"/>
    <cellStyle name="연결된 셀 6 2 4 6 2" xfId="25636"/>
    <cellStyle name="연결된 셀 6 2 4 7" xfId="8496"/>
    <cellStyle name="연결된 셀 6 2 4 7 2" xfId="25637"/>
    <cellStyle name="연결된 셀 6 2 4 8" xfId="25622"/>
    <cellStyle name="연결된 셀 6 2 5" xfId="8497"/>
    <cellStyle name="연결된 셀 6 2 5 2" xfId="8498"/>
    <cellStyle name="연결된 셀 6 2 5 2 2" xfId="8499"/>
    <cellStyle name="연결된 셀 6 2 5 2 2 2" xfId="25640"/>
    <cellStyle name="연결된 셀 6 2 5 2 3" xfId="8500"/>
    <cellStyle name="연결된 셀 6 2 5 2 3 2" xfId="25641"/>
    <cellStyle name="연결된 셀 6 2 5 2 4" xfId="8501"/>
    <cellStyle name="연결된 셀 6 2 5 2 4 2" xfId="25642"/>
    <cellStyle name="연결된 셀 6 2 5 2 5" xfId="25639"/>
    <cellStyle name="연결된 셀 6 2 5 3" xfId="8502"/>
    <cellStyle name="연결된 셀 6 2 5 3 2" xfId="8503"/>
    <cellStyle name="연결된 셀 6 2 5 3 2 2" xfId="25644"/>
    <cellStyle name="연결된 셀 6 2 5 3 3" xfId="8504"/>
    <cellStyle name="연결된 셀 6 2 5 3 3 2" xfId="25645"/>
    <cellStyle name="연결된 셀 6 2 5 3 4" xfId="8505"/>
    <cellStyle name="연결된 셀 6 2 5 3 4 2" xfId="25646"/>
    <cellStyle name="연결된 셀 6 2 5 3 5" xfId="25643"/>
    <cellStyle name="연결된 셀 6 2 5 4" xfId="8506"/>
    <cellStyle name="연결된 셀 6 2 5 4 2" xfId="8507"/>
    <cellStyle name="연결된 셀 6 2 5 4 2 2" xfId="25648"/>
    <cellStyle name="연결된 셀 6 2 5 4 3" xfId="8508"/>
    <cellStyle name="연결된 셀 6 2 5 4 3 2" xfId="25649"/>
    <cellStyle name="연결된 셀 6 2 5 4 4" xfId="8509"/>
    <cellStyle name="연결된 셀 6 2 5 4 4 2" xfId="25650"/>
    <cellStyle name="연결된 셀 6 2 5 4 5" xfId="25647"/>
    <cellStyle name="연결된 셀 6 2 5 5" xfId="8510"/>
    <cellStyle name="연결된 셀 6 2 5 5 2" xfId="25651"/>
    <cellStyle name="연결된 셀 6 2 5 6" xfId="8511"/>
    <cellStyle name="연결된 셀 6 2 5 6 2" xfId="25652"/>
    <cellStyle name="연결된 셀 6 2 5 7" xfId="8512"/>
    <cellStyle name="연결된 셀 6 2 5 7 2" xfId="25653"/>
    <cellStyle name="연결된 셀 6 2 5 8" xfId="25638"/>
    <cellStyle name="연결된 셀 6 2 6" xfId="8513"/>
    <cellStyle name="연결된 셀 6 2 6 2" xfId="8514"/>
    <cellStyle name="연결된 셀 6 2 6 2 2" xfId="8515"/>
    <cellStyle name="연결된 셀 6 2 6 2 2 2" xfId="25656"/>
    <cellStyle name="연결된 셀 6 2 6 2 3" xfId="8516"/>
    <cellStyle name="연결된 셀 6 2 6 2 3 2" xfId="25657"/>
    <cellStyle name="연결된 셀 6 2 6 2 4" xfId="8517"/>
    <cellStyle name="연결된 셀 6 2 6 2 4 2" xfId="25658"/>
    <cellStyle name="연결된 셀 6 2 6 2 5" xfId="25655"/>
    <cellStyle name="연결된 셀 6 2 6 3" xfId="8518"/>
    <cellStyle name="연결된 셀 6 2 6 3 2" xfId="8519"/>
    <cellStyle name="연결된 셀 6 2 6 3 2 2" xfId="25660"/>
    <cellStyle name="연결된 셀 6 2 6 3 3" xfId="8520"/>
    <cellStyle name="연결된 셀 6 2 6 3 3 2" xfId="25661"/>
    <cellStyle name="연결된 셀 6 2 6 3 4" xfId="8521"/>
    <cellStyle name="연결된 셀 6 2 6 3 4 2" xfId="25662"/>
    <cellStyle name="연결된 셀 6 2 6 3 5" xfId="25659"/>
    <cellStyle name="연결된 셀 6 2 6 4" xfId="8522"/>
    <cellStyle name="연결된 셀 6 2 6 4 2" xfId="8523"/>
    <cellStyle name="연결된 셀 6 2 6 4 2 2" xfId="25664"/>
    <cellStyle name="연결된 셀 6 2 6 4 3" xfId="8524"/>
    <cellStyle name="연결된 셀 6 2 6 4 3 2" xfId="25665"/>
    <cellStyle name="연결된 셀 6 2 6 4 4" xfId="8525"/>
    <cellStyle name="연결된 셀 6 2 6 4 4 2" xfId="25666"/>
    <cellStyle name="연결된 셀 6 2 6 4 5" xfId="25663"/>
    <cellStyle name="연결된 셀 6 2 6 5" xfId="8526"/>
    <cellStyle name="연결된 셀 6 2 6 5 2" xfId="25667"/>
    <cellStyle name="연결된 셀 6 2 6 6" xfId="8527"/>
    <cellStyle name="연결된 셀 6 2 6 6 2" xfId="25668"/>
    <cellStyle name="연결된 셀 6 2 6 7" xfId="8528"/>
    <cellStyle name="연결된 셀 6 2 6 7 2" xfId="25669"/>
    <cellStyle name="연결된 셀 6 2 6 8" xfId="25654"/>
    <cellStyle name="연결된 셀 6 2 7" xfId="8529"/>
    <cellStyle name="연결된 셀 6 2 7 2" xfId="8530"/>
    <cellStyle name="연결된 셀 6 2 7 2 2" xfId="8531"/>
    <cellStyle name="연결된 셀 6 2 7 2 2 2" xfId="25672"/>
    <cellStyle name="연결된 셀 6 2 7 2 3" xfId="8532"/>
    <cellStyle name="연결된 셀 6 2 7 2 3 2" xfId="25673"/>
    <cellStyle name="연결된 셀 6 2 7 2 4" xfId="8533"/>
    <cellStyle name="연결된 셀 6 2 7 2 4 2" xfId="25674"/>
    <cellStyle name="연결된 셀 6 2 7 2 5" xfId="25671"/>
    <cellStyle name="연결된 셀 6 2 7 3" xfId="8534"/>
    <cellStyle name="연결된 셀 6 2 7 3 2" xfId="8535"/>
    <cellStyle name="연결된 셀 6 2 7 3 2 2" xfId="25676"/>
    <cellStyle name="연결된 셀 6 2 7 3 3" xfId="8536"/>
    <cellStyle name="연결된 셀 6 2 7 3 3 2" xfId="25677"/>
    <cellStyle name="연결된 셀 6 2 7 3 4" xfId="8537"/>
    <cellStyle name="연결된 셀 6 2 7 3 4 2" xfId="25678"/>
    <cellStyle name="연결된 셀 6 2 7 3 5" xfId="25675"/>
    <cellStyle name="연결된 셀 6 2 7 4" xfId="8538"/>
    <cellStyle name="연결된 셀 6 2 7 4 2" xfId="8539"/>
    <cellStyle name="연결된 셀 6 2 7 4 2 2" xfId="25680"/>
    <cellStyle name="연결된 셀 6 2 7 4 3" xfId="8540"/>
    <cellStyle name="연결된 셀 6 2 7 4 3 2" xfId="25681"/>
    <cellStyle name="연결된 셀 6 2 7 4 4" xfId="8541"/>
    <cellStyle name="연결된 셀 6 2 7 4 4 2" xfId="25682"/>
    <cellStyle name="연결된 셀 6 2 7 4 5" xfId="25679"/>
    <cellStyle name="연결된 셀 6 2 7 5" xfId="8542"/>
    <cellStyle name="연결된 셀 6 2 7 5 2" xfId="25683"/>
    <cellStyle name="연결된 셀 6 2 7 6" xfId="8543"/>
    <cellStyle name="연결된 셀 6 2 7 6 2" xfId="25684"/>
    <cellStyle name="연결된 셀 6 2 7 7" xfId="8544"/>
    <cellStyle name="연결된 셀 6 2 7 7 2" xfId="25685"/>
    <cellStyle name="연결된 셀 6 2 7 8" xfId="25670"/>
    <cellStyle name="연결된 셀 6 2 8" xfId="8545"/>
    <cellStyle name="연결된 셀 6 2 8 2" xfId="8546"/>
    <cellStyle name="연결된 셀 6 2 8 2 2" xfId="8547"/>
    <cellStyle name="연결된 셀 6 2 8 2 2 2" xfId="25688"/>
    <cellStyle name="연결된 셀 6 2 8 2 3" xfId="8548"/>
    <cellStyle name="연결된 셀 6 2 8 2 3 2" xfId="25689"/>
    <cellStyle name="연결된 셀 6 2 8 2 4" xfId="8549"/>
    <cellStyle name="연결된 셀 6 2 8 2 4 2" xfId="25690"/>
    <cellStyle name="연결된 셀 6 2 8 2 5" xfId="25687"/>
    <cellStyle name="연결된 셀 6 2 8 3" xfId="8550"/>
    <cellStyle name="연결된 셀 6 2 8 3 2" xfId="8551"/>
    <cellStyle name="연결된 셀 6 2 8 3 2 2" xfId="25692"/>
    <cellStyle name="연결된 셀 6 2 8 3 3" xfId="8552"/>
    <cellStyle name="연결된 셀 6 2 8 3 3 2" xfId="25693"/>
    <cellStyle name="연결된 셀 6 2 8 3 4" xfId="8553"/>
    <cellStyle name="연결된 셀 6 2 8 3 4 2" xfId="25694"/>
    <cellStyle name="연결된 셀 6 2 8 3 5" xfId="25691"/>
    <cellStyle name="연결된 셀 6 2 8 4" xfId="8554"/>
    <cellStyle name="연결된 셀 6 2 8 4 2" xfId="8555"/>
    <cellStyle name="연결된 셀 6 2 8 4 2 2" xfId="25696"/>
    <cellStyle name="연결된 셀 6 2 8 4 3" xfId="8556"/>
    <cellStyle name="연결된 셀 6 2 8 4 3 2" xfId="25697"/>
    <cellStyle name="연결된 셀 6 2 8 4 4" xfId="8557"/>
    <cellStyle name="연결된 셀 6 2 8 4 4 2" xfId="25698"/>
    <cellStyle name="연결된 셀 6 2 8 4 5" xfId="25695"/>
    <cellStyle name="연결된 셀 6 2 8 5" xfId="8558"/>
    <cellStyle name="연결된 셀 6 2 8 5 2" xfId="25699"/>
    <cellStyle name="연결된 셀 6 2 8 6" xfId="8559"/>
    <cellStyle name="연결된 셀 6 2 8 6 2" xfId="25700"/>
    <cellStyle name="연결된 셀 6 2 8 7" xfId="8560"/>
    <cellStyle name="연결된 셀 6 2 8 7 2" xfId="25701"/>
    <cellStyle name="연결된 셀 6 2 8 8" xfId="25686"/>
    <cellStyle name="연결된 셀 6 2 9" xfId="8561"/>
    <cellStyle name="연결된 셀 6 2 9 2" xfId="8562"/>
    <cellStyle name="연결된 셀 6 2 9 2 2" xfId="8563"/>
    <cellStyle name="연결된 셀 6 2 9 2 2 2" xfId="25704"/>
    <cellStyle name="연결된 셀 6 2 9 2 3" xfId="8564"/>
    <cellStyle name="연결된 셀 6 2 9 2 3 2" xfId="25705"/>
    <cellStyle name="연결된 셀 6 2 9 2 4" xfId="8565"/>
    <cellStyle name="연결된 셀 6 2 9 2 4 2" xfId="25706"/>
    <cellStyle name="연결된 셀 6 2 9 2 5" xfId="25703"/>
    <cellStyle name="연결된 셀 6 2 9 3" xfId="8566"/>
    <cellStyle name="연결된 셀 6 2 9 3 2" xfId="8567"/>
    <cellStyle name="연결된 셀 6 2 9 3 2 2" xfId="25708"/>
    <cellStyle name="연결된 셀 6 2 9 3 3" xfId="8568"/>
    <cellStyle name="연결된 셀 6 2 9 3 3 2" xfId="25709"/>
    <cellStyle name="연결된 셀 6 2 9 3 4" xfId="8569"/>
    <cellStyle name="연결된 셀 6 2 9 3 4 2" xfId="25710"/>
    <cellStyle name="연결된 셀 6 2 9 3 5" xfId="25707"/>
    <cellStyle name="연결된 셀 6 2 9 4" xfId="8570"/>
    <cellStyle name="연결된 셀 6 2 9 4 2" xfId="8571"/>
    <cellStyle name="연결된 셀 6 2 9 4 2 2" xfId="25712"/>
    <cellStyle name="연결된 셀 6 2 9 4 3" xfId="8572"/>
    <cellStyle name="연결된 셀 6 2 9 4 3 2" xfId="25713"/>
    <cellStyle name="연결된 셀 6 2 9 4 4" xfId="8573"/>
    <cellStyle name="연결된 셀 6 2 9 4 4 2" xfId="25714"/>
    <cellStyle name="연결된 셀 6 2 9 4 5" xfId="25711"/>
    <cellStyle name="연결된 셀 6 2 9 5" xfId="8574"/>
    <cellStyle name="연결된 셀 6 2 9 5 2" xfId="25715"/>
    <cellStyle name="연결된 셀 6 2 9 6" xfId="8575"/>
    <cellStyle name="연결된 셀 6 2 9 6 2" xfId="25716"/>
    <cellStyle name="연결된 셀 6 2 9 7" xfId="8576"/>
    <cellStyle name="연결된 셀 6 2 9 7 2" xfId="25717"/>
    <cellStyle name="연결된 셀 6 2 9 8" xfId="25702"/>
    <cellStyle name="연결된 셀 6 3" xfId="571"/>
    <cellStyle name="연결된 셀 6 3 2" xfId="8577"/>
    <cellStyle name="연결된 셀 6 3 2 2" xfId="8578"/>
    <cellStyle name="연결된 셀 6 3 2 2 2" xfId="25719"/>
    <cellStyle name="연결된 셀 6 3 2 3" xfId="8579"/>
    <cellStyle name="연결된 셀 6 3 2 3 2" xfId="25720"/>
    <cellStyle name="연결된 셀 6 3 2 4" xfId="8580"/>
    <cellStyle name="연결된 셀 6 3 2 4 2" xfId="25721"/>
    <cellStyle name="연결된 셀 6 3 2 5" xfId="25718"/>
    <cellStyle name="연결된 셀 6 3 3" xfId="8581"/>
    <cellStyle name="연결된 셀 6 3 3 2" xfId="8582"/>
    <cellStyle name="연결된 셀 6 3 3 2 2" xfId="25723"/>
    <cellStyle name="연결된 셀 6 3 3 3" xfId="8583"/>
    <cellStyle name="연결된 셀 6 3 3 3 2" xfId="25724"/>
    <cellStyle name="연결된 셀 6 3 3 4" xfId="8584"/>
    <cellStyle name="연결된 셀 6 3 3 4 2" xfId="25725"/>
    <cellStyle name="연결된 셀 6 3 3 5" xfId="25722"/>
    <cellStyle name="연결된 셀 6 3 4" xfId="8585"/>
    <cellStyle name="연결된 셀 6 3 4 2" xfId="8586"/>
    <cellStyle name="연결된 셀 6 3 4 2 2" xfId="25727"/>
    <cellStyle name="연결된 셀 6 3 4 3" xfId="8587"/>
    <cellStyle name="연결된 셀 6 3 4 3 2" xfId="25728"/>
    <cellStyle name="연결된 셀 6 3 4 4" xfId="8588"/>
    <cellStyle name="연결된 셀 6 3 4 4 2" xfId="25729"/>
    <cellStyle name="연결된 셀 6 3 4 5" xfId="25726"/>
    <cellStyle name="연결된 셀 6 3 5" xfId="8589"/>
    <cellStyle name="연결된 셀 6 3 5 2" xfId="25730"/>
    <cellStyle name="연결된 셀 6 3 6" xfId="8590"/>
    <cellStyle name="연결된 셀 6 3 6 2" xfId="25731"/>
    <cellStyle name="연결된 셀 6 3 7" xfId="8591"/>
    <cellStyle name="연결된 셀 6 3 7 2" xfId="25732"/>
    <cellStyle name="연결된 셀 6 3 8" xfId="17714"/>
    <cellStyle name="연결된 셀 6 4" xfId="8592"/>
    <cellStyle name="연결된 셀 6 4 2" xfId="8593"/>
    <cellStyle name="연결된 셀 6 4 2 2" xfId="8594"/>
    <cellStyle name="연결된 셀 6 4 2 2 2" xfId="25735"/>
    <cellStyle name="연결된 셀 6 4 2 3" xfId="8595"/>
    <cellStyle name="연결된 셀 6 4 2 3 2" xfId="25736"/>
    <cellStyle name="연결된 셀 6 4 2 4" xfId="8596"/>
    <cellStyle name="연결된 셀 6 4 2 4 2" xfId="25737"/>
    <cellStyle name="연결된 셀 6 4 2 5" xfId="25734"/>
    <cellStyle name="연결된 셀 6 4 3" xfId="8597"/>
    <cellStyle name="연결된 셀 6 4 3 2" xfId="8598"/>
    <cellStyle name="연결된 셀 6 4 3 2 2" xfId="25739"/>
    <cellStyle name="연결된 셀 6 4 3 3" xfId="8599"/>
    <cellStyle name="연결된 셀 6 4 3 3 2" xfId="25740"/>
    <cellStyle name="연결된 셀 6 4 3 4" xfId="8600"/>
    <cellStyle name="연결된 셀 6 4 3 4 2" xfId="25741"/>
    <cellStyle name="연결된 셀 6 4 3 5" xfId="25738"/>
    <cellStyle name="연결된 셀 6 4 4" xfId="8601"/>
    <cellStyle name="연결된 셀 6 4 4 2" xfId="8602"/>
    <cellStyle name="연결된 셀 6 4 4 2 2" xfId="25743"/>
    <cellStyle name="연결된 셀 6 4 4 3" xfId="8603"/>
    <cellStyle name="연결된 셀 6 4 4 3 2" xfId="25744"/>
    <cellStyle name="연결된 셀 6 4 4 4" xfId="8604"/>
    <cellStyle name="연결된 셀 6 4 4 4 2" xfId="25745"/>
    <cellStyle name="연결된 셀 6 4 4 5" xfId="25742"/>
    <cellStyle name="연결된 셀 6 4 5" xfId="8605"/>
    <cellStyle name="연결된 셀 6 4 5 2" xfId="25746"/>
    <cellStyle name="연결된 셀 6 4 6" xfId="8606"/>
    <cellStyle name="연결된 셀 6 4 6 2" xfId="25747"/>
    <cellStyle name="연결된 셀 6 4 7" xfId="8607"/>
    <cellStyle name="연결된 셀 6 4 7 2" xfId="25748"/>
    <cellStyle name="연결된 셀 6 4 8" xfId="25733"/>
    <cellStyle name="연결된 셀 6 5" xfId="8608"/>
    <cellStyle name="연결된 셀 6 5 2" xfId="8609"/>
    <cellStyle name="연결된 셀 6 5 2 2" xfId="8610"/>
    <cellStyle name="연결된 셀 6 5 2 2 2" xfId="25751"/>
    <cellStyle name="연결된 셀 6 5 2 3" xfId="8611"/>
    <cellStyle name="연결된 셀 6 5 2 3 2" xfId="25752"/>
    <cellStyle name="연결된 셀 6 5 2 4" xfId="8612"/>
    <cellStyle name="연결된 셀 6 5 2 4 2" xfId="25753"/>
    <cellStyle name="연결된 셀 6 5 2 5" xfId="25750"/>
    <cellStyle name="연결된 셀 6 5 3" xfId="8613"/>
    <cellStyle name="연결된 셀 6 5 3 2" xfId="8614"/>
    <cellStyle name="연결된 셀 6 5 3 2 2" xfId="25755"/>
    <cellStyle name="연결된 셀 6 5 3 3" xfId="8615"/>
    <cellStyle name="연결된 셀 6 5 3 3 2" xfId="25756"/>
    <cellStyle name="연결된 셀 6 5 3 4" xfId="8616"/>
    <cellStyle name="연결된 셀 6 5 3 4 2" xfId="25757"/>
    <cellStyle name="연결된 셀 6 5 3 5" xfId="25754"/>
    <cellStyle name="연결된 셀 6 5 4" xfId="8617"/>
    <cellStyle name="연결된 셀 6 5 4 2" xfId="8618"/>
    <cellStyle name="연결된 셀 6 5 4 2 2" xfId="25759"/>
    <cellStyle name="연결된 셀 6 5 4 3" xfId="8619"/>
    <cellStyle name="연결된 셀 6 5 4 3 2" xfId="25760"/>
    <cellStyle name="연결된 셀 6 5 4 4" xfId="8620"/>
    <cellStyle name="연결된 셀 6 5 4 4 2" xfId="25761"/>
    <cellStyle name="연결된 셀 6 5 4 5" xfId="25758"/>
    <cellStyle name="연결된 셀 6 5 5" xfId="8621"/>
    <cellStyle name="연결된 셀 6 5 5 2" xfId="25762"/>
    <cellStyle name="연결된 셀 6 5 6" xfId="8622"/>
    <cellStyle name="연결된 셀 6 5 6 2" xfId="25763"/>
    <cellStyle name="연결된 셀 6 5 7" xfId="8623"/>
    <cellStyle name="연결된 셀 6 5 7 2" xfId="25764"/>
    <cellStyle name="연결된 셀 6 5 8" xfId="25749"/>
    <cellStyle name="연결된 셀 6 6" xfId="8624"/>
    <cellStyle name="연결된 셀 6 6 2" xfId="8625"/>
    <cellStyle name="연결된 셀 6 6 2 2" xfId="8626"/>
    <cellStyle name="연결된 셀 6 6 2 2 2" xfId="25767"/>
    <cellStyle name="연결된 셀 6 6 2 3" xfId="8627"/>
    <cellStyle name="연결된 셀 6 6 2 3 2" xfId="25768"/>
    <cellStyle name="연결된 셀 6 6 2 4" xfId="8628"/>
    <cellStyle name="연결된 셀 6 6 2 4 2" xfId="25769"/>
    <cellStyle name="연결된 셀 6 6 2 5" xfId="25766"/>
    <cellStyle name="연결된 셀 6 6 3" xfId="8629"/>
    <cellStyle name="연결된 셀 6 6 3 2" xfId="8630"/>
    <cellStyle name="연결된 셀 6 6 3 2 2" xfId="25771"/>
    <cellStyle name="연결된 셀 6 6 3 3" xfId="8631"/>
    <cellStyle name="연결된 셀 6 6 3 3 2" xfId="25772"/>
    <cellStyle name="연결된 셀 6 6 3 4" xfId="8632"/>
    <cellStyle name="연결된 셀 6 6 3 4 2" xfId="25773"/>
    <cellStyle name="연결된 셀 6 6 3 5" xfId="25770"/>
    <cellStyle name="연결된 셀 6 6 4" xfId="8633"/>
    <cellStyle name="연결된 셀 6 6 4 2" xfId="8634"/>
    <cellStyle name="연결된 셀 6 6 4 2 2" xfId="25775"/>
    <cellStyle name="연결된 셀 6 6 4 3" xfId="8635"/>
    <cellStyle name="연결된 셀 6 6 4 3 2" xfId="25776"/>
    <cellStyle name="연결된 셀 6 6 4 4" xfId="8636"/>
    <cellStyle name="연결된 셀 6 6 4 4 2" xfId="25777"/>
    <cellStyle name="연결된 셀 6 6 4 5" xfId="25774"/>
    <cellStyle name="연결된 셀 6 6 5" xfId="8637"/>
    <cellStyle name="연결된 셀 6 6 5 2" xfId="25778"/>
    <cellStyle name="연결된 셀 6 6 6" xfId="8638"/>
    <cellStyle name="연결된 셀 6 6 6 2" xfId="25779"/>
    <cellStyle name="연결된 셀 6 6 7" xfId="8639"/>
    <cellStyle name="연결된 셀 6 6 7 2" xfId="25780"/>
    <cellStyle name="연결된 셀 6 6 8" xfId="25765"/>
    <cellStyle name="연결된 셀 6 7" xfId="8640"/>
    <cellStyle name="연결된 셀 6 7 2" xfId="8641"/>
    <cellStyle name="연결된 셀 6 7 2 2" xfId="8642"/>
    <cellStyle name="연결된 셀 6 7 2 2 2" xfId="25783"/>
    <cellStyle name="연결된 셀 6 7 2 3" xfId="8643"/>
    <cellStyle name="연결된 셀 6 7 2 3 2" xfId="25784"/>
    <cellStyle name="연결된 셀 6 7 2 4" xfId="8644"/>
    <cellStyle name="연결된 셀 6 7 2 4 2" xfId="25785"/>
    <cellStyle name="연결된 셀 6 7 2 5" xfId="25782"/>
    <cellStyle name="연결된 셀 6 7 3" xfId="8645"/>
    <cellStyle name="연결된 셀 6 7 3 2" xfId="8646"/>
    <cellStyle name="연결된 셀 6 7 3 2 2" xfId="25787"/>
    <cellStyle name="연결된 셀 6 7 3 3" xfId="8647"/>
    <cellStyle name="연결된 셀 6 7 3 3 2" xfId="25788"/>
    <cellStyle name="연결된 셀 6 7 3 4" xfId="8648"/>
    <cellStyle name="연결된 셀 6 7 3 4 2" xfId="25789"/>
    <cellStyle name="연결된 셀 6 7 3 5" xfId="25786"/>
    <cellStyle name="연결된 셀 6 7 4" xfId="8649"/>
    <cellStyle name="연결된 셀 6 7 4 2" xfId="8650"/>
    <cellStyle name="연결된 셀 6 7 4 2 2" xfId="25791"/>
    <cellStyle name="연결된 셀 6 7 4 3" xfId="8651"/>
    <cellStyle name="연결된 셀 6 7 4 3 2" xfId="25792"/>
    <cellStyle name="연결된 셀 6 7 4 4" xfId="8652"/>
    <cellStyle name="연결된 셀 6 7 4 4 2" xfId="25793"/>
    <cellStyle name="연결된 셀 6 7 4 5" xfId="25790"/>
    <cellStyle name="연결된 셀 6 7 5" xfId="8653"/>
    <cellStyle name="연결된 셀 6 7 5 2" xfId="25794"/>
    <cellStyle name="연결된 셀 6 7 6" xfId="8654"/>
    <cellStyle name="연결된 셀 6 7 6 2" xfId="25795"/>
    <cellStyle name="연결된 셀 6 7 7" xfId="8655"/>
    <cellStyle name="연결된 셀 6 7 7 2" xfId="25796"/>
    <cellStyle name="연결된 셀 6 7 8" xfId="25781"/>
    <cellStyle name="연결된 셀 6 8" xfId="8656"/>
    <cellStyle name="연결된 셀 6 8 2" xfId="8657"/>
    <cellStyle name="연결된 셀 6 8 2 2" xfId="8658"/>
    <cellStyle name="연결된 셀 6 8 2 2 2" xfId="25799"/>
    <cellStyle name="연결된 셀 6 8 2 3" xfId="8659"/>
    <cellStyle name="연결된 셀 6 8 2 3 2" xfId="25800"/>
    <cellStyle name="연결된 셀 6 8 2 4" xfId="8660"/>
    <cellStyle name="연결된 셀 6 8 2 4 2" xfId="25801"/>
    <cellStyle name="연결된 셀 6 8 2 5" xfId="25798"/>
    <cellStyle name="연결된 셀 6 8 3" xfId="8661"/>
    <cellStyle name="연결된 셀 6 8 3 2" xfId="8662"/>
    <cellStyle name="연결된 셀 6 8 3 2 2" xfId="25803"/>
    <cellStyle name="연결된 셀 6 8 3 3" xfId="8663"/>
    <cellStyle name="연결된 셀 6 8 3 3 2" xfId="25804"/>
    <cellStyle name="연결된 셀 6 8 3 4" xfId="8664"/>
    <cellStyle name="연결된 셀 6 8 3 4 2" xfId="25805"/>
    <cellStyle name="연결된 셀 6 8 3 5" xfId="25802"/>
    <cellStyle name="연결된 셀 6 8 4" xfId="8665"/>
    <cellStyle name="연결된 셀 6 8 4 2" xfId="8666"/>
    <cellStyle name="연결된 셀 6 8 4 2 2" xfId="25807"/>
    <cellStyle name="연결된 셀 6 8 4 3" xfId="8667"/>
    <cellStyle name="연결된 셀 6 8 4 3 2" xfId="25808"/>
    <cellStyle name="연결된 셀 6 8 4 4" xfId="8668"/>
    <cellStyle name="연결된 셀 6 8 4 4 2" xfId="25809"/>
    <cellStyle name="연결된 셀 6 8 4 5" xfId="25806"/>
    <cellStyle name="연결된 셀 6 8 5" xfId="8669"/>
    <cellStyle name="연결된 셀 6 8 5 2" xfId="25810"/>
    <cellStyle name="연결된 셀 6 8 6" xfId="8670"/>
    <cellStyle name="연결된 셀 6 8 6 2" xfId="25811"/>
    <cellStyle name="연결된 셀 6 8 7" xfId="8671"/>
    <cellStyle name="연결된 셀 6 8 7 2" xfId="25812"/>
    <cellStyle name="연결된 셀 6 8 8" xfId="25797"/>
    <cellStyle name="연결된 셀 6 9" xfId="8672"/>
    <cellStyle name="연결된 셀 6 9 2" xfId="8673"/>
    <cellStyle name="연결된 셀 6 9 2 2" xfId="8674"/>
    <cellStyle name="연결된 셀 6 9 2 2 2" xfId="25815"/>
    <cellStyle name="연결된 셀 6 9 2 3" xfId="8675"/>
    <cellStyle name="연결된 셀 6 9 2 3 2" xfId="25816"/>
    <cellStyle name="연결된 셀 6 9 2 4" xfId="8676"/>
    <cellStyle name="연결된 셀 6 9 2 4 2" xfId="25817"/>
    <cellStyle name="연결된 셀 6 9 2 5" xfId="25814"/>
    <cellStyle name="연결된 셀 6 9 3" xfId="8677"/>
    <cellStyle name="연결된 셀 6 9 3 2" xfId="8678"/>
    <cellStyle name="연결된 셀 6 9 3 2 2" xfId="25819"/>
    <cellStyle name="연결된 셀 6 9 3 3" xfId="8679"/>
    <cellStyle name="연결된 셀 6 9 3 3 2" xfId="25820"/>
    <cellStyle name="연결된 셀 6 9 3 4" xfId="8680"/>
    <cellStyle name="연결된 셀 6 9 3 4 2" xfId="25821"/>
    <cellStyle name="연결된 셀 6 9 3 5" xfId="25818"/>
    <cellStyle name="연결된 셀 6 9 4" xfId="8681"/>
    <cellStyle name="연결된 셀 6 9 4 2" xfId="8682"/>
    <cellStyle name="연결된 셀 6 9 4 2 2" xfId="25823"/>
    <cellStyle name="연결된 셀 6 9 4 3" xfId="8683"/>
    <cellStyle name="연결된 셀 6 9 4 3 2" xfId="25824"/>
    <cellStyle name="연결된 셀 6 9 4 4" xfId="8684"/>
    <cellStyle name="연결된 셀 6 9 4 4 2" xfId="25825"/>
    <cellStyle name="연결된 셀 6 9 4 5" xfId="25822"/>
    <cellStyle name="연결된 셀 6 9 5" xfId="8685"/>
    <cellStyle name="연결된 셀 6 9 5 2" xfId="25826"/>
    <cellStyle name="연결된 셀 6 9 6" xfId="8686"/>
    <cellStyle name="연결된 셀 6 9 6 2" xfId="25827"/>
    <cellStyle name="연결된 셀 6 9 7" xfId="8687"/>
    <cellStyle name="연결된 셀 6 9 7 2" xfId="25828"/>
    <cellStyle name="연결된 셀 6 9 8" xfId="25813"/>
    <cellStyle name="연결된 셀 7" xfId="421"/>
    <cellStyle name="연결된 셀 7 10" xfId="8688"/>
    <cellStyle name="연결된 셀 7 10 2" xfId="8689"/>
    <cellStyle name="연결된 셀 7 10 2 2" xfId="8690"/>
    <cellStyle name="연결된 셀 7 10 2 2 2" xfId="25831"/>
    <cellStyle name="연결된 셀 7 10 2 3" xfId="8691"/>
    <cellStyle name="연결된 셀 7 10 2 3 2" xfId="25832"/>
    <cellStyle name="연결된 셀 7 10 2 4" xfId="8692"/>
    <cellStyle name="연결된 셀 7 10 2 4 2" xfId="25833"/>
    <cellStyle name="연결된 셀 7 10 2 5" xfId="25830"/>
    <cellStyle name="연결된 셀 7 10 3" xfId="8693"/>
    <cellStyle name="연결된 셀 7 10 3 2" xfId="8694"/>
    <cellStyle name="연결된 셀 7 10 3 2 2" xfId="25835"/>
    <cellStyle name="연결된 셀 7 10 3 3" xfId="8695"/>
    <cellStyle name="연결된 셀 7 10 3 3 2" xfId="25836"/>
    <cellStyle name="연결된 셀 7 10 3 4" xfId="8696"/>
    <cellStyle name="연결된 셀 7 10 3 4 2" xfId="25837"/>
    <cellStyle name="연결된 셀 7 10 3 5" xfId="25834"/>
    <cellStyle name="연결된 셀 7 10 4" xfId="8697"/>
    <cellStyle name="연결된 셀 7 10 4 2" xfId="8698"/>
    <cellStyle name="연결된 셀 7 10 4 2 2" xfId="25839"/>
    <cellStyle name="연결된 셀 7 10 4 3" xfId="8699"/>
    <cellStyle name="연결된 셀 7 10 4 3 2" xfId="25840"/>
    <cellStyle name="연결된 셀 7 10 4 4" xfId="8700"/>
    <cellStyle name="연결된 셀 7 10 4 4 2" xfId="25841"/>
    <cellStyle name="연결된 셀 7 10 4 5" xfId="25838"/>
    <cellStyle name="연결된 셀 7 10 5" xfId="8701"/>
    <cellStyle name="연결된 셀 7 10 5 2" xfId="25842"/>
    <cellStyle name="연결된 셀 7 10 6" xfId="8702"/>
    <cellStyle name="연결된 셀 7 10 6 2" xfId="25843"/>
    <cellStyle name="연결된 셀 7 10 7" xfId="8703"/>
    <cellStyle name="연결된 셀 7 10 7 2" xfId="25844"/>
    <cellStyle name="연결된 셀 7 10 8" xfId="25829"/>
    <cellStyle name="연결된 셀 7 11" xfId="8704"/>
    <cellStyle name="연결된 셀 7 11 2" xfId="8705"/>
    <cellStyle name="연결된 셀 7 11 2 2" xfId="8706"/>
    <cellStyle name="연결된 셀 7 11 2 2 2" xfId="25847"/>
    <cellStyle name="연결된 셀 7 11 2 3" xfId="8707"/>
    <cellStyle name="연결된 셀 7 11 2 3 2" xfId="25848"/>
    <cellStyle name="연결된 셀 7 11 2 4" xfId="8708"/>
    <cellStyle name="연결된 셀 7 11 2 4 2" xfId="25849"/>
    <cellStyle name="연결된 셀 7 11 2 5" xfId="25846"/>
    <cellStyle name="연결된 셀 7 11 3" xfId="8709"/>
    <cellStyle name="연결된 셀 7 11 3 2" xfId="8710"/>
    <cellStyle name="연결된 셀 7 11 3 2 2" xfId="25851"/>
    <cellStyle name="연결된 셀 7 11 3 3" xfId="8711"/>
    <cellStyle name="연결된 셀 7 11 3 3 2" xfId="25852"/>
    <cellStyle name="연결된 셀 7 11 3 4" xfId="8712"/>
    <cellStyle name="연결된 셀 7 11 3 4 2" xfId="25853"/>
    <cellStyle name="연결된 셀 7 11 3 5" xfId="25850"/>
    <cellStyle name="연결된 셀 7 11 4" xfId="8713"/>
    <cellStyle name="연결된 셀 7 11 4 2" xfId="8714"/>
    <cellStyle name="연결된 셀 7 11 4 2 2" xfId="25855"/>
    <cellStyle name="연결된 셀 7 11 4 3" xfId="8715"/>
    <cellStyle name="연결된 셀 7 11 4 3 2" xfId="25856"/>
    <cellStyle name="연결된 셀 7 11 4 4" xfId="8716"/>
    <cellStyle name="연결된 셀 7 11 4 4 2" xfId="25857"/>
    <cellStyle name="연결된 셀 7 11 4 5" xfId="25854"/>
    <cellStyle name="연결된 셀 7 11 5" xfId="8717"/>
    <cellStyle name="연결된 셀 7 11 5 2" xfId="25858"/>
    <cellStyle name="연결된 셀 7 11 6" xfId="8718"/>
    <cellStyle name="연결된 셀 7 11 6 2" xfId="25859"/>
    <cellStyle name="연결된 셀 7 11 7" xfId="8719"/>
    <cellStyle name="연결된 셀 7 11 7 2" xfId="25860"/>
    <cellStyle name="연결된 셀 7 11 8" xfId="25845"/>
    <cellStyle name="연결된 셀 7 12" xfId="8720"/>
    <cellStyle name="연결된 셀 7 12 2" xfId="8721"/>
    <cellStyle name="연결된 셀 7 12 2 2" xfId="8722"/>
    <cellStyle name="연결된 셀 7 12 2 2 2" xfId="25863"/>
    <cellStyle name="연결된 셀 7 12 2 3" xfId="8723"/>
    <cellStyle name="연결된 셀 7 12 2 3 2" xfId="25864"/>
    <cellStyle name="연결된 셀 7 12 2 4" xfId="8724"/>
    <cellStyle name="연결된 셀 7 12 2 4 2" xfId="25865"/>
    <cellStyle name="연결된 셀 7 12 2 5" xfId="25862"/>
    <cellStyle name="연결된 셀 7 12 3" xfId="8725"/>
    <cellStyle name="연결된 셀 7 12 3 2" xfId="8726"/>
    <cellStyle name="연결된 셀 7 12 3 2 2" xfId="25867"/>
    <cellStyle name="연결된 셀 7 12 3 3" xfId="8727"/>
    <cellStyle name="연결된 셀 7 12 3 3 2" xfId="25868"/>
    <cellStyle name="연결된 셀 7 12 3 4" xfId="8728"/>
    <cellStyle name="연결된 셀 7 12 3 4 2" xfId="25869"/>
    <cellStyle name="연결된 셀 7 12 3 5" xfId="25866"/>
    <cellStyle name="연결된 셀 7 12 4" xfId="8729"/>
    <cellStyle name="연결된 셀 7 12 4 2" xfId="8730"/>
    <cellStyle name="연결된 셀 7 12 4 2 2" xfId="25871"/>
    <cellStyle name="연결된 셀 7 12 4 3" xfId="8731"/>
    <cellStyle name="연결된 셀 7 12 4 3 2" xfId="25872"/>
    <cellStyle name="연결된 셀 7 12 4 4" xfId="8732"/>
    <cellStyle name="연결된 셀 7 12 4 4 2" xfId="25873"/>
    <cellStyle name="연결된 셀 7 12 4 5" xfId="25870"/>
    <cellStyle name="연결된 셀 7 12 5" xfId="8733"/>
    <cellStyle name="연결된 셀 7 12 5 2" xfId="25874"/>
    <cellStyle name="연결된 셀 7 12 6" xfId="8734"/>
    <cellStyle name="연결된 셀 7 12 6 2" xfId="25875"/>
    <cellStyle name="연결된 셀 7 12 7" xfId="8735"/>
    <cellStyle name="연결된 셀 7 12 7 2" xfId="25876"/>
    <cellStyle name="연결된 셀 7 12 8" xfId="25861"/>
    <cellStyle name="연결된 셀 7 13" xfId="8736"/>
    <cellStyle name="연결된 셀 7 13 2" xfId="8737"/>
    <cellStyle name="연결된 셀 7 13 2 2" xfId="25878"/>
    <cellStyle name="연결된 셀 7 13 3" xfId="8738"/>
    <cellStyle name="연결된 셀 7 13 3 2" xfId="25879"/>
    <cellStyle name="연결된 셀 7 13 4" xfId="8739"/>
    <cellStyle name="연결된 셀 7 13 4 2" xfId="25880"/>
    <cellStyle name="연결된 셀 7 13 5" xfId="25877"/>
    <cellStyle name="연결된 셀 7 14" xfId="8740"/>
    <cellStyle name="연결된 셀 7 14 2" xfId="25881"/>
    <cellStyle name="연결된 셀 7 15" xfId="8741"/>
    <cellStyle name="연결된 셀 7 15 2" xfId="25882"/>
    <cellStyle name="연결된 셀 7 16" xfId="8742"/>
    <cellStyle name="연결된 셀 7 16 2" xfId="25883"/>
    <cellStyle name="연결된 셀 7 17" xfId="17564"/>
    <cellStyle name="연결된 셀 7 2" xfId="905"/>
    <cellStyle name="연결된 셀 7 2 10" xfId="8743"/>
    <cellStyle name="연결된 셀 7 2 10 2" xfId="8744"/>
    <cellStyle name="연결된 셀 7 2 10 2 2" xfId="8745"/>
    <cellStyle name="연결된 셀 7 2 10 2 2 2" xfId="25886"/>
    <cellStyle name="연결된 셀 7 2 10 2 3" xfId="8746"/>
    <cellStyle name="연결된 셀 7 2 10 2 3 2" xfId="25887"/>
    <cellStyle name="연결된 셀 7 2 10 2 4" xfId="8747"/>
    <cellStyle name="연결된 셀 7 2 10 2 4 2" xfId="25888"/>
    <cellStyle name="연결된 셀 7 2 10 2 5" xfId="25885"/>
    <cellStyle name="연결된 셀 7 2 10 3" xfId="8748"/>
    <cellStyle name="연결된 셀 7 2 10 3 2" xfId="8749"/>
    <cellStyle name="연결된 셀 7 2 10 3 2 2" xfId="25890"/>
    <cellStyle name="연결된 셀 7 2 10 3 3" xfId="8750"/>
    <cellStyle name="연결된 셀 7 2 10 3 3 2" xfId="25891"/>
    <cellStyle name="연결된 셀 7 2 10 3 4" xfId="8751"/>
    <cellStyle name="연결된 셀 7 2 10 3 4 2" xfId="25892"/>
    <cellStyle name="연결된 셀 7 2 10 3 5" xfId="25889"/>
    <cellStyle name="연결된 셀 7 2 10 4" xfId="8752"/>
    <cellStyle name="연결된 셀 7 2 10 4 2" xfId="8753"/>
    <cellStyle name="연결된 셀 7 2 10 4 2 2" xfId="25894"/>
    <cellStyle name="연결된 셀 7 2 10 4 3" xfId="8754"/>
    <cellStyle name="연결된 셀 7 2 10 4 3 2" xfId="25895"/>
    <cellStyle name="연결된 셀 7 2 10 4 4" xfId="8755"/>
    <cellStyle name="연결된 셀 7 2 10 4 4 2" xfId="25896"/>
    <cellStyle name="연결된 셀 7 2 10 4 5" xfId="25893"/>
    <cellStyle name="연결된 셀 7 2 10 5" xfId="8756"/>
    <cellStyle name="연결된 셀 7 2 10 5 2" xfId="25897"/>
    <cellStyle name="연결된 셀 7 2 10 6" xfId="8757"/>
    <cellStyle name="연결된 셀 7 2 10 6 2" xfId="25898"/>
    <cellStyle name="연결된 셀 7 2 10 7" xfId="8758"/>
    <cellStyle name="연결된 셀 7 2 10 7 2" xfId="25899"/>
    <cellStyle name="연결된 셀 7 2 10 8" xfId="25884"/>
    <cellStyle name="연결된 셀 7 2 11" xfId="8759"/>
    <cellStyle name="연결된 셀 7 2 11 2" xfId="8760"/>
    <cellStyle name="연결된 셀 7 2 11 2 2" xfId="8761"/>
    <cellStyle name="연결된 셀 7 2 11 2 2 2" xfId="25902"/>
    <cellStyle name="연결된 셀 7 2 11 2 3" xfId="8762"/>
    <cellStyle name="연결된 셀 7 2 11 2 3 2" xfId="25903"/>
    <cellStyle name="연결된 셀 7 2 11 2 4" xfId="8763"/>
    <cellStyle name="연결된 셀 7 2 11 2 4 2" xfId="25904"/>
    <cellStyle name="연결된 셀 7 2 11 2 5" xfId="25901"/>
    <cellStyle name="연결된 셀 7 2 11 3" xfId="8764"/>
    <cellStyle name="연결된 셀 7 2 11 3 2" xfId="8765"/>
    <cellStyle name="연결된 셀 7 2 11 3 2 2" xfId="25906"/>
    <cellStyle name="연결된 셀 7 2 11 3 3" xfId="8766"/>
    <cellStyle name="연결된 셀 7 2 11 3 3 2" xfId="25907"/>
    <cellStyle name="연결된 셀 7 2 11 3 4" xfId="8767"/>
    <cellStyle name="연결된 셀 7 2 11 3 4 2" xfId="25908"/>
    <cellStyle name="연결된 셀 7 2 11 3 5" xfId="25905"/>
    <cellStyle name="연결된 셀 7 2 11 4" xfId="8768"/>
    <cellStyle name="연결된 셀 7 2 11 4 2" xfId="8769"/>
    <cellStyle name="연결된 셀 7 2 11 4 2 2" xfId="25910"/>
    <cellStyle name="연결된 셀 7 2 11 4 3" xfId="8770"/>
    <cellStyle name="연결된 셀 7 2 11 4 3 2" xfId="25911"/>
    <cellStyle name="연결된 셀 7 2 11 4 4" xfId="8771"/>
    <cellStyle name="연결된 셀 7 2 11 4 4 2" xfId="25912"/>
    <cellStyle name="연결된 셀 7 2 11 4 5" xfId="25909"/>
    <cellStyle name="연결된 셀 7 2 11 5" xfId="8772"/>
    <cellStyle name="연결된 셀 7 2 11 5 2" xfId="25913"/>
    <cellStyle name="연결된 셀 7 2 11 6" xfId="8773"/>
    <cellStyle name="연결된 셀 7 2 11 6 2" xfId="25914"/>
    <cellStyle name="연결된 셀 7 2 11 7" xfId="8774"/>
    <cellStyle name="연결된 셀 7 2 11 7 2" xfId="25915"/>
    <cellStyle name="연결된 셀 7 2 11 8" xfId="25900"/>
    <cellStyle name="연결된 셀 7 2 12" xfId="8775"/>
    <cellStyle name="연결된 셀 7 2 12 2" xfId="8776"/>
    <cellStyle name="연결된 셀 7 2 12 2 2" xfId="25917"/>
    <cellStyle name="연결된 셀 7 2 12 3" xfId="8777"/>
    <cellStyle name="연결된 셀 7 2 12 3 2" xfId="25918"/>
    <cellStyle name="연결된 셀 7 2 12 4" xfId="8778"/>
    <cellStyle name="연결된 셀 7 2 12 4 2" xfId="25919"/>
    <cellStyle name="연결된 셀 7 2 12 5" xfId="25916"/>
    <cellStyle name="연결된 셀 7 2 13" xfId="8779"/>
    <cellStyle name="연결된 셀 7 2 13 2" xfId="25920"/>
    <cellStyle name="연결된 셀 7 2 14" xfId="8780"/>
    <cellStyle name="연결된 셀 7 2 14 2" xfId="25921"/>
    <cellStyle name="연결된 셀 7 2 15" xfId="8781"/>
    <cellStyle name="연결된 셀 7 2 15 2" xfId="25922"/>
    <cellStyle name="연결된 셀 7 2 16" xfId="18048"/>
    <cellStyle name="연결된 셀 7 2 2" xfId="8782"/>
    <cellStyle name="연결된 셀 7 2 2 2" xfId="8783"/>
    <cellStyle name="연결된 셀 7 2 2 2 2" xfId="8784"/>
    <cellStyle name="연결된 셀 7 2 2 2 2 2" xfId="25925"/>
    <cellStyle name="연결된 셀 7 2 2 2 3" xfId="8785"/>
    <cellStyle name="연결된 셀 7 2 2 2 3 2" xfId="25926"/>
    <cellStyle name="연결된 셀 7 2 2 2 4" xfId="8786"/>
    <cellStyle name="연결된 셀 7 2 2 2 4 2" xfId="25927"/>
    <cellStyle name="연결된 셀 7 2 2 2 5" xfId="25924"/>
    <cellStyle name="연결된 셀 7 2 2 3" xfId="8787"/>
    <cellStyle name="연결된 셀 7 2 2 3 2" xfId="8788"/>
    <cellStyle name="연결된 셀 7 2 2 3 2 2" xfId="25929"/>
    <cellStyle name="연결된 셀 7 2 2 3 3" xfId="8789"/>
    <cellStyle name="연결된 셀 7 2 2 3 3 2" xfId="25930"/>
    <cellStyle name="연결된 셀 7 2 2 3 4" xfId="8790"/>
    <cellStyle name="연결된 셀 7 2 2 3 4 2" xfId="25931"/>
    <cellStyle name="연결된 셀 7 2 2 3 5" xfId="25928"/>
    <cellStyle name="연결된 셀 7 2 2 4" xfId="8791"/>
    <cellStyle name="연결된 셀 7 2 2 4 2" xfId="8792"/>
    <cellStyle name="연결된 셀 7 2 2 4 2 2" xfId="25933"/>
    <cellStyle name="연결된 셀 7 2 2 4 3" xfId="8793"/>
    <cellStyle name="연결된 셀 7 2 2 4 3 2" xfId="25934"/>
    <cellStyle name="연결된 셀 7 2 2 4 4" xfId="8794"/>
    <cellStyle name="연결된 셀 7 2 2 4 4 2" xfId="25935"/>
    <cellStyle name="연결된 셀 7 2 2 4 5" xfId="25932"/>
    <cellStyle name="연결된 셀 7 2 2 5" xfId="8795"/>
    <cellStyle name="연결된 셀 7 2 2 5 2" xfId="25936"/>
    <cellStyle name="연결된 셀 7 2 2 6" xfId="8796"/>
    <cellStyle name="연결된 셀 7 2 2 6 2" xfId="25937"/>
    <cellStyle name="연결된 셀 7 2 2 7" xfId="8797"/>
    <cellStyle name="연결된 셀 7 2 2 7 2" xfId="25938"/>
    <cellStyle name="연결된 셀 7 2 2 8" xfId="25923"/>
    <cellStyle name="연결된 셀 7 2 3" xfId="8798"/>
    <cellStyle name="연결된 셀 7 2 3 2" xfId="8799"/>
    <cellStyle name="연결된 셀 7 2 3 2 2" xfId="8800"/>
    <cellStyle name="연결된 셀 7 2 3 2 2 2" xfId="25941"/>
    <cellStyle name="연결된 셀 7 2 3 2 3" xfId="8801"/>
    <cellStyle name="연결된 셀 7 2 3 2 3 2" xfId="25942"/>
    <cellStyle name="연결된 셀 7 2 3 2 4" xfId="8802"/>
    <cellStyle name="연결된 셀 7 2 3 2 4 2" xfId="25943"/>
    <cellStyle name="연결된 셀 7 2 3 2 5" xfId="25940"/>
    <cellStyle name="연결된 셀 7 2 3 3" xfId="8803"/>
    <cellStyle name="연결된 셀 7 2 3 3 2" xfId="8804"/>
    <cellStyle name="연결된 셀 7 2 3 3 2 2" xfId="25945"/>
    <cellStyle name="연결된 셀 7 2 3 3 3" xfId="8805"/>
    <cellStyle name="연결된 셀 7 2 3 3 3 2" xfId="25946"/>
    <cellStyle name="연결된 셀 7 2 3 3 4" xfId="8806"/>
    <cellStyle name="연결된 셀 7 2 3 3 4 2" xfId="25947"/>
    <cellStyle name="연결된 셀 7 2 3 3 5" xfId="25944"/>
    <cellStyle name="연결된 셀 7 2 3 4" xfId="8807"/>
    <cellStyle name="연결된 셀 7 2 3 4 2" xfId="8808"/>
    <cellStyle name="연결된 셀 7 2 3 4 2 2" xfId="25949"/>
    <cellStyle name="연결된 셀 7 2 3 4 3" xfId="8809"/>
    <cellStyle name="연결된 셀 7 2 3 4 3 2" xfId="25950"/>
    <cellStyle name="연결된 셀 7 2 3 4 4" xfId="8810"/>
    <cellStyle name="연결된 셀 7 2 3 4 4 2" xfId="25951"/>
    <cellStyle name="연결된 셀 7 2 3 4 5" xfId="25948"/>
    <cellStyle name="연결된 셀 7 2 3 5" xfId="8811"/>
    <cellStyle name="연결된 셀 7 2 3 5 2" xfId="25952"/>
    <cellStyle name="연결된 셀 7 2 3 6" xfId="8812"/>
    <cellStyle name="연결된 셀 7 2 3 6 2" xfId="25953"/>
    <cellStyle name="연결된 셀 7 2 3 7" xfId="8813"/>
    <cellStyle name="연결된 셀 7 2 3 7 2" xfId="25954"/>
    <cellStyle name="연결된 셀 7 2 3 8" xfId="25939"/>
    <cellStyle name="연결된 셀 7 2 4" xfId="8814"/>
    <cellStyle name="연결된 셀 7 2 4 2" xfId="8815"/>
    <cellStyle name="연결된 셀 7 2 4 2 2" xfId="8816"/>
    <cellStyle name="연결된 셀 7 2 4 2 2 2" xfId="25957"/>
    <cellStyle name="연결된 셀 7 2 4 2 3" xfId="8817"/>
    <cellStyle name="연결된 셀 7 2 4 2 3 2" xfId="25958"/>
    <cellStyle name="연결된 셀 7 2 4 2 4" xfId="8818"/>
    <cellStyle name="연결된 셀 7 2 4 2 4 2" xfId="25959"/>
    <cellStyle name="연결된 셀 7 2 4 2 5" xfId="25956"/>
    <cellStyle name="연결된 셀 7 2 4 3" xfId="8819"/>
    <cellStyle name="연결된 셀 7 2 4 3 2" xfId="8820"/>
    <cellStyle name="연결된 셀 7 2 4 3 2 2" xfId="25961"/>
    <cellStyle name="연결된 셀 7 2 4 3 3" xfId="8821"/>
    <cellStyle name="연결된 셀 7 2 4 3 3 2" xfId="25962"/>
    <cellStyle name="연결된 셀 7 2 4 3 4" xfId="8822"/>
    <cellStyle name="연결된 셀 7 2 4 3 4 2" xfId="25963"/>
    <cellStyle name="연결된 셀 7 2 4 3 5" xfId="25960"/>
    <cellStyle name="연결된 셀 7 2 4 4" xfId="8823"/>
    <cellStyle name="연결된 셀 7 2 4 4 2" xfId="8824"/>
    <cellStyle name="연결된 셀 7 2 4 4 2 2" xfId="25965"/>
    <cellStyle name="연결된 셀 7 2 4 4 3" xfId="8825"/>
    <cellStyle name="연결된 셀 7 2 4 4 3 2" xfId="25966"/>
    <cellStyle name="연결된 셀 7 2 4 4 4" xfId="8826"/>
    <cellStyle name="연결된 셀 7 2 4 4 4 2" xfId="25967"/>
    <cellStyle name="연결된 셀 7 2 4 4 5" xfId="25964"/>
    <cellStyle name="연결된 셀 7 2 4 5" xfId="8827"/>
    <cellStyle name="연결된 셀 7 2 4 5 2" xfId="25968"/>
    <cellStyle name="연결된 셀 7 2 4 6" xfId="8828"/>
    <cellStyle name="연결된 셀 7 2 4 6 2" xfId="25969"/>
    <cellStyle name="연결된 셀 7 2 4 7" xfId="8829"/>
    <cellStyle name="연결된 셀 7 2 4 7 2" xfId="25970"/>
    <cellStyle name="연결된 셀 7 2 4 8" xfId="25955"/>
    <cellStyle name="연결된 셀 7 2 5" xfId="8830"/>
    <cellStyle name="연결된 셀 7 2 5 2" xfId="8831"/>
    <cellStyle name="연결된 셀 7 2 5 2 2" xfId="8832"/>
    <cellStyle name="연결된 셀 7 2 5 2 2 2" xfId="25973"/>
    <cellStyle name="연결된 셀 7 2 5 2 3" xfId="8833"/>
    <cellStyle name="연결된 셀 7 2 5 2 3 2" xfId="25974"/>
    <cellStyle name="연결된 셀 7 2 5 2 4" xfId="8834"/>
    <cellStyle name="연결된 셀 7 2 5 2 4 2" xfId="25975"/>
    <cellStyle name="연결된 셀 7 2 5 2 5" xfId="25972"/>
    <cellStyle name="연결된 셀 7 2 5 3" xfId="8835"/>
    <cellStyle name="연결된 셀 7 2 5 3 2" xfId="8836"/>
    <cellStyle name="연결된 셀 7 2 5 3 2 2" xfId="25977"/>
    <cellStyle name="연결된 셀 7 2 5 3 3" xfId="8837"/>
    <cellStyle name="연결된 셀 7 2 5 3 3 2" xfId="25978"/>
    <cellStyle name="연결된 셀 7 2 5 3 4" xfId="8838"/>
    <cellStyle name="연결된 셀 7 2 5 3 4 2" xfId="25979"/>
    <cellStyle name="연결된 셀 7 2 5 3 5" xfId="25976"/>
    <cellStyle name="연결된 셀 7 2 5 4" xfId="8839"/>
    <cellStyle name="연결된 셀 7 2 5 4 2" xfId="8840"/>
    <cellStyle name="연결된 셀 7 2 5 4 2 2" xfId="25981"/>
    <cellStyle name="연결된 셀 7 2 5 4 3" xfId="8841"/>
    <cellStyle name="연결된 셀 7 2 5 4 3 2" xfId="25982"/>
    <cellStyle name="연결된 셀 7 2 5 4 4" xfId="8842"/>
    <cellStyle name="연결된 셀 7 2 5 4 4 2" xfId="25983"/>
    <cellStyle name="연결된 셀 7 2 5 4 5" xfId="25980"/>
    <cellStyle name="연결된 셀 7 2 5 5" xfId="8843"/>
    <cellStyle name="연결된 셀 7 2 5 5 2" xfId="25984"/>
    <cellStyle name="연결된 셀 7 2 5 6" xfId="8844"/>
    <cellStyle name="연결된 셀 7 2 5 6 2" xfId="25985"/>
    <cellStyle name="연결된 셀 7 2 5 7" xfId="8845"/>
    <cellStyle name="연결된 셀 7 2 5 7 2" xfId="25986"/>
    <cellStyle name="연결된 셀 7 2 5 8" xfId="25971"/>
    <cellStyle name="연결된 셀 7 2 6" xfId="8846"/>
    <cellStyle name="연결된 셀 7 2 6 2" xfId="8847"/>
    <cellStyle name="연결된 셀 7 2 6 2 2" xfId="8848"/>
    <cellStyle name="연결된 셀 7 2 6 2 2 2" xfId="25989"/>
    <cellStyle name="연결된 셀 7 2 6 2 3" xfId="8849"/>
    <cellStyle name="연결된 셀 7 2 6 2 3 2" xfId="25990"/>
    <cellStyle name="연결된 셀 7 2 6 2 4" xfId="8850"/>
    <cellStyle name="연결된 셀 7 2 6 2 4 2" xfId="25991"/>
    <cellStyle name="연결된 셀 7 2 6 2 5" xfId="25988"/>
    <cellStyle name="연결된 셀 7 2 6 3" xfId="8851"/>
    <cellStyle name="연결된 셀 7 2 6 3 2" xfId="8852"/>
    <cellStyle name="연결된 셀 7 2 6 3 2 2" xfId="25993"/>
    <cellStyle name="연결된 셀 7 2 6 3 3" xfId="8853"/>
    <cellStyle name="연결된 셀 7 2 6 3 3 2" xfId="25994"/>
    <cellStyle name="연결된 셀 7 2 6 3 4" xfId="8854"/>
    <cellStyle name="연결된 셀 7 2 6 3 4 2" xfId="25995"/>
    <cellStyle name="연결된 셀 7 2 6 3 5" xfId="25992"/>
    <cellStyle name="연결된 셀 7 2 6 4" xfId="8855"/>
    <cellStyle name="연결된 셀 7 2 6 4 2" xfId="8856"/>
    <cellStyle name="연결된 셀 7 2 6 4 2 2" xfId="25997"/>
    <cellStyle name="연결된 셀 7 2 6 4 3" xfId="8857"/>
    <cellStyle name="연결된 셀 7 2 6 4 3 2" xfId="25998"/>
    <cellStyle name="연결된 셀 7 2 6 4 4" xfId="8858"/>
    <cellStyle name="연결된 셀 7 2 6 4 4 2" xfId="25999"/>
    <cellStyle name="연결된 셀 7 2 6 4 5" xfId="25996"/>
    <cellStyle name="연결된 셀 7 2 6 5" xfId="8859"/>
    <cellStyle name="연결된 셀 7 2 6 5 2" xfId="26000"/>
    <cellStyle name="연결된 셀 7 2 6 6" xfId="8860"/>
    <cellStyle name="연결된 셀 7 2 6 6 2" xfId="26001"/>
    <cellStyle name="연결된 셀 7 2 6 7" xfId="8861"/>
    <cellStyle name="연결된 셀 7 2 6 7 2" xfId="26002"/>
    <cellStyle name="연결된 셀 7 2 6 8" xfId="25987"/>
    <cellStyle name="연결된 셀 7 2 7" xfId="8862"/>
    <cellStyle name="연결된 셀 7 2 7 2" xfId="8863"/>
    <cellStyle name="연결된 셀 7 2 7 2 2" xfId="8864"/>
    <cellStyle name="연결된 셀 7 2 7 2 2 2" xfId="26005"/>
    <cellStyle name="연결된 셀 7 2 7 2 3" xfId="8865"/>
    <cellStyle name="연결된 셀 7 2 7 2 3 2" xfId="26006"/>
    <cellStyle name="연결된 셀 7 2 7 2 4" xfId="8866"/>
    <cellStyle name="연결된 셀 7 2 7 2 4 2" xfId="26007"/>
    <cellStyle name="연결된 셀 7 2 7 2 5" xfId="26004"/>
    <cellStyle name="연결된 셀 7 2 7 3" xfId="8867"/>
    <cellStyle name="연결된 셀 7 2 7 3 2" xfId="8868"/>
    <cellStyle name="연결된 셀 7 2 7 3 2 2" xfId="26009"/>
    <cellStyle name="연결된 셀 7 2 7 3 3" xfId="8869"/>
    <cellStyle name="연결된 셀 7 2 7 3 3 2" xfId="26010"/>
    <cellStyle name="연결된 셀 7 2 7 3 4" xfId="8870"/>
    <cellStyle name="연결된 셀 7 2 7 3 4 2" xfId="26011"/>
    <cellStyle name="연결된 셀 7 2 7 3 5" xfId="26008"/>
    <cellStyle name="연결된 셀 7 2 7 4" xfId="8871"/>
    <cellStyle name="연결된 셀 7 2 7 4 2" xfId="8872"/>
    <cellStyle name="연결된 셀 7 2 7 4 2 2" xfId="26013"/>
    <cellStyle name="연결된 셀 7 2 7 4 3" xfId="8873"/>
    <cellStyle name="연결된 셀 7 2 7 4 3 2" xfId="26014"/>
    <cellStyle name="연결된 셀 7 2 7 4 4" xfId="8874"/>
    <cellStyle name="연결된 셀 7 2 7 4 4 2" xfId="26015"/>
    <cellStyle name="연결된 셀 7 2 7 4 5" xfId="26012"/>
    <cellStyle name="연결된 셀 7 2 7 5" xfId="8875"/>
    <cellStyle name="연결된 셀 7 2 7 5 2" xfId="26016"/>
    <cellStyle name="연결된 셀 7 2 7 6" xfId="8876"/>
    <cellStyle name="연결된 셀 7 2 7 6 2" xfId="26017"/>
    <cellStyle name="연결된 셀 7 2 7 7" xfId="8877"/>
    <cellStyle name="연결된 셀 7 2 7 7 2" xfId="26018"/>
    <cellStyle name="연결된 셀 7 2 7 8" xfId="26003"/>
    <cellStyle name="연결된 셀 7 2 8" xfId="8878"/>
    <cellStyle name="연결된 셀 7 2 8 2" xfId="8879"/>
    <cellStyle name="연결된 셀 7 2 8 2 2" xfId="8880"/>
    <cellStyle name="연결된 셀 7 2 8 2 2 2" xfId="26021"/>
    <cellStyle name="연결된 셀 7 2 8 2 3" xfId="8881"/>
    <cellStyle name="연결된 셀 7 2 8 2 3 2" xfId="26022"/>
    <cellStyle name="연결된 셀 7 2 8 2 4" xfId="8882"/>
    <cellStyle name="연결된 셀 7 2 8 2 4 2" xfId="26023"/>
    <cellStyle name="연결된 셀 7 2 8 2 5" xfId="26020"/>
    <cellStyle name="연결된 셀 7 2 8 3" xfId="8883"/>
    <cellStyle name="연결된 셀 7 2 8 3 2" xfId="8884"/>
    <cellStyle name="연결된 셀 7 2 8 3 2 2" xfId="26025"/>
    <cellStyle name="연결된 셀 7 2 8 3 3" xfId="8885"/>
    <cellStyle name="연결된 셀 7 2 8 3 3 2" xfId="26026"/>
    <cellStyle name="연결된 셀 7 2 8 3 4" xfId="8886"/>
    <cellStyle name="연결된 셀 7 2 8 3 4 2" xfId="26027"/>
    <cellStyle name="연결된 셀 7 2 8 3 5" xfId="26024"/>
    <cellStyle name="연결된 셀 7 2 8 4" xfId="8887"/>
    <cellStyle name="연결된 셀 7 2 8 4 2" xfId="8888"/>
    <cellStyle name="연결된 셀 7 2 8 4 2 2" xfId="26029"/>
    <cellStyle name="연결된 셀 7 2 8 4 3" xfId="8889"/>
    <cellStyle name="연결된 셀 7 2 8 4 3 2" xfId="26030"/>
    <cellStyle name="연결된 셀 7 2 8 4 4" xfId="8890"/>
    <cellStyle name="연결된 셀 7 2 8 4 4 2" xfId="26031"/>
    <cellStyle name="연결된 셀 7 2 8 4 5" xfId="26028"/>
    <cellStyle name="연결된 셀 7 2 8 5" xfId="8891"/>
    <cellStyle name="연결된 셀 7 2 8 5 2" xfId="26032"/>
    <cellStyle name="연결된 셀 7 2 8 6" xfId="8892"/>
    <cellStyle name="연결된 셀 7 2 8 6 2" xfId="26033"/>
    <cellStyle name="연결된 셀 7 2 8 7" xfId="8893"/>
    <cellStyle name="연결된 셀 7 2 8 7 2" xfId="26034"/>
    <cellStyle name="연결된 셀 7 2 8 8" xfId="26019"/>
    <cellStyle name="연결된 셀 7 2 9" xfId="8894"/>
    <cellStyle name="연결된 셀 7 2 9 2" xfId="8895"/>
    <cellStyle name="연결된 셀 7 2 9 2 2" xfId="8896"/>
    <cellStyle name="연결된 셀 7 2 9 2 2 2" xfId="26037"/>
    <cellStyle name="연결된 셀 7 2 9 2 3" xfId="8897"/>
    <cellStyle name="연결된 셀 7 2 9 2 3 2" xfId="26038"/>
    <cellStyle name="연결된 셀 7 2 9 2 4" xfId="8898"/>
    <cellStyle name="연결된 셀 7 2 9 2 4 2" xfId="26039"/>
    <cellStyle name="연결된 셀 7 2 9 2 5" xfId="26036"/>
    <cellStyle name="연결된 셀 7 2 9 3" xfId="8899"/>
    <cellStyle name="연결된 셀 7 2 9 3 2" xfId="8900"/>
    <cellStyle name="연결된 셀 7 2 9 3 2 2" xfId="26041"/>
    <cellStyle name="연결된 셀 7 2 9 3 3" xfId="8901"/>
    <cellStyle name="연결된 셀 7 2 9 3 3 2" xfId="26042"/>
    <cellStyle name="연결된 셀 7 2 9 3 4" xfId="8902"/>
    <cellStyle name="연결된 셀 7 2 9 3 4 2" xfId="26043"/>
    <cellStyle name="연결된 셀 7 2 9 3 5" xfId="26040"/>
    <cellStyle name="연결된 셀 7 2 9 4" xfId="8903"/>
    <cellStyle name="연결된 셀 7 2 9 4 2" xfId="8904"/>
    <cellStyle name="연결된 셀 7 2 9 4 2 2" xfId="26045"/>
    <cellStyle name="연결된 셀 7 2 9 4 3" xfId="8905"/>
    <cellStyle name="연결된 셀 7 2 9 4 3 2" xfId="26046"/>
    <cellStyle name="연결된 셀 7 2 9 4 4" xfId="8906"/>
    <cellStyle name="연결된 셀 7 2 9 4 4 2" xfId="26047"/>
    <cellStyle name="연결된 셀 7 2 9 4 5" xfId="26044"/>
    <cellStyle name="연결된 셀 7 2 9 5" xfId="8907"/>
    <cellStyle name="연결된 셀 7 2 9 5 2" xfId="26048"/>
    <cellStyle name="연결된 셀 7 2 9 6" xfId="8908"/>
    <cellStyle name="연결된 셀 7 2 9 6 2" xfId="26049"/>
    <cellStyle name="연결된 셀 7 2 9 7" xfId="8909"/>
    <cellStyle name="연결된 셀 7 2 9 7 2" xfId="26050"/>
    <cellStyle name="연결된 셀 7 2 9 8" xfId="26035"/>
    <cellStyle name="연결된 셀 7 3" xfId="653"/>
    <cellStyle name="연결된 셀 7 3 2" xfId="8910"/>
    <cellStyle name="연결된 셀 7 3 2 2" xfId="8911"/>
    <cellStyle name="연결된 셀 7 3 2 2 2" xfId="26052"/>
    <cellStyle name="연결된 셀 7 3 2 3" xfId="8912"/>
    <cellStyle name="연결된 셀 7 3 2 3 2" xfId="26053"/>
    <cellStyle name="연결된 셀 7 3 2 4" xfId="8913"/>
    <cellStyle name="연결된 셀 7 3 2 4 2" xfId="26054"/>
    <cellStyle name="연결된 셀 7 3 2 5" xfId="26051"/>
    <cellStyle name="연결된 셀 7 3 3" xfId="8914"/>
    <cellStyle name="연결된 셀 7 3 3 2" xfId="8915"/>
    <cellStyle name="연결된 셀 7 3 3 2 2" xfId="26056"/>
    <cellStyle name="연결된 셀 7 3 3 3" xfId="8916"/>
    <cellStyle name="연결된 셀 7 3 3 3 2" xfId="26057"/>
    <cellStyle name="연결된 셀 7 3 3 4" xfId="8917"/>
    <cellStyle name="연결된 셀 7 3 3 4 2" xfId="26058"/>
    <cellStyle name="연결된 셀 7 3 3 5" xfId="26055"/>
    <cellStyle name="연결된 셀 7 3 4" xfId="8918"/>
    <cellStyle name="연결된 셀 7 3 4 2" xfId="8919"/>
    <cellStyle name="연결된 셀 7 3 4 2 2" xfId="26060"/>
    <cellStyle name="연결된 셀 7 3 4 3" xfId="8920"/>
    <cellStyle name="연결된 셀 7 3 4 3 2" xfId="26061"/>
    <cellStyle name="연결된 셀 7 3 4 4" xfId="8921"/>
    <cellStyle name="연결된 셀 7 3 4 4 2" xfId="26062"/>
    <cellStyle name="연결된 셀 7 3 4 5" xfId="26059"/>
    <cellStyle name="연결된 셀 7 3 5" xfId="8922"/>
    <cellStyle name="연결된 셀 7 3 5 2" xfId="26063"/>
    <cellStyle name="연결된 셀 7 3 6" xfId="8923"/>
    <cellStyle name="연결된 셀 7 3 6 2" xfId="26064"/>
    <cellStyle name="연결된 셀 7 3 7" xfId="8924"/>
    <cellStyle name="연결된 셀 7 3 7 2" xfId="26065"/>
    <cellStyle name="연결된 셀 7 3 8" xfId="17796"/>
    <cellStyle name="연결된 셀 7 4" xfId="8925"/>
    <cellStyle name="연결된 셀 7 4 2" xfId="8926"/>
    <cellStyle name="연결된 셀 7 4 2 2" xfId="8927"/>
    <cellStyle name="연결된 셀 7 4 2 2 2" xfId="26068"/>
    <cellStyle name="연결된 셀 7 4 2 3" xfId="8928"/>
    <cellStyle name="연결된 셀 7 4 2 3 2" xfId="26069"/>
    <cellStyle name="연결된 셀 7 4 2 4" xfId="8929"/>
    <cellStyle name="연결된 셀 7 4 2 4 2" xfId="26070"/>
    <cellStyle name="연결된 셀 7 4 2 5" xfId="26067"/>
    <cellStyle name="연결된 셀 7 4 3" xfId="8930"/>
    <cellStyle name="연결된 셀 7 4 3 2" xfId="8931"/>
    <cellStyle name="연결된 셀 7 4 3 2 2" xfId="26072"/>
    <cellStyle name="연결된 셀 7 4 3 3" xfId="8932"/>
    <cellStyle name="연결된 셀 7 4 3 3 2" xfId="26073"/>
    <cellStyle name="연결된 셀 7 4 3 4" xfId="8933"/>
    <cellStyle name="연결된 셀 7 4 3 4 2" xfId="26074"/>
    <cellStyle name="연결된 셀 7 4 3 5" xfId="26071"/>
    <cellStyle name="연결된 셀 7 4 4" xfId="8934"/>
    <cellStyle name="연결된 셀 7 4 4 2" xfId="8935"/>
    <cellStyle name="연결된 셀 7 4 4 2 2" xfId="26076"/>
    <cellStyle name="연결된 셀 7 4 4 3" xfId="8936"/>
    <cellStyle name="연결된 셀 7 4 4 3 2" xfId="26077"/>
    <cellStyle name="연결된 셀 7 4 4 4" xfId="8937"/>
    <cellStyle name="연결된 셀 7 4 4 4 2" xfId="26078"/>
    <cellStyle name="연결된 셀 7 4 4 5" xfId="26075"/>
    <cellStyle name="연결된 셀 7 4 5" xfId="8938"/>
    <cellStyle name="연결된 셀 7 4 5 2" xfId="26079"/>
    <cellStyle name="연결된 셀 7 4 6" xfId="8939"/>
    <cellStyle name="연결된 셀 7 4 6 2" xfId="26080"/>
    <cellStyle name="연결된 셀 7 4 7" xfId="8940"/>
    <cellStyle name="연결된 셀 7 4 7 2" xfId="26081"/>
    <cellStyle name="연결된 셀 7 4 8" xfId="26066"/>
    <cellStyle name="연결된 셀 7 5" xfId="8941"/>
    <cellStyle name="연결된 셀 7 5 2" xfId="8942"/>
    <cellStyle name="연결된 셀 7 5 2 2" xfId="8943"/>
    <cellStyle name="연결된 셀 7 5 2 2 2" xfId="26084"/>
    <cellStyle name="연결된 셀 7 5 2 3" xfId="8944"/>
    <cellStyle name="연결된 셀 7 5 2 3 2" xfId="26085"/>
    <cellStyle name="연결된 셀 7 5 2 4" xfId="8945"/>
    <cellStyle name="연결된 셀 7 5 2 4 2" xfId="26086"/>
    <cellStyle name="연결된 셀 7 5 2 5" xfId="26083"/>
    <cellStyle name="연결된 셀 7 5 3" xfId="8946"/>
    <cellStyle name="연결된 셀 7 5 3 2" xfId="8947"/>
    <cellStyle name="연결된 셀 7 5 3 2 2" xfId="26088"/>
    <cellStyle name="연결된 셀 7 5 3 3" xfId="8948"/>
    <cellStyle name="연결된 셀 7 5 3 3 2" xfId="26089"/>
    <cellStyle name="연결된 셀 7 5 3 4" xfId="8949"/>
    <cellStyle name="연결된 셀 7 5 3 4 2" xfId="26090"/>
    <cellStyle name="연결된 셀 7 5 3 5" xfId="26087"/>
    <cellStyle name="연결된 셀 7 5 4" xfId="8950"/>
    <cellStyle name="연결된 셀 7 5 4 2" xfId="8951"/>
    <cellStyle name="연결된 셀 7 5 4 2 2" xfId="26092"/>
    <cellStyle name="연결된 셀 7 5 4 3" xfId="8952"/>
    <cellStyle name="연결된 셀 7 5 4 3 2" xfId="26093"/>
    <cellStyle name="연결된 셀 7 5 4 4" xfId="8953"/>
    <cellStyle name="연결된 셀 7 5 4 4 2" xfId="26094"/>
    <cellStyle name="연결된 셀 7 5 4 5" xfId="26091"/>
    <cellStyle name="연결된 셀 7 5 5" xfId="8954"/>
    <cellStyle name="연결된 셀 7 5 5 2" xfId="26095"/>
    <cellStyle name="연결된 셀 7 5 6" xfId="8955"/>
    <cellStyle name="연결된 셀 7 5 6 2" xfId="26096"/>
    <cellStyle name="연결된 셀 7 5 7" xfId="8956"/>
    <cellStyle name="연결된 셀 7 5 7 2" xfId="26097"/>
    <cellStyle name="연결된 셀 7 5 8" xfId="26082"/>
    <cellStyle name="연결된 셀 7 6" xfId="8957"/>
    <cellStyle name="연결된 셀 7 6 2" xfId="8958"/>
    <cellStyle name="연결된 셀 7 6 2 2" xfId="8959"/>
    <cellStyle name="연결된 셀 7 6 2 2 2" xfId="26100"/>
    <cellStyle name="연결된 셀 7 6 2 3" xfId="8960"/>
    <cellStyle name="연결된 셀 7 6 2 3 2" xfId="26101"/>
    <cellStyle name="연결된 셀 7 6 2 4" xfId="8961"/>
    <cellStyle name="연결된 셀 7 6 2 4 2" xfId="26102"/>
    <cellStyle name="연결된 셀 7 6 2 5" xfId="26099"/>
    <cellStyle name="연결된 셀 7 6 3" xfId="8962"/>
    <cellStyle name="연결된 셀 7 6 3 2" xfId="8963"/>
    <cellStyle name="연결된 셀 7 6 3 2 2" xfId="26104"/>
    <cellStyle name="연결된 셀 7 6 3 3" xfId="8964"/>
    <cellStyle name="연결된 셀 7 6 3 3 2" xfId="26105"/>
    <cellStyle name="연결된 셀 7 6 3 4" xfId="8965"/>
    <cellStyle name="연결된 셀 7 6 3 4 2" xfId="26106"/>
    <cellStyle name="연결된 셀 7 6 3 5" xfId="26103"/>
    <cellStyle name="연결된 셀 7 6 4" xfId="8966"/>
    <cellStyle name="연결된 셀 7 6 4 2" xfId="8967"/>
    <cellStyle name="연결된 셀 7 6 4 2 2" xfId="26108"/>
    <cellStyle name="연결된 셀 7 6 4 3" xfId="8968"/>
    <cellStyle name="연결된 셀 7 6 4 3 2" xfId="26109"/>
    <cellStyle name="연결된 셀 7 6 4 4" xfId="8969"/>
    <cellStyle name="연결된 셀 7 6 4 4 2" xfId="26110"/>
    <cellStyle name="연결된 셀 7 6 4 5" xfId="26107"/>
    <cellStyle name="연결된 셀 7 6 5" xfId="8970"/>
    <cellStyle name="연결된 셀 7 6 5 2" xfId="26111"/>
    <cellStyle name="연결된 셀 7 6 6" xfId="8971"/>
    <cellStyle name="연결된 셀 7 6 6 2" xfId="26112"/>
    <cellStyle name="연결된 셀 7 6 7" xfId="8972"/>
    <cellStyle name="연결된 셀 7 6 7 2" xfId="26113"/>
    <cellStyle name="연결된 셀 7 6 8" xfId="26098"/>
    <cellStyle name="연결된 셀 7 7" xfId="8973"/>
    <cellStyle name="연결된 셀 7 7 2" xfId="8974"/>
    <cellStyle name="연결된 셀 7 7 2 2" xfId="8975"/>
    <cellStyle name="연결된 셀 7 7 2 2 2" xfId="26116"/>
    <cellStyle name="연결된 셀 7 7 2 3" xfId="8976"/>
    <cellStyle name="연결된 셀 7 7 2 3 2" xfId="26117"/>
    <cellStyle name="연결된 셀 7 7 2 4" xfId="8977"/>
    <cellStyle name="연결된 셀 7 7 2 4 2" xfId="26118"/>
    <cellStyle name="연결된 셀 7 7 2 5" xfId="26115"/>
    <cellStyle name="연결된 셀 7 7 3" xfId="8978"/>
    <cellStyle name="연결된 셀 7 7 3 2" xfId="8979"/>
    <cellStyle name="연결된 셀 7 7 3 2 2" xfId="26120"/>
    <cellStyle name="연결된 셀 7 7 3 3" xfId="8980"/>
    <cellStyle name="연결된 셀 7 7 3 3 2" xfId="26121"/>
    <cellStyle name="연결된 셀 7 7 3 4" xfId="8981"/>
    <cellStyle name="연결된 셀 7 7 3 4 2" xfId="26122"/>
    <cellStyle name="연결된 셀 7 7 3 5" xfId="26119"/>
    <cellStyle name="연결된 셀 7 7 4" xfId="8982"/>
    <cellStyle name="연결된 셀 7 7 4 2" xfId="8983"/>
    <cellStyle name="연결된 셀 7 7 4 2 2" xfId="26124"/>
    <cellStyle name="연결된 셀 7 7 4 3" xfId="8984"/>
    <cellStyle name="연결된 셀 7 7 4 3 2" xfId="26125"/>
    <cellStyle name="연결된 셀 7 7 4 4" xfId="8985"/>
    <cellStyle name="연결된 셀 7 7 4 4 2" xfId="26126"/>
    <cellStyle name="연결된 셀 7 7 4 5" xfId="26123"/>
    <cellStyle name="연결된 셀 7 7 5" xfId="8986"/>
    <cellStyle name="연결된 셀 7 7 5 2" xfId="26127"/>
    <cellStyle name="연결된 셀 7 7 6" xfId="8987"/>
    <cellStyle name="연결된 셀 7 7 6 2" xfId="26128"/>
    <cellStyle name="연결된 셀 7 7 7" xfId="8988"/>
    <cellStyle name="연결된 셀 7 7 7 2" xfId="26129"/>
    <cellStyle name="연결된 셀 7 7 8" xfId="26114"/>
    <cellStyle name="연결된 셀 7 8" xfId="8989"/>
    <cellStyle name="연결된 셀 7 8 2" xfId="8990"/>
    <cellStyle name="연결된 셀 7 8 2 2" xfId="8991"/>
    <cellStyle name="연결된 셀 7 8 2 2 2" xfId="26132"/>
    <cellStyle name="연결된 셀 7 8 2 3" xfId="8992"/>
    <cellStyle name="연결된 셀 7 8 2 3 2" xfId="26133"/>
    <cellStyle name="연결된 셀 7 8 2 4" xfId="8993"/>
    <cellStyle name="연결된 셀 7 8 2 4 2" xfId="26134"/>
    <cellStyle name="연결된 셀 7 8 2 5" xfId="26131"/>
    <cellStyle name="연결된 셀 7 8 3" xfId="8994"/>
    <cellStyle name="연결된 셀 7 8 3 2" xfId="8995"/>
    <cellStyle name="연결된 셀 7 8 3 2 2" xfId="26136"/>
    <cellStyle name="연결된 셀 7 8 3 3" xfId="8996"/>
    <cellStyle name="연결된 셀 7 8 3 3 2" xfId="26137"/>
    <cellStyle name="연결된 셀 7 8 3 4" xfId="8997"/>
    <cellStyle name="연결된 셀 7 8 3 4 2" xfId="26138"/>
    <cellStyle name="연결된 셀 7 8 3 5" xfId="26135"/>
    <cellStyle name="연결된 셀 7 8 4" xfId="8998"/>
    <cellStyle name="연결된 셀 7 8 4 2" xfId="8999"/>
    <cellStyle name="연결된 셀 7 8 4 2 2" xfId="26140"/>
    <cellStyle name="연결된 셀 7 8 4 3" xfId="9000"/>
    <cellStyle name="연결된 셀 7 8 4 3 2" xfId="26141"/>
    <cellStyle name="연결된 셀 7 8 4 4" xfId="9001"/>
    <cellStyle name="연결된 셀 7 8 4 4 2" xfId="26142"/>
    <cellStyle name="연결된 셀 7 8 4 5" xfId="26139"/>
    <cellStyle name="연결된 셀 7 8 5" xfId="9002"/>
    <cellStyle name="연결된 셀 7 8 5 2" xfId="26143"/>
    <cellStyle name="연결된 셀 7 8 6" xfId="9003"/>
    <cellStyle name="연결된 셀 7 8 6 2" xfId="26144"/>
    <cellStyle name="연결된 셀 7 8 7" xfId="9004"/>
    <cellStyle name="연결된 셀 7 8 7 2" xfId="26145"/>
    <cellStyle name="연결된 셀 7 8 8" xfId="26130"/>
    <cellStyle name="연결된 셀 7 9" xfId="9005"/>
    <cellStyle name="연결된 셀 7 9 2" xfId="9006"/>
    <cellStyle name="연결된 셀 7 9 2 2" xfId="9007"/>
    <cellStyle name="연결된 셀 7 9 2 2 2" xfId="26148"/>
    <cellStyle name="연결된 셀 7 9 2 3" xfId="9008"/>
    <cellStyle name="연결된 셀 7 9 2 3 2" xfId="26149"/>
    <cellStyle name="연결된 셀 7 9 2 4" xfId="9009"/>
    <cellStyle name="연결된 셀 7 9 2 4 2" xfId="26150"/>
    <cellStyle name="연결된 셀 7 9 2 5" xfId="26147"/>
    <cellStyle name="연결된 셀 7 9 3" xfId="9010"/>
    <cellStyle name="연결된 셀 7 9 3 2" xfId="9011"/>
    <cellStyle name="연결된 셀 7 9 3 2 2" xfId="26152"/>
    <cellStyle name="연결된 셀 7 9 3 3" xfId="9012"/>
    <cellStyle name="연결된 셀 7 9 3 3 2" xfId="26153"/>
    <cellStyle name="연결된 셀 7 9 3 4" xfId="9013"/>
    <cellStyle name="연결된 셀 7 9 3 4 2" xfId="26154"/>
    <cellStyle name="연결된 셀 7 9 3 5" xfId="26151"/>
    <cellStyle name="연결된 셀 7 9 4" xfId="9014"/>
    <cellStyle name="연결된 셀 7 9 4 2" xfId="9015"/>
    <cellStyle name="연결된 셀 7 9 4 2 2" xfId="26156"/>
    <cellStyle name="연결된 셀 7 9 4 3" xfId="9016"/>
    <cellStyle name="연결된 셀 7 9 4 3 2" xfId="26157"/>
    <cellStyle name="연결된 셀 7 9 4 4" xfId="9017"/>
    <cellStyle name="연결된 셀 7 9 4 4 2" xfId="26158"/>
    <cellStyle name="연결된 셀 7 9 4 5" xfId="26155"/>
    <cellStyle name="연결된 셀 7 9 5" xfId="9018"/>
    <cellStyle name="연결된 셀 7 9 5 2" xfId="26159"/>
    <cellStyle name="연결된 셀 7 9 6" xfId="9019"/>
    <cellStyle name="연결된 셀 7 9 6 2" xfId="26160"/>
    <cellStyle name="연결된 셀 7 9 7" xfId="9020"/>
    <cellStyle name="연결된 셀 7 9 7 2" xfId="26161"/>
    <cellStyle name="연결된 셀 7 9 8" xfId="26146"/>
    <cellStyle name="연결된 셀 8" xfId="393"/>
    <cellStyle name="연결된 셀 8 10" xfId="9021"/>
    <cellStyle name="연결된 셀 8 10 2" xfId="9022"/>
    <cellStyle name="연결된 셀 8 10 2 2" xfId="9023"/>
    <cellStyle name="연결된 셀 8 10 2 2 2" xfId="26164"/>
    <cellStyle name="연결된 셀 8 10 2 3" xfId="9024"/>
    <cellStyle name="연결된 셀 8 10 2 3 2" xfId="26165"/>
    <cellStyle name="연결된 셀 8 10 2 4" xfId="9025"/>
    <cellStyle name="연결된 셀 8 10 2 4 2" xfId="26166"/>
    <cellStyle name="연결된 셀 8 10 2 5" xfId="26163"/>
    <cellStyle name="연결된 셀 8 10 3" xfId="9026"/>
    <cellStyle name="연결된 셀 8 10 3 2" xfId="9027"/>
    <cellStyle name="연결된 셀 8 10 3 2 2" xfId="26168"/>
    <cellStyle name="연결된 셀 8 10 3 3" xfId="9028"/>
    <cellStyle name="연결된 셀 8 10 3 3 2" xfId="26169"/>
    <cellStyle name="연결된 셀 8 10 3 4" xfId="9029"/>
    <cellStyle name="연결된 셀 8 10 3 4 2" xfId="26170"/>
    <cellStyle name="연결된 셀 8 10 3 5" xfId="26167"/>
    <cellStyle name="연결된 셀 8 10 4" xfId="9030"/>
    <cellStyle name="연결된 셀 8 10 4 2" xfId="9031"/>
    <cellStyle name="연결된 셀 8 10 4 2 2" xfId="26172"/>
    <cellStyle name="연결된 셀 8 10 4 3" xfId="9032"/>
    <cellStyle name="연결된 셀 8 10 4 3 2" xfId="26173"/>
    <cellStyle name="연결된 셀 8 10 4 4" xfId="9033"/>
    <cellStyle name="연결된 셀 8 10 4 4 2" xfId="26174"/>
    <cellStyle name="연결된 셀 8 10 4 5" xfId="26171"/>
    <cellStyle name="연결된 셀 8 10 5" xfId="9034"/>
    <cellStyle name="연결된 셀 8 10 5 2" xfId="26175"/>
    <cellStyle name="연결된 셀 8 10 6" xfId="9035"/>
    <cellStyle name="연결된 셀 8 10 6 2" xfId="26176"/>
    <cellStyle name="연결된 셀 8 10 7" xfId="9036"/>
    <cellStyle name="연결된 셀 8 10 7 2" xfId="26177"/>
    <cellStyle name="연결된 셀 8 10 8" xfId="26162"/>
    <cellStyle name="연결된 셀 8 11" xfId="9037"/>
    <cellStyle name="연결된 셀 8 11 2" xfId="9038"/>
    <cellStyle name="연결된 셀 8 11 2 2" xfId="9039"/>
    <cellStyle name="연결된 셀 8 11 2 2 2" xfId="26180"/>
    <cellStyle name="연결된 셀 8 11 2 3" xfId="9040"/>
    <cellStyle name="연결된 셀 8 11 2 3 2" xfId="26181"/>
    <cellStyle name="연결된 셀 8 11 2 4" xfId="9041"/>
    <cellStyle name="연결된 셀 8 11 2 4 2" xfId="26182"/>
    <cellStyle name="연결된 셀 8 11 2 5" xfId="26179"/>
    <cellStyle name="연결된 셀 8 11 3" xfId="9042"/>
    <cellStyle name="연결된 셀 8 11 3 2" xfId="9043"/>
    <cellStyle name="연결된 셀 8 11 3 2 2" xfId="26184"/>
    <cellStyle name="연결된 셀 8 11 3 3" xfId="9044"/>
    <cellStyle name="연결된 셀 8 11 3 3 2" xfId="26185"/>
    <cellStyle name="연결된 셀 8 11 3 4" xfId="9045"/>
    <cellStyle name="연결된 셀 8 11 3 4 2" xfId="26186"/>
    <cellStyle name="연결된 셀 8 11 3 5" xfId="26183"/>
    <cellStyle name="연결된 셀 8 11 4" xfId="9046"/>
    <cellStyle name="연결된 셀 8 11 4 2" xfId="9047"/>
    <cellStyle name="연결된 셀 8 11 4 2 2" xfId="26188"/>
    <cellStyle name="연결된 셀 8 11 4 3" xfId="9048"/>
    <cellStyle name="연결된 셀 8 11 4 3 2" xfId="26189"/>
    <cellStyle name="연결된 셀 8 11 4 4" xfId="9049"/>
    <cellStyle name="연결된 셀 8 11 4 4 2" xfId="26190"/>
    <cellStyle name="연결된 셀 8 11 4 5" xfId="26187"/>
    <cellStyle name="연결된 셀 8 11 5" xfId="9050"/>
    <cellStyle name="연결된 셀 8 11 5 2" xfId="26191"/>
    <cellStyle name="연결된 셀 8 11 6" xfId="9051"/>
    <cellStyle name="연결된 셀 8 11 6 2" xfId="26192"/>
    <cellStyle name="연결된 셀 8 11 7" xfId="9052"/>
    <cellStyle name="연결된 셀 8 11 7 2" xfId="26193"/>
    <cellStyle name="연결된 셀 8 11 8" xfId="26178"/>
    <cellStyle name="연결된 셀 8 12" xfId="9053"/>
    <cellStyle name="연결된 셀 8 12 2" xfId="9054"/>
    <cellStyle name="연결된 셀 8 12 2 2" xfId="9055"/>
    <cellStyle name="연결된 셀 8 12 2 2 2" xfId="26196"/>
    <cellStyle name="연결된 셀 8 12 2 3" xfId="9056"/>
    <cellStyle name="연결된 셀 8 12 2 3 2" xfId="26197"/>
    <cellStyle name="연결된 셀 8 12 2 4" xfId="9057"/>
    <cellStyle name="연결된 셀 8 12 2 4 2" xfId="26198"/>
    <cellStyle name="연결된 셀 8 12 2 5" xfId="26195"/>
    <cellStyle name="연결된 셀 8 12 3" xfId="9058"/>
    <cellStyle name="연결된 셀 8 12 3 2" xfId="9059"/>
    <cellStyle name="연결된 셀 8 12 3 2 2" xfId="26200"/>
    <cellStyle name="연결된 셀 8 12 3 3" xfId="9060"/>
    <cellStyle name="연결된 셀 8 12 3 3 2" xfId="26201"/>
    <cellStyle name="연결된 셀 8 12 3 4" xfId="9061"/>
    <cellStyle name="연결된 셀 8 12 3 4 2" xfId="26202"/>
    <cellStyle name="연결된 셀 8 12 3 5" xfId="26199"/>
    <cellStyle name="연결된 셀 8 12 4" xfId="9062"/>
    <cellStyle name="연결된 셀 8 12 4 2" xfId="9063"/>
    <cellStyle name="연결된 셀 8 12 4 2 2" xfId="26204"/>
    <cellStyle name="연결된 셀 8 12 4 3" xfId="9064"/>
    <cellStyle name="연결된 셀 8 12 4 3 2" xfId="26205"/>
    <cellStyle name="연결된 셀 8 12 4 4" xfId="9065"/>
    <cellStyle name="연결된 셀 8 12 4 4 2" xfId="26206"/>
    <cellStyle name="연결된 셀 8 12 4 5" xfId="26203"/>
    <cellStyle name="연결된 셀 8 12 5" xfId="9066"/>
    <cellStyle name="연결된 셀 8 12 5 2" xfId="26207"/>
    <cellStyle name="연결된 셀 8 12 6" xfId="9067"/>
    <cellStyle name="연결된 셀 8 12 6 2" xfId="26208"/>
    <cellStyle name="연결된 셀 8 12 7" xfId="9068"/>
    <cellStyle name="연결된 셀 8 12 7 2" xfId="26209"/>
    <cellStyle name="연결된 셀 8 12 8" xfId="26194"/>
    <cellStyle name="연결된 셀 8 13" xfId="9069"/>
    <cellStyle name="연결된 셀 8 13 2" xfId="9070"/>
    <cellStyle name="연결된 셀 8 13 2 2" xfId="26211"/>
    <cellStyle name="연결된 셀 8 13 3" xfId="9071"/>
    <cellStyle name="연결된 셀 8 13 3 2" xfId="26212"/>
    <cellStyle name="연결된 셀 8 13 4" xfId="9072"/>
    <cellStyle name="연결된 셀 8 13 4 2" xfId="26213"/>
    <cellStyle name="연결된 셀 8 13 5" xfId="26210"/>
    <cellStyle name="연결된 셀 8 14" xfId="9073"/>
    <cellStyle name="연결된 셀 8 14 2" xfId="26214"/>
    <cellStyle name="연결된 셀 8 15" xfId="9074"/>
    <cellStyle name="연결된 셀 8 15 2" xfId="26215"/>
    <cellStyle name="연결된 셀 8 16" xfId="9075"/>
    <cellStyle name="연결된 셀 8 16 2" xfId="26216"/>
    <cellStyle name="연결된 셀 8 17" xfId="17536"/>
    <cellStyle name="연결된 셀 8 2" xfId="884"/>
    <cellStyle name="연결된 셀 8 2 10" xfId="9076"/>
    <cellStyle name="연결된 셀 8 2 10 2" xfId="9077"/>
    <cellStyle name="연결된 셀 8 2 10 2 2" xfId="9078"/>
    <cellStyle name="연결된 셀 8 2 10 2 2 2" xfId="26219"/>
    <cellStyle name="연결된 셀 8 2 10 2 3" xfId="9079"/>
    <cellStyle name="연결된 셀 8 2 10 2 3 2" xfId="26220"/>
    <cellStyle name="연결된 셀 8 2 10 2 4" xfId="9080"/>
    <cellStyle name="연결된 셀 8 2 10 2 4 2" xfId="26221"/>
    <cellStyle name="연결된 셀 8 2 10 2 5" xfId="26218"/>
    <cellStyle name="연결된 셀 8 2 10 3" xfId="9081"/>
    <cellStyle name="연결된 셀 8 2 10 3 2" xfId="9082"/>
    <cellStyle name="연결된 셀 8 2 10 3 2 2" xfId="26223"/>
    <cellStyle name="연결된 셀 8 2 10 3 3" xfId="9083"/>
    <cellStyle name="연결된 셀 8 2 10 3 3 2" xfId="26224"/>
    <cellStyle name="연결된 셀 8 2 10 3 4" xfId="9084"/>
    <cellStyle name="연결된 셀 8 2 10 3 4 2" xfId="26225"/>
    <cellStyle name="연결된 셀 8 2 10 3 5" xfId="26222"/>
    <cellStyle name="연결된 셀 8 2 10 4" xfId="9085"/>
    <cellStyle name="연결된 셀 8 2 10 4 2" xfId="9086"/>
    <cellStyle name="연결된 셀 8 2 10 4 2 2" xfId="26227"/>
    <cellStyle name="연결된 셀 8 2 10 4 3" xfId="9087"/>
    <cellStyle name="연결된 셀 8 2 10 4 3 2" xfId="26228"/>
    <cellStyle name="연결된 셀 8 2 10 4 4" xfId="9088"/>
    <cellStyle name="연결된 셀 8 2 10 4 4 2" xfId="26229"/>
    <cellStyle name="연결된 셀 8 2 10 4 5" xfId="26226"/>
    <cellStyle name="연결된 셀 8 2 10 5" xfId="9089"/>
    <cellStyle name="연결된 셀 8 2 10 5 2" xfId="26230"/>
    <cellStyle name="연결된 셀 8 2 10 6" xfId="9090"/>
    <cellStyle name="연결된 셀 8 2 10 6 2" xfId="26231"/>
    <cellStyle name="연결된 셀 8 2 10 7" xfId="9091"/>
    <cellStyle name="연결된 셀 8 2 10 7 2" xfId="26232"/>
    <cellStyle name="연결된 셀 8 2 10 8" xfId="26217"/>
    <cellStyle name="연결된 셀 8 2 11" xfId="9092"/>
    <cellStyle name="연결된 셀 8 2 11 2" xfId="9093"/>
    <cellStyle name="연결된 셀 8 2 11 2 2" xfId="9094"/>
    <cellStyle name="연결된 셀 8 2 11 2 2 2" xfId="26235"/>
    <cellStyle name="연결된 셀 8 2 11 2 3" xfId="9095"/>
    <cellStyle name="연결된 셀 8 2 11 2 3 2" xfId="26236"/>
    <cellStyle name="연결된 셀 8 2 11 2 4" xfId="9096"/>
    <cellStyle name="연결된 셀 8 2 11 2 4 2" xfId="26237"/>
    <cellStyle name="연결된 셀 8 2 11 2 5" xfId="26234"/>
    <cellStyle name="연결된 셀 8 2 11 3" xfId="9097"/>
    <cellStyle name="연결된 셀 8 2 11 3 2" xfId="9098"/>
    <cellStyle name="연결된 셀 8 2 11 3 2 2" xfId="26239"/>
    <cellStyle name="연결된 셀 8 2 11 3 3" xfId="9099"/>
    <cellStyle name="연결된 셀 8 2 11 3 3 2" xfId="26240"/>
    <cellStyle name="연결된 셀 8 2 11 3 4" xfId="9100"/>
    <cellStyle name="연결된 셀 8 2 11 3 4 2" xfId="26241"/>
    <cellStyle name="연결된 셀 8 2 11 3 5" xfId="26238"/>
    <cellStyle name="연결된 셀 8 2 11 4" xfId="9101"/>
    <cellStyle name="연결된 셀 8 2 11 4 2" xfId="9102"/>
    <cellStyle name="연결된 셀 8 2 11 4 2 2" xfId="26243"/>
    <cellStyle name="연결된 셀 8 2 11 4 3" xfId="9103"/>
    <cellStyle name="연결된 셀 8 2 11 4 3 2" xfId="26244"/>
    <cellStyle name="연결된 셀 8 2 11 4 4" xfId="9104"/>
    <cellStyle name="연결된 셀 8 2 11 4 4 2" xfId="26245"/>
    <cellStyle name="연결된 셀 8 2 11 4 5" xfId="26242"/>
    <cellStyle name="연결된 셀 8 2 11 5" xfId="9105"/>
    <cellStyle name="연결된 셀 8 2 11 5 2" xfId="26246"/>
    <cellStyle name="연결된 셀 8 2 11 6" xfId="9106"/>
    <cellStyle name="연결된 셀 8 2 11 6 2" xfId="26247"/>
    <cellStyle name="연결된 셀 8 2 11 7" xfId="9107"/>
    <cellStyle name="연결된 셀 8 2 11 7 2" xfId="26248"/>
    <cellStyle name="연결된 셀 8 2 11 8" xfId="26233"/>
    <cellStyle name="연결된 셀 8 2 12" xfId="9108"/>
    <cellStyle name="연결된 셀 8 2 12 2" xfId="9109"/>
    <cellStyle name="연결된 셀 8 2 12 2 2" xfId="26250"/>
    <cellStyle name="연결된 셀 8 2 12 3" xfId="9110"/>
    <cellStyle name="연결된 셀 8 2 12 3 2" xfId="26251"/>
    <cellStyle name="연결된 셀 8 2 12 4" xfId="9111"/>
    <cellStyle name="연결된 셀 8 2 12 4 2" xfId="26252"/>
    <cellStyle name="연결된 셀 8 2 12 5" xfId="26249"/>
    <cellStyle name="연결된 셀 8 2 13" xfId="9112"/>
    <cellStyle name="연결된 셀 8 2 13 2" xfId="26253"/>
    <cellStyle name="연결된 셀 8 2 14" xfId="9113"/>
    <cellStyle name="연결된 셀 8 2 14 2" xfId="26254"/>
    <cellStyle name="연결된 셀 8 2 15" xfId="9114"/>
    <cellStyle name="연결된 셀 8 2 15 2" xfId="26255"/>
    <cellStyle name="연결된 셀 8 2 16" xfId="18027"/>
    <cellStyle name="연결된 셀 8 2 2" xfId="9115"/>
    <cellStyle name="연결된 셀 8 2 2 2" xfId="9116"/>
    <cellStyle name="연결된 셀 8 2 2 2 2" xfId="9117"/>
    <cellStyle name="연결된 셀 8 2 2 2 2 2" xfId="26258"/>
    <cellStyle name="연결된 셀 8 2 2 2 3" xfId="9118"/>
    <cellStyle name="연결된 셀 8 2 2 2 3 2" xfId="26259"/>
    <cellStyle name="연결된 셀 8 2 2 2 4" xfId="9119"/>
    <cellStyle name="연결된 셀 8 2 2 2 4 2" xfId="26260"/>
    <cellStyle name="연결된 셀 8 2 2 2 5" xfId="26257"/>
    <cellStyle name="연결된 셀 8 2 2 3" xfId="9120"/>
    <cellStyle name="연결된 셀 8 2 2 3 2" xfId="9121"/>
    <cellStyle name="연결된 셀 8 2 2 3 2 2" xfId="26262"/>
    <cellStyle name="연결된 셀 8 2 2 3 3" xfId="9122"/>
    <cellStyle name="연결된 셀 8 2 2 3 3 2" xfId="26263"/>
    <cellStyle name="연결된 셀 8 2 2 3 4" xfId="9123"/>
    <cellStyle name="연결된 셀 8 2 2 3 4 2" xfId="26264"/>
    <cellStyle name="연결된 셀 8 2 2 3 5" xfId="26261"/>
    <cellStyle name="연결된 셀 8 2 2 4" xfId="9124"/>
    <cellStyle name="연결된 셀 8 2 2 4 2" xfId="9125"/>
    <cellStyle name="연결된 셀 8 2 2 4 2 2" xfId="26266"/>
    <cellStyle name="연결된 셀 8 2 2 4 3" xfId="9126"/>
    <cellStyle name="연결된 셀 8 2 2 4 3 2" xfId="26267"/>
    <cellStyle name="연결된 셀 8 2 2 4 4" xfId="9127"/>
    <cellStyle name="연결된 셀 8 2 2 4 4 2" xfId="26268"/>
    <cellStyle name="연결된 셀 8 2 2 4 5" xfId="26265"/>
    <cellStyle name="연결된 셀 8 2 2 5" xfId="9128"/>
    <cellStyle name="연결된 셀 8 2 2 5 2" xfId="26269"/>
    <cellStyle name="연결된 셀 8 2 2 6" xfId="9129"/>
    <cellStyle name="연결된 셀 8 2 2 6 2" xfId="26270"/>
    <cellStyle name="연결된 셀 8 2 2 7" xfId="9130"/>
    <cellStyle name="연결된 셀 8 2 2 7 2" xfId="26271"/>
    <cellStyle name="연결된 셀 8 2 2 8" xfId="26256"/>
    <cellStyle name="연결된 셀 8 2 3" xfId="9131"/>
    <cellStyle name="연결된 셀 8 2 3 2" xfId="9132"/>
    <cellStyle name="연결된 셀 8 2 3 2 2" xfId="9133"/>
    <cellStyle name="연결된 셀 8 2 3 2 2 2" xfId="26274"/>
    <cellStyle name="연결된 셀 8 2 3 2 3" xfId="9134"/>
    <cellStyle name="연결된 셀 8 2 3 2 3 2" xfId="26275"/>
    <cellStyle name="연결된 셀 8 2 3 2 4" xfId="9135"/>
    <cellStyle name="연결된 셀 8 2 3 2 4 2" xfId="26276"/>
    <cellStyle name="연결된 셀 8 2 3 2 5" xfId="26273"/>
    <cellStyle name="연결된 셀 8 2 3 3" xfId="9136"/>
    <cellStyle name="연결된 셀 8 2 3 3 2" xfId="9137"/>
    <cellStyle name="연결된 셀 8 2 3 3 2 2" xfId="26278"/>
    <cellStyle name="연결된 셀 8 2 3 3 3" xfId="9138"/>
    <cellStyle name="연결된 셀 8 2 3 3 3 2" xfId="26279"/>
    <cellStyle name="연결된 셀 8 2 3 3 4" xfId="9139"/>
    <cellStyle name="연결된 셀 8 2 3 3 4 2" xfId="26280"/>
    <cellStyle name="연결된 셀 8 2 3 3 5" xfId="26277"/>
    <cellStyle name="연결된 셀 8 2 3 4" xfId="9140"/>
    <cellStyle name="연결된 셀 8 2 3 4 2" xfId="9141"/>
    <cellStyle name="연결된 셀 8 2 3 4 2 2" xfId="26282"/>
    <cellStyle name="연결된 셀 8 2 3 4 3" xfId="9142"/>
    <cellStyle name="연결된 셀 8 2 3 4 3 2" xfId="26283"/>
    <cellStyle name="연결된 셀 8 2 3 4 4" xfId="9143"/>
    <cellStyle name="연결된 셀 8 2 3 4 4 2" xfId="26284"/>
    <cellStyle name="연결된 셀 8 2 3 4 5" xfId="26281"/>
    <cellStyle name="연결된 셀 8 2 3 5" xfId="9144"/>
    <cellStyle name="연결된 셀 8 2 3 5 2" xfId="26285"/>
    <cellStyle name="연결된 셀 8 2 3 6" xfId="9145"/>
    <cellStyle name="연결된 셀 8 2 3 6 2" xfId="26286"/>
    <cellStyle name="연결된 셀 8 2 3 7" xfId="9146"/>
    <cellStyle name="연결된 셀 8 2 3 7 2" xfId="26287"/>
    <cellStyle name="연결된 셀 8 2 3 8" xfId="26272"/>
    <cellStyle name="연결된 셀 8 2 4" xfId="9147"/>
    <cellStyle name="연결된 셀 8 2 4 2" xfId="9148"/>
    <cellStyle name="연결된 셀 8 2 4 2 2" xfId="9149"/>
    <cellStyle name="연결된 셀 8 2 4 2 2 2" xfId="26290"/>
    <cellStyle name="연결된 셀 8 2 4 2 3" xfId="9150"/>
    <cellStyle name="연결된 셀 8 2 4 2 3 2" xfId="26291"/>
    <cellStyle name="연결된 셀 8 2 4 2 4" xfId="9151"/>
    <cellStyle name="연결된 셀 8 2 4 2 4 2" xfId="26292"/>
    <cellStyle name="연결된 셀 8 2 4 2 5" xfId="26289"/>
    <cellStyle name="연결된 셀 8 2 4 3" xfId="9152"/>
    <cellStyle name="연결된 셀 8 2 4 3 2" xfId="9153"/>
    <cellStyle name="연결된 셀 8 2 4 3 2 2" xfId="26294"/>
    <cellStyle name="연결된 셀 8 2 4 3 3" xfId="9154"/>
    <cellStyle name="연결된 셀 8 2 4 3 3 2" xfId="26295"/>
    <cellStyle name="연결된 셀 8 2 4 3 4" xfId="9155"/>
    <cellStyle name="연결된 셀 8 2 4 3 4 2" xfId="26296"/>
    <cellStyle name="연결된 셀 8 2 4 3 5" xfId="26293"/>
    <cellStyle name="연결된 셀 8 2 4 4" xfId="9156"/>
    <cellStyle name="연결된 셀 8 2 4 4 2" xfId="9157"/>
    <cellStyle name="연결된 셀 8 2 4 4 2 2" xfId="26298"/>
    <cellStyle name="연결된 셀 8 2 4 4 3" xfId="9158"/>
    <cellStyle name="연결된 셀 8 2 4 4 3 2" xfId="26299"/>
    <cellStyle name="연결된 셀 8 2 4 4 4" xfId="9159"/>
    <cellStyle name="연결된 셀 8 2 4 4 4 2" xfId="26300"/>
    <cellStyle name="연결된 셀 8 2 4 4 5" xfId="26297"/>
    <cellStyle name="연결된 셀 8 2 4 5" xfId="9160"/>
    <cellStyle name="연결된 셀 8 2 4 5 2" xfId="26301"/>
    <cellStyle name="연결된 셀 8 2 4 6" xfId="9161"/>
    <cellStyle name="연결된 셀 8 2 4 6 2" xfId="26302"/>
    <cellStyle name="연결된 셀 8 2 4 7" xfId="9162"/>
    <cellStyle name="연결된 셀 8 2 4 7 2" xfId="26303"/>
    <cellStyle name="연결된 셀 8 2 4 8" xfId="26288"/>
    <cellStyle name="연결된 셀 8 2 5" xfId="9163"/>
    <cellStyle name="연결된 셀 8 2 5 2" xfId="9164"/>
    <cellStyle name="연결된 셀 8 2 5 2 2" xfId="9165"/>
    <cellStyle name="연결된 셀 8 2 5 2 2 2" xfId="26306"/>
    <cellStyle name="연결된 셀 8 2 5 2 3" xfId="9166"/>
    <cellStyle name="연결된 셀 8 2 5 2 3 2" xfId="26307"/>
    <cellStyle name="연결된 셀 8 2 5 2 4" xfId="9167"/>
    <cellStyle name="연결된 셀 8 2 5 2 4 2" xfId="26308"/>
    <cellStyle name="연결된 셀 8 2 5 2 5" xfId="26305"/>
    <cellStyle name="연결된 셀 8 2 5 3" xfId="9168"/>
    <cellStyle name="연결된 셀 8 2 5 3 2" xfId="9169"/>
    <cellStyle name="연결된 셀 8 2 5 3 2 2" xfId="26310"/>
    <cellStyle name="연결된 셀 8 2 5 3 3" xfId="9170"/>
    <cellStyle name="연결된 셀 8 2 5 3 3 2" xfId="26311"/>
    <cellStyle name="연결된 셀 8 2 5 3 4" xfId="9171"/>
    <cellStyle name="연결된 셀 8 2 5 3 4 2" xfId="26312"/>
    <cellStyle name="연결된 셀 8 2 5 3 5" xfId="26309"/>
    <cellStyle name="연결된 셀 8 2 5 4" xfId="9172"/>
    <cellStyle name="연결된 셀 8 2 5 4 2" xfId="9173"/>
    <cellStyle name="연결된 셀 8 2 5 4 2 2" xfId="26314"/>
    <cellStyle name="연결된 셀 8 2 5 4 3" xfId="9174"/>
    <cellStyle name="연결된 셀 8 2 5 4 3 2" xfId="26315"/>
    <cellStyle name="연결된 셀 8 2 5 4 4" xfId="9175"/>
    <cellStyle name="연결된 셀 8 2 5 4 4 2" xfId="26316"/>
    <cellStyle name="연결된 셀 8 2 5 4 5" xfId="26313"/>
    <cellStyle name="연결된 셀 8 2 5 5" xfId="9176"/>
    <cellStyle name="연결된 셀 8 2 5 5 2" xfId="26317"/>
    <cellStyle name="연결된 셀 8 2 5 6" xfId="9177"/>
    <cellStyle name="연결된 셀 8 2 5 6 2" xfId="26318"/>
    <cellStyle name="연결된 셀 8 2 5 7" xfId="9178"/>
    <cellStyle name="연결된 셀 8 2 5 7 2" xfId="26319"/>
    <cellStyle name="연결된 셀 8 2 5 8" xfId="26304"/>
    <cellStyle name="연결된 셀 8 2 6" xfId="9179"/>
    <cellStyle name="연결된 셀 8 2 6 2" xfId="9180"/>
    <cellStyle name="연결된 셀 8 2 6 2 2" xfId="9181"/>
    <cellStyle name="연결된 셀 8 2 6 2 2 2" xfId="26322"/>
    <cellStyle name="연결된 셀 8 2 6 2 3" xfId="9182"/>
    <cellStyle name="연결된 셀 8 2 6 2 3 2" xfId="26323"/>
    <cellStyle name="연결된 셀 8 2 6 2 4" xfId="9183"/>
    <cellStyle name="연결된 셀 8 2 6 2 4 2" xfId="26324"/>
    <cellStyle name="연결된 셀 8 2 6 2 5" xfId="26321"/>
    <cellStyle name="연결된 셀 8 2 6 3" xfId="9184"/>
    <cellStyle name="연결된 셀 8 2 6 3 2" xfId="9185"/>
    <cellStyle name="연결된 셀 8 2 6 3 2 2" xfId="26326"/>
    <cellStyle name="연결된 셀 8 2 6 3 3" xfId="9186"/>
    <cellStyle name="연결된 셀 8 2 6 3 3 2" xfId="26327"/>
    <cellStyle name="연결된 셀 8 2 6 3 4" xfId="9187"/>
    <cellStyle name="연결된 셀 8 2 6 3 4 2" xfId="26328"/>
    <cellStyle name="연결된 셀 8 2 6 3 5" xfId="26325"/>
    <cellStyle name="연결된 셀 8 2 6 4" xfId="9188"/>
    <cellStyle name="연결된 셀 8 2 6 4 2" xfId="9189"/>
    <cellStyle name="연결된 셀 8 2 6 4 2 2" xfId="26330"/>
    <cellStyle name="연결된 셀 8 2 6 4 3" xfId="9190"/>
    <cellStyle name="연결된 셀 8 2 6 4 3 2" xfId="26331"/>
    <cellStyle name="연결된 셀 8 2 6 4 4" xfId="9191"/>
    <cellStyle name="연결된 셀 8 2 6 4 4 2" xfId="26332"/>
    <cellStyle name="연결된 셀 8 2 6 4 5" xfId="26329"/>
    <cellStyle name="연결된 셀 8 2 6 5" xfId="9192"/>
    <cellStyle name="연결된 셀 8 2 6 5 2" xfId="26333"/>
    <cellStyle name="연결된 셀 8 2 6 6" xfId="9193"/>
    <cellStyle name="연결된 셀 8 2 6 6 2" xfId="26334"/>
    <cellStyle name="연결된 셀 8 2 6 7" xfId="9194"/>
    <cellStyle name="연결된 셀 8 2 6 7 2" xfId="26335"/>
    <cellStyle name="연결된 셀 8 2 6 8" xfId="26320"/>
    <cellStyle name="연결된 셀 8 2 7" xfId="9195"/>
    <cellStyle name="연결된 셀 8 2 7 2" xfId="9196"/>
    <cellStyle name="연결된 셀 8 2 7 2 2" xfId="9197"/>
    <cellStyle name="연결된 셀 8 2 7 2 2 2" xfId="26338"/>
    <cellStyle name="연결된 셀 8 2 7 2 3" xfId="9198"/>
    <cellStyle name="연결된 셀 8 2 7 2 3 2" xfId="26339"/>
    <cellStyle name="연결된 셀 8 2 7 2 4" xfId="9199"/>
    <cellStyle name="연결된 셀 8 2 7 2 4 2" xfId="26340"/>
    <cellStyle name="연결된 셀 8 2 7 2 5" xfId="26337"/>
    <cellStyle name="연결된 셀 8 2 7 3" xfId="9200"/>
    <cellStyle name="연결된 셀 8 2 7 3 2" xfId="9201"/>
    <cellStyle name="연결된 셀 8 2 7 3 2 2" xfId="26342"/>
    <cellStyle name="연결된 셀 8 2 7 3 3" xfId="9202"/>
    <cellStyle name="연결된 셀 8 2 7 3 3 2" xfId="26343"/>
    <cellStyle name="연결된 셀 8 2 7 3 4" xfId="9203"/>
    <cellStyle name="연결된 셀 8 2 7 3 4 2" xfId="26344"/>
    <cellStyle name="연결된 셀 8 2 7 3 5" xfId="26341"/>
    <cellStyle name="연결된 셀 8 2 7 4" xfId="9204"/>
    <cellStyle name="연결된 셀 8 2 7 4 2" xfId="9205"/>
    <cellStyle name="연결된 셀 8 2 7 4 2 2" xfId="26346"/>
    <cellStyle name="연결된 셀 8 2 7 4 3" xfId="9206"/>
    <cellStyle name="연결된 셀 8 2 7 4 3 2" xfId="26347"/>
    <cellStyle name="연결된 셀 8 2 7 4 4" xfId="9207"/>
    <cellStyle name="연결된 셀 8 2 7 4 4 2" xfId="26348"/>
    <cellStyle name="연결된 셀 8 2 7 4 5" xfId="26345"/>
    <cellStyle name="연결된 셀 8 2 7 5" xfId="9208"/>
    <cellStyle name="연결된 셀 8 2 7 5 2" xfId="26349"/>
    <cellStyle name="연결된 셀 8 2 7 6" xfId="9209"/>
    <cellStyle name="연결된 셀 8 2 7 6 2" xfId="26350"/>
    <cellStyle name="연결된 셀 8 2 7 7" xfId="9210"/>
    <cellStyle name="연결된 셀 8 2 7 7 2" xfId="26351"/>
    <cellStyle name="연결된 셀 8 2 7 8" xfId="26336"/>
    <cellStyle name="연결된 셀 8 2 8" xfId="9211"/>
    <cellStyle name="연결된 셀 8 2 8 2" xfId="9212"/>
    <cellStyle name="연결된 셀 8 2 8 2 2" xfId="9213"/>
    <cellStyle name="연결된 셀 8 2 8 2 2 2" xfId="26354"/>
    <cellStyle name="연결된 셀 8 2 8 2 3" xfId="9214"/>
    <cellStyle name="연결된 셀 8 2 8 2 3 2" xfId="26355"/>
    <cellStyle name="연결된 셀 8 2 8 2 4" xfId="9215"/>
    <cellStyle name="연결된 셀 8 2 8 2 4 2" xfId="26356"/>
    <cellStyle name="연결된 셀 8 2 8 2 5" xfId="26353"/>
    <cellStyle name="연결된 셀 8 2 8 3" xfId="9216"/>
    <cellStyle name="연결된 셀 8 2 8 3 2" xfId="9217"/>
    <cellStyle name="연결된 셀 8 2 8 3 2 2" xfId="26358"/>
    <cellStyle name="연결된 셀 8 2 8 3 3" xfId="9218"/>
    <cellStyle name="연결된 셀 8 2 8 3 3 2" xfId="26359"/>
    <cellStyle name="연결된 셀 8 2 8 3 4" xfId="9219"/>
    <cellStyle name="연결된 셀 8 2 8 3 4 2" xfId="26360"/>
    <cellStyle name="연결된 셀 8 2 8 3 5" xfId="26357"/>
    <cellStyle name="연결된 셀 8 2 8 4" xfId="9220"/>
    <cellStyle name="연결된 셀 8 2 8 4 2" xfId="9221"/>
    <cellStyle name="연결된 셀 8 2 8 4 2 2" xfId="26362"/>
    <cellStyle name="연결된 셀 8 2 8 4 3" xfId="9222"/>
    <cellStyle name="연결된 셀 8 2 8 4 3 2" xfId="26363"/>
    <cellStyle name="연결된 셀 8 2 8 4 4" xfId="9223"/>
    <cellStyle name="연결된 셀 8 2 8 4 4 2" xfId="26364"/>
    <cellStyle name="연결된 셀 8 2 8 4 5" xfId="26361"/>
    <cellStyle name="연결된 셀 8 2 8 5" xfId="9224"/>
    <cellStyle name="연결된 셀 8 2 8 5 2" xfId="26365"/>
    <cellStyle name="연결된 셀 8 2 8 6" xfId="9225"/>
    <cellStyle name="연결된 셀 8 2 8 6 2" xfId="26366"/>
    <cellStyle name="연결된 셀 8 2 8 7" xfId="9226"/>
    <cellStyle name="연결된 셀 8 2 8 7 2" xfId="26367"/>
    <cellStyle name="연결된 셀 8 2 8 8" xfId="26352"/>
    <cellStyle name="연결된 셀 8 2 9" xfId="9227"/>
    <cellStyle name="연결된 셀 8 2 9 2" xfId="9228"/>
    <cellStyle name="연결된 셀 8 2 9 2 2" xfId="9229"/>
    <cellStyle name="연결된 셀 8 2 9 2 2 2" xfId="26370"/>
    <cellStyle name="연결된 셀 8 2 9 2 3" xfId="9230"/>
    <cellStyle name="연결된 셀 8 2 9 2 3 2" xfId="26371"/>
    <cellStyle name="연결된 셀 8 2 9 2 4" xfId="9231"/>
    <cellStyle name="연결된 셀 8 2 9 2 4 2" xfId="26372"/>
    <cellStyle name="연결된 셀 8 2 9 2 5" xfId="26369"/>
    <cellStyle name="연결된 셀 8 2 9 3" xfId="9232"/>
    <cellStyle name="연결된 셀 8 2 9 3 2" xfId="9233"/>
    <cellStyle name="연결된 셀 8 2 9 3 2 2" xfId="26374"/>
    <cellStyle name="연결된 셀 8 2 9 3 3" xfId="9234"/>
    <cellStyle name="연결된 셀 8 2 9 3 3 2" xfId="26375"/>
    <cellStyle name="연결된 셀 8 2 9 3 4" xfId="9235"/>
    <cellStyle name="연결된 셀 8 2 9 3 4 2" xfId="26376"/>
    <cellStyle name="연결된 셀 8 2 9 3 5" xfId="26373"/>
    <cellStyle name="연결된 셀 8 2 9 4" xfId="9236"/>
    <cellStyle name="연결된 셀 8 2 9 4 2" xfId="9237"/>
    <cellStyle name="연결된 셀 8 2 9 4 2 2" xfId="26378"/>
    <cellStyle name="연결된 셀 8 2 9 4 3" xfId="9238"/>
    <cellStyle name="연결된 셀 8 2 9 4 3 2" xfId="26379"/>
    <cellStyle name="연결된 셀 8 2 9 4 4" xfId="9239"/>
    <cellStyle name="연결된 셀 8 2 9 4 4 2" xfId="26380"/>
    <cellStyle name="연결된 셀 8 2 9 4 5" xfId="26377"/>
    <cellStyle name="연결된 셀 8 2 9 5" xfId="9240"/>
    <cellStyle name="연결된 셀 8 2 9 5 2" xfId="26381"/>
    <cellStyle name="연결된 셀 8 2 9 6" xfId="9241"/>
    <cellStyle name="연결된 셀 8 2 9 6 2" xfId="26382"/>
    <cellStyle name="연결된 셀 8 2 9 7" xfId="9242"/>
    <cellStyle name="연결된 셀 8 2 9 7 2" xfId="26383"/>
    <cellStyle name="연결된 셀 8 2 9 8" xfId="26368"/>
    <cellStyle name="연결된 셀 8 3" xfId="632"/>
    <cellStyle name="연결된 셀 8 3 2" xfId="9243"/>
    <cellStyle name="연결된 셀 8 3 2 2" xfId="9244"/>
    <cellStyle name="연결된 셀 8 3 2 2 2" xfId="26385"/>
    <cellStyle name="연결된 셀 8 3 2 3" xfId="9245"/>
    <cellStyle name="연결된 셀 8 3 2 3 2" xfId="26386"/>
    <cellStyle name="연결된 셀 8 3 2 4" xfId="9246"/>
    <cellStyle name="연결된 셀 8 3 2 4 2" xfId="26387"/>
    <cellStyle name="연결된 셀 8 3 2 5" xfId="26384"/>
    <cellStyle name="연결된 셀 8 3 3" xfId="9247"/>
    <cellStyle name="연결된 셀 8 3 3 2" xfId="9248"/>
    <cellStyle name="연결된 셀 8 3 3 2 2" xfId="26389"/>
    <cellStyle name="연결된 셀 8 3 3 3" xfId="9249"/>
    <cellStyle name="연결된 셀 8 3 3 3 2" xfId="26390"/>
    <cellStyle name="연결된 셀 8 3 3 4" xfId="9250"/>
    <cellStyle name="연결된 셀 8 3 3 4 2" xfId="26391"/>
    <cellStyle name="연결된 셀 8 3 3 5" xfId="26388"/>
    <cellStyle name="연결된 셀 8 3 4" xfId="9251"/>
    <cellStyle name="연결된 셀 8 3 4 2" xfId="9252"/>
    <cellStyle name="연결된 셀 8 3 4 2 2" xfId="26393"/>
    <cellStyle name="연결된 셀 8 3 4 3" xfId="9253"/>
    <cellStyle name="연결된 셀 8 3 4 3 2" xfId="26394"/>
    <cellStyle name="연결된 셀 8 3 4 4" xfId="9254"/>
    <cellStyle name="연결된 셀 8 3 4 4 2" xfId="26395"/>
    <cellStyle name="연결된 셀 8 3 4 5" xfId="26392"/>
    <cellStyle name="연결된 셀 8 3 5" xfId="9255"/>
    <cellStyle name="연결된 셀 8 3 5 2" xfId="26396"/>
    <cellStyle name="연결된 셀 8 3 6" xfId="9256"/>
    <cellStyle name="연결된 셀 8 3 6 2" xfId="26397"/>
    <cellStyle name="연결된 셀 8 3 7" xfId="9257"/>
    <cellStyle name="연결된 셀 8 3 7 2" xfId="26398"/>
    <cellStyle name="연결된 셀 8 3 8" xfId="17775"/>
    <cellStyle name="연결된 셀 8 4" xfId="9258"/>
    <cellStyle name="연결된 셀 8 4 2" xfId="9259"/>
    <cellStyle name="연결된 셀 8 4 2 2" xfId="9260"/>
    <cellStyle name="연결된 셀 8 4 2 2 2" xfId="26401"/>
    <cellStyle name="연결된 셀 8 4 2 3" xfId="9261"/>
    <cellStyle name="연결된 셀 8 4 2 3 2" xfId="26402"/>
    <cellStyle name="연결된 셀 8 4 2 4" xfId="9262"/>
    <cellStyle name="연결된 셀 8 4 2 4 2" xfId="26403"/>
    <cellStyle name="연결된 셀 8 4 2 5" xfId="26400"/>
    <cellStyle name="연결된 셀 8 4 3" xfId="9263"/>
    <cellStyle name="연결된 셀 8 4 3 2" xfId="9264"/>
    <cellStyle name="연결된 셀 8 4 3 2 2" xfId="26405"/>
    <cellStyle name="연결된 셀 8 4 3 3" xfId="9265"/>
    <cellStyle name="연결된 셀 8 4 3 3 2" xfId="26406"/>
    <cellStyle name="연결된 셀 8 4 3 4" xfId="9266"/>
    <cellStyle name="연결된 셀 8 4 3 4 2" xfId="26407"/>
    <cellStyle name="연결된 셀 8 4 3 5" xfId="26404"/>
    <cellStyle name="연결된 셀 8 4 4" xfId="9267"/>
    <cellStyle name="연결된 셀 8 4 4 2" xfId="9268"/>
    <cellStyle name="연결된 셀 8 4 4 2 2" xfId="26409"/>
    <cellStyle name="연결된 셀 8 4 4 3" xfId="9269"/>
    <cellStyle name="연결된 셀 8 4 4 3 2" xfId="26410"/>
    <cellStyle name="연결된 셀 8 4 4 4" xfId="9270"/>
    <cellStyle name="연결된 셀 8 4 4 4 2" xfId="26411"/>
    <cellStyle name="연결된 셀 8 4 4 5" xfId="26408"/>
    <cellStyle name="연결된 셀 8 4 5" xfId="9271"/>
    <cellStyle name="연결된 셀 8 4 5 2" xfId="26412"/>
    <cellStyle name="연결된 셀 8 4 6" xfId="9272"/>
    <cellStyle name="연결된 셀 8 4 6 2" xfId="26413"/>
    <cellStyle name="연결된 셀 8 4 7" xfId="9273"/>
    <cellStyle name="연결된 셀 8 4 7 2" xfId="26414"/>
    <cellStyle name="연결된 셀 8 4 8" xfId="26399"/>
    <cellStyle name="연결된 셀 8 5" xfId="9274"/>
    <cellStyle name="연결된 셀 8 5 2" xfId="9275"/>
    <cellStyle name="연결된 셀 8 5 2 2" xfId="9276"/>
    <cellStyle name="연결된 셀 8 5 2 2 2" xfId="26417"/>
    <cellStyle name="연결된 셀 8 5 2 3" xfId="9277"/>
    <cellStyle name="연결된 셀 8 5 2 3 2" xfId="26418"/>
    <cellStyle name="연결된 셀 8 5 2 4" xfId="9278"/>
    <cellStyle name="연결된 셀 8 5 2 4 2" xfId="26419"/>
    <cellStyle name="연결된 셀 8 5 2 5" xfId="26416"/>
    <cellStyle name="연결된 셀 8 5 3" xfId="9279"/>
    <cellStyle name="연결된 셀 8 5 3 2" xfId="9280"/>
    <cellStyle name="연결된 셀 8 5 3 2 2" xfId="26421"/>
    <cellStyle name="연결된 셀 8 5 3 3" xfId="9281"/>
    <cellStyle name="연결된 셀 8 5 3 3 2" xfId="26422"/>
    <cellStyle name="연결된 셀 8 5 3 4" xfId="9282"/>
    <cellStyle name="연결된 셀 8 5 3 4 2" xfId="26423"/>
    <cellStyle name="연결된 셀 8 5 3 5" xfId="26420"/>
    <cellStyle name="연결된 셀 8 5 4" xfId="9283"/>
    <cellStyle name="연결된 셀 8 5 4 2" xfId="9284"/>
    <cellStyle name="연결된 셀 8 5 4 2 2" xfId="26425"/>
    <cellStyle name="연결된 셀 8 5 4 3" xfId="9285"/>
    <cellStyle name="연결된 셀 8 5 4 3 2" xfId="26426"/>
    <cellStyle name="연결된 셀 8 5 4 4" xfId="9286"/>
    <cellStyle name="연결된 셀 8 5 4 4 2" xfId="26427"/>
    <cellStyle name="연결된 셀 8 5 4 5" xfId="26424"/>
    <cellStyle name="연결된 셀 8 5 5" xfId="9287"/>
    <cellStyle name="연결된 셀 8 5 5 2" xfId="26428"/>
    <cellStyle name="연결된 셀 8 5 6" xfId="9288"/>
    <cellStyle name="연결된 셀 8 5 6 2" xfId="26429"/>
    <cellStyle name="연결된 셀 8 5 7" xfId="9289"/>
    <cellStyle name="연결된 셀 8 5 7 2" xfId="26430"/>
    <cellStyle name="연결된 셀 8 5 8" xfId="26415"/>
    <cellStyle name="연결된 셀 8 6" xfId="9290"/>
    <cellStyle name="연결된 셀 8 6 2" xfId="9291"/>
    <cellStyle name="연결된 셀 8 6 2 2" xfId="9292"/>
    <cellStyle name="연결된 셀 8 6 2 2 2" xfId="26433"/>
    <cellStyle name="연결된 셀 8 6 2 3" xfId="9293"/>
    <cellStyle name="연결된 셀 8 6 2 3 2" xfId="26434"/>
    <cellStyle name="연결된 셀 8 6 2 4" xfId="9294"/>
    <cellStyle name="연결된 셀 8 6 2 4 2" xfId="26435"/>
    <cellStyle name="연결된 셀 8 6 2 5" xfId="26432"/>
    <cellStyle name="연결된 셀 8 6 3" xfId="9295"/>
    <cellStyle name="연결된 셀 8 6 3 2" xfId="9296"/>
    <cellStyle name="연결된 셀 8 6 3 2 2" xfId="26437"/>
    <cellStyle name="연결된 셀 8 6 3 3" xfId="9297"/>
    <cellStyle name="연결된 셀 8 6 3 3 2" xfId="26438"/>
    <cellStyle name="연결된 셀 8 6 3 4" xfId="9298"/>
    <cellStyle name="연결된 셀 8 6 3 4 2" xfId="26439"/>
    <cellStyle name="연결된 셀 8 6 3 5" xfId="26436"/>
    <cellStyle name="연결된 셀 8 6 4" xfId="9299"/>
    <cellStyle name="연결된 셀 8 6 4 2" xfId="9300"/>
    <cellStyle name="연결된 셀 8 6 4 2 2" xfId="26441"/>
    <cellStyle name="연결된 셀 8 6 4 3" xfId="9301"/>
    <cellStyle name="연결된 셀 8 6 4 3 2" xfId="26442"/>
    <cellStyle name="연결된 셀 8 6 4 4" xfId="9302"/>
    <cellStyle name="연결된 셀 8 6 4 4 2" xfId="26443"/>
    <cellStyle name="연결된 셀 8 6 4 5" xfId="26440"/>
    <cellStyle name="연결된 셀 8 6 5" xfId="9303"/>
    <cellStyle name="연결된 셀 8 6 5 2" xfId="26444"/>
    <cellStyle name="연결된 셀 8 6 6" xfId="9304"/>
    <cellStyle name="연결된 셀 8 6 6 2" xfId="26445"/>
    <cellStyle name="연결된 셀 8 6 7" xfId="9305"/>
    <cellStyle name="연결된 셀 8 6 7 2" xfId="26446"/>
    <cellStyle name="연결된 셀 8 6 8" xfId="26431"/>
    <cellStyle name="연결된 셀 8 7" xfId="9306"/>
    <cellStyle name="연결된 셀 8 7 2" xfId="9307"/>
    <cellStyle name="연결된 셀 8 7 2 2" xfId="9308"/>
    <cellStyle name="연결된 셀 8 7 2 2 2" xfId="26449"/>
    <cellStyle name="연결된 셀 8 7 2 3" xfId="9309"/>
    <cellStyle name="연결된 셀 8 7 2 3 2" xfId="26450"/>
    <cellStyle name="연결된 셀 8 7 2 4" xfId="9310"/>
    <cellStyle name="연결된 셀 8 7 2 4 2" xfId="26451"/>
    <cellStyle name="연결된 셀 8 7 2 5" xfId="26448"/>
    <cellStyle name="연결된 셀 8 7 3" xfId="9311"/>
    <cellStyle name="연결된 셀 8 7 3 2" xfId="9312"/>
    <cellStyle name="연결된 셀 8 7 3 2 2" xfId="26453"/>
    <cellStyle name="연결된 셀 8 7 3 3" xfId="9313"/>
    <cellStyle name="연결된 셀 8 7 3 3 2" xfId="26454"/>
    <cellStyle name="연결된 셀 8 7 3 4" xfId="9314"/>
    <cellStyle name="연결된 셀 8 7 3 4 2" xfId="26455"/>
    <cellStyle name="연결된 셀 8 7 3 5" xfId="26452"/>
    <cellStyle name="연결된 셀 8 7 4" xfId="9315"/>
    <cellStyle name="연결된 셀 8 7 4 2" xfId="9316"/>
    <cellStyle name="연결된 셀 8 7 4 2 2" xfId="26457"/>
    <cellStyle name="연결된 셀 8 7 4 3" xfId="9317"/>
    <cellStyle name="연결된 셀 8 7 4 3 2" xfId="26458"/>
    <cellStyle name="연결된 셀 8 7 4 4" xfId="9318"/>
    <cellStyle name="연결된 셀 8 7 4 4 2" xfId="26459"/>
    <cellStyle name="연결된 셀 8 7 4 5" xfId="26456"/>
    <cellStyle name="연결된 셀 8 7 5" xfId="9319"/>
    <cellStyle name="연결된 셀 8 7 5 2" xfId="26460"/>
    <cellStyle name="연결된 셀 8 7 6" xfId="9320"/>
    <cellStyle name="연결된 셀 8 7 6 2" xfId="26461"/>
    <cellStyle name="연결된 셀 8 7 7" xfId="9321"/>
    <cellStyle name="연결된 셀 8 7 7 2" xfId="26462"/>
    <cellStyle name="연결된 셀 8 7 8" xfId="26447"/>
    <cellStyle name="연결된 셀 8 8" xfId="9322"/>
    <cellStyle name="연결된 셀 8 8 2" xfId="9323"/>
    <cellStyle name="연결된 셀 8 8 2 2" xfId="9324"/>
    <cellStyle name="연결된 셀 8 8 2 2 2" xfId="26465"/>
    <cellStyle name="연결된 셀 8 8 2 3" xfId="9325"/>
    <cellStyle name="연결된 셀 8 8 2 3 2" xfId="26466"/>
    <cellStyle name="연결된 셀 8 8 2 4" xfId="9326"/>
    <cellStyle name="연결된 셀 8 8 2 4 2" xfId="26467"/>
    <cellStyle name="연결된 셀 8 8 2 5" xfId="26464"/>
    <cellStyle name="연결된 셀 8 8 3" xfId="9327"/>
    <cellStyle name="연결된 셀 8 8 3 2" xfId="9328"/>
    <cellStyle name="연결된 셀 8 8 3 2 2" xfId="26469"/>
    <cellStyle name="연결된 셀 8 8 3 3" xfId="9329"/>
    <cellStyle name="연결된 셀 8 8 3 3 2" xfId="26470"/>
    <cellStyle name="연결된 셀 8 8 3 4" xfId="9330"/>
    <cellStyle name="연결된 셀 8 8 3 4 2" xfId="26471"/>
    <cellStyle name="연결된 셀 8 8 3 5" xfId="26468"/>
    <cellStyle name="연결된 셀 8 8 4" xfId="9331"/>
    <cellStyle name="연결된 셀 8 8 4 2" xfId="9332"/>
    <cellStyle name="연결된 셀 8 8 4 2 2" xfId="26473"/>
    <cellStyle name="연결된 셀 8 8 4 3" xfId="9333"/>
    <cellStyle name="연결된 셀 8 8 4 3 2" xfId="26474"/>
    <cellStyle name="연결된 셀 8 8 4 4" xfId="9334"/>
    <cellStyle name="연결된 셀 8 8 4 4 2" xfId="26475"/>
    <cellStyle name="연결된 셀 8 8 4 5" xfId="26472"/>
    <cellStyle name="연결된 셀 8 8 5" xfId="9335"/>
    <cellStyle name="연결된 셀 8 8 5 2" xfId="26476"/>
    <cellStyle name="연결된 셀 8 8 6" xfId="9336"/>
    <cellStyle name="연결된 셀 8 8 6 2" xfId="26477"/>
    <cellStyle name="연결된 셀 8 8 7" xfId="9337"/>
    <cellStyle name="연결된 셀 8 8 7 2" xfId="26478"/>
    <cellStyle name="연결된 셀 8 8 8" xfId="26463"/>
    <cellStyle name="연결된 셀 8 9" xfId="9338"/>
    <cellStyle name="연결된 셀 8 9 2" xfId="9339"/>
    <cellStyle name="연결된 셀 8 9 2 2" xfId="9340"/>
    <cellStyle name="연결된 셀 8 9 2 2 2" xfId="26481"/>
    <cellStyle name="연결된 셀 8 9 2 3" xfId="9341"/>
    <cellStyle name="연결된 셀 8 9 2 3 2" xfId="26482"/>
    <cellStyle name="연결된 셀 8 9 2 4" xfId="9342"/>
    <cellStyle name="연결된 셀 8 9 2 4 2" xfId="26483"/>
    <cellStyle name="연결된 셀 8 9 2 5" xfId="26480"/>
    <cellStyle name="연결된 셀 8 9 3" xfId="9343"/>
    <cellStyle name="연결된 셀 8 9 3 2" xfId="9344"/>
    <cellStyle name="연결된 셀 8 9 3 2 2" xfId="26485"/>
    <cellStyle name="연결된 셀 8 9 3 3" xfId="9345"/>
    <cellStyle name="연결된 셀 8 9 3 3 2" xfId="26486"/>
    <cellStyle name="연결된 셀 8 9 3 4" xfId="9346"/>
    <cellStyle name="연결된 셀 8 9 3 4 2" xfId="26487"/>
    <cellStyle name="연결된 셀 8 9 3 5" xfId="26484"/>
    <cellStyle name="연결된 셀 8 9 4" xfId="9347"/>
    <cellStyle name="연결된 셀 8 9 4 2" xfId="9348"/>
    <cellStyle name="연결된 셀 8 9 4 2 2" xfId="26489"/>
    <cellStyle name="연결된 셀 8 9 4 3" xfId="9349"/>
    <cellStyle name="연결된 셀 8 9 4 3 2" xfId="26490"/>
    <cellStyle name="연결된 셀 8 9 4 4" xfId="9350"/>
    <cellStyle name="연결된 셀 8 9 4 4 2" xfId="26491"/>
    <cellStyle name="연결된 셀 8 9 4 5" xfId="26488"/>
    <cellStyle name="연결된 셀 8 9 5" xfId="9351"/>
    <cellStyle name="연결된 셀 8 9 5 2" xfId="26492"/>
    <cellStyle name="연결된 셀 8 9 6" xfId="9352"/>
    <cellStyle name="연결된 셀 8 9 6 2" xfId="26493"/>
    <cellStyle name="연결된 셀 8 9 7" xfId="9353"/>
    <cellStyle name="연결된 셀 8 9 7 2" xfId="26494"/>
    <cellStyle name="연결된 셀 8 9 8" xfId="26479"/>
    <cellStyle name="연결된 셀 9" xfId="447"/>
    <cellStyle name="연결된 셀 9 10" xfId="9354"/>
    <cellStyle name="연결된 셀 9 10 2" xfId="9355"/>
    <cellStyle name="연결된 셀 9 10 2 2" xfId="9356"/>
    <cellStyle name="연결된 셀 9 10 2 2 2" xfId="26497"/>
    <cellStyle name="연결된 셀 9 10 2 3" xfId="9357"/>
    <cellStyle name="연결된 셀 9 10 2 3 2" xfId="26498"/>
    <cellStyle name="연결된 셀 9 10 2 4" xfId="9358"/>
    <cellStyle name="연결된 셀 9 10 2 4 2" xfId="26499"/>
    <cellStyle name="연결된 셀 9 10 2 5" xfId="26496"/>
    <cellStyle name="연결된 셀 9 10 3" xfId="9359"/>
    <cellStyle name="연결된 셀 9 10 3 2" xfId="9360"/>
    <cellStyle name="연결된 셀 9 10 3 2 2" xfId="26501"/>
    <cellStyle name="연결된 셀 9 10 3 3" xfId="9361"/>
    <cellStyle name="연결된 셀 9 10 3 3 2" xfId="26502"/>
    <cellStyle name="연결된 셀 9 10 3 4" xfId="9362"/>
    <cellStyle name="연결된 셀 9 10 3 4 2" xfId="26503"/>
    <cellStyle name="연결된 셀 9 10 3 5" xfId="26500"/>
    <cellStyle name="연결된 셀 9 10 4" xfId="9363"/>
    <cellStyle name="연결된 셀 9 10 4 2" xfId="9364"/>
    <cellStyle name="연결된 셀 9 10 4 2 2" xfId="26505"/>
    <cellStyle name="연결된 셀 9 10 4 3" xfId="9365"/>
    <cellStyle name="연결된 셀 9 10 4 3 2" xfId="26506"/>
    <cellStyle name="연결된 셀 9 10 4 4" xfId="9366"/>
    <cellStyle name="연결된 셀 9 10 4 4 2" xfId="26507"/>
    <cellStyle name="연결된 셀 9 10 4 5" xfId="26504"/>
    <cellStyle name="연결된 셀 9 10 5" xfId="9367"/>
    <cellStyle name="연결된 셀 9 10 5 2" xfId="26508"/>
    <cellStyle name="연결된 셀 9 10 6" xfId="9368"/>
    <cellStyle name="연결된 셀 9 10 6 2" xfId="26509"/>
    <cellStyle name="연결된 셀 9 10 7" xfId="9369"/>
    <cellStyle name="연결된 셀 9 10 7 2" xfId="26510"/>
    <cellStyle name="연결된 셀 9 10 8" xfId="26495"/>
    <cellStyle name="연결된 셀 9 11" xfId="9370"/>
    <cellStyle name="연결된 셀 9 11 2" xfId="9371"/>
    <cellStyle name="연결된 셀 9 11 2 2" xfId="9372"/>
    <cellStyle name="연결된 셀 9 11 2 2 2" xfId="26513"/>
    <cellStyle name="연결된 셀 9 11 2 3" xfId="9373"/>
    <cellStyle name="연결된 셀 9 11 2 3 2" xfId="26514"/>
    <cellStyle name="연결된 셀 9 11 2 4" xfId="9374"/>
    <cellStyle name="연결된 셀 9 11 2 4 2" xfId="26515"/>
    <cellStyle name="연결된 셀 9 11 2 5" xfId="26512"/>
    <cellStyle name="연결된 셀 9 11 3" xfId="9375"/>
    <cellStyle name="연결된 셀 9 11 3 2" xfId="9376"/>
    <cellStyle name="연결된 셀 9 11 3 2 2" xfId="26517"/>
    <cellStyle name="연결된 셀 9 11 3 3" xfId="9377"/>
    <cellStyle name="연결된 셀 9 11 3 3 2" xfId="26518"/>
    <cellStyle name="연결된 셀 9 11 3 4" xfId="9378"/>
    <cellStyle name="연결된 셀 9 11 3 4 2" xfId="26519"/>
    <cellStyle name="연결된 셀 9 11 3 5" xfId="26516"/>
    <cellStyle name="연결된 셀 9 11 4" xfId="9379"/>
    <cellStyle name="연결된 셀 9 11 4 2" xfId="9380"/>
    <cellStyle name="연결된 셀 9 11 4 2 2" xfId="26521"/>
    <cellStyle name="연결된 셀 9 11 4 3" xfId="9381"/>
    <cellStyle name="연결된 셀 9 11 4 3 2" xfId="26522"/>
    <cellStyle name="연결된 셀 9 11 4 4" xfId="9382"/>
    <cellStyle name="연결된 셀 9 11 4 4 2" xfId="26523"/>
    <cellStyle name="연결된 셀 9 11 4 5" xfId="26520"/>
    <cellStyle name="연결된 셀 9 11 5" xfId="9383"/>
    <cellStyle name="연결된 셀 9 11 5 2" xfId="26524"/>
    <cellStyle name="연결된 셀 9 11 6" xfId="9384"/>
    <cellStyle name="연결된 셀 9 11 6 2" xfId="26525"/>
    <cellStyle name="연결된 셀 9 11 7" xfId="9385"/>
    <cellStyle name="연결된 셀 9 11 7 2" xfId="26526"/>
    <cellStyle name="연결된 셀 9 11 8" xfId="26511"/>
    <cellStyle name="연결된 셀 9 12" xfId="9386"/>
    <cellStyle name="연결된 셀 9 12 2" xfId="9387"/>
    <cellStyle name="연결된 셀 9 12 2 2" xfId="9388"/>
    <cellStyle name="연결된 셀 9 12 2 2 2" xfId="26529"/>
    <cellStyle name="연결된 셀 9 12 2 3" xfId="9389"/>
    <cellStyle name="연결된 셀 9 12 2 3 2" xfId="26530"/>
    <cellStyle name="연결된 셀 9 12 2 4" xfId="9390"/>
    <cellStyle name="연결된 셀 9 12 2 4 2" xfId="26531"/>
    <cellStyle name="연결된 셀 9 12 2 5" xfId="26528"/>
    <cellStyle name="연결된 셀 9 12 3" xfId="9391"/>
    <cellStyle name="연결된 셀 9 12 3 2" xfId="9392"/>
    <cellStyle name="연결된 셀 9 12 3 2 2" xfId="26533"/>
    <cellStyle name="연결된 셀 9 12 3 3" xfId="9393"/>
    <cellStyle name="연결된 셀 9 12 3 3 2" xfId="26534"/>
    <cellStyle name="연결된 셀 9 12 3 4" xfId="9394"/>
    <cellStyle name="연결된 셀 9 12 3 4 2" xfId="26535"/>
    <cellStyle name="연결된 셀 9 12 3 5" xfId="26532"/>
    <cellStyle name="연결된 셀 9 12 4" xfId="9395"/>
    <cellStyle name="연결된 셀 9 12 4 2" xfId="9396"/>
    <cellStyle name="연결된 셀 9 12 4 2 2" xfId="26537"/>
    <cellStyle name="연결된 셀 9 12 4 3" xfId="9397"/>
    <cellStyle name="연결된 셀 9 12 4 3 2" xfId="26538"/>
    <cellStyle name="연결된 셀 9 12 4 4" xfId="9398"/>
    <cellStyle name="연결된 셀 9 12 4 4 2" xfId="26539"/>
    <cellStyle name="연결된 셀 9 12 4 5" xfId="26536"/>
    <cellStyle name="연결된 셀 9 12 5" xfId="9399"/>
    <cellStyle name="연결된 셀 9 12 5 2" xfId="26540"/>
    <cellStyle name="연결된 셀 9 12 6" xfId="9400"/>
    <cellStyle name="연결된 셀 9 12 6 2" xfId="26541"/>
    <cellStyle name="연결된 셀 9 12 7" xfId="9401"/>
    <cellStyle name="연결된 셀 9 12 7 2" xfId="26542"/>
    <cellStyle name="연결된 셀 9 12 8" xfId="26527"/>
    <cellStyle name="연결된 셀 9 13" xfId="9402"/>
    <cellStyle name="연결된 셀 9 13 2" xfId="9403"/>
    <cellStyle name="연결된 셀 9 13 2 2" xfId="26544"/>
    <cellStyle name="연결된 셀 9 13 3" xfId="9404"/>
    <cellStyle name="연결된 셀 9 13 3 2" xfId="26545"/>
    <cellStyle name="연결된 셀 9 13 4" xfId="9405"/>
    <cellStyle name="연결된 셀 9 13 4 2" xfId="26546"/>
    <cellStyle name="연결된 셀 9 13 5" xfId="26543"/>
    <cellStyle name="연결된 셀 9 14" xfId="9406"/>
    <cellStyle name="연결된 셀 9 14 2" xfId="26547"/>
    <cellStyle name="연결된 셀 9 15" xfId="9407"/>
    <cellStyle name="연결된 셀 9 15 2" xfId="26548"/>
    <cellStyle name="연결된 셀 9 16" xfId="9408"/>
    <cellStyle name="연결된 셀 9 16 2" xfId="26549"/>
    <cellStyle name="연결된 셀 9 17" xfId="17590"/>
    <cellStyle name="연결된 셀 9 2" xfId="923"/>
    <cellStyle name="연결된 셀 9 2 10" xfId="9409"/>
    <cellStyle name="연결된 셀 9 2 10 2" xfId="9410"/>
    <cellStyle name="연결된 셀 9 2 10 2 2" xfId="9411"/>
    <cellStyle name="연결된 셀 9 2 10 2 2 2" xfId="26552"/>
    <cellStyle name="연결된 셀 9 2 10 2 3" xfId="9412"/>
    <cellStyle name="연결된 셀 9 2 10 2 3 2" xfId="26553"/>
    <cellStyle name="연결된 셀 9 2 10 2 4" xfId="9413"/>
    <cellStyle name="연결된 셀 9 2 10 2 4 2" xfId="26554"/>
    <cellStyle name="연결된 셀 9 2 10 2 5" xfId="26551"/>
    <cellStyle name="연결된 셀 9 2 10 3" xfId="9414"/>
    <cellStyle name="연결된 셀 9 2 10 3 2" xfId="9415"/>
    <cellStyle name="연결된 셀 9 2 10 3 2 2" xfId="26556"/>
    <cellStyle name="연결된 셀 9 2 10 3 3" xfId="9416"/>
    <cellStyle name="연결된 셀 9 2 10 3 3 2" xfId="26557"/>
    <cellStyle name="연결된 셀 9 2 10 3 4" xfId="9417"/>
    <cellStyle name="연결된 셀 9 2 10 3 4 2" xfId="26558"/>
    <cellStyle name="연결된 셀 9 2 10 3 5" xfId="26555"/>
    <cellStyle name="연결된 셀 9 2 10 4" xfId="9418"/>
    <cellStyle name="연결된 셀 9 2 10 4 2" xfId="9419"/>
    <cellStyle name="연결된 셀 9 2 10 4 2 2" xfId="26560"/>
    <cellStyle name="연결된 셀 9 2 10 4 3" xfId="9420"/>
    <cellStyle name="연결된 셀 9 2 10 4 3 2" xfId="26561"/>
    <cellStyle name="연결된 셀 9 2 10 4 4" xfId="9421"/>
    <cellStyle name="연결된 셀 9 2 10 4 4 2" xfId="26562"/>
    <cellStyle name="연결된 셀 9 2 10 4 5" xfId="26559"/>
    <cellStyle name="연결된 셀 9 2 10 5" xfId="9422"/>
    <cellStyle name="연결된 셀 9 2 10 5 2" xfId="26563"/>
    <cellStyle name="연결된 셀 9 2 10 6" xfId="9423"/>
    <cellStyle name="연결된 셀 9 2 10 6 2" xfId="26564"/>
    <cellStyle name="연결된 셀 9 2 10 7" xfId="9424"/>
    <cellStyle name="연결된 셀 9 2 10 7 2" xfId="26565"/>
    <cellStyle name="연결된 셀 9 2 10 8" xfId="26550"/>
    <cellStyle name="연결된 셀 9 2 11" xfId="9425"/>
    <cellStyle name="연결된 셀 9 2 11 2" xfId="9426"/>
    <cellStyle name="연결된 셀 9 2 11 2 2" xfId="9427"/>
    <cellStyle name="연결된 셀 9 2 11 2 2 2" xfId="26568"/>
    <cellStyle name="연결된 셀 9 2 11 2 3" xfId="9428"/>
    <cellStyle name="연결된 셀 9 2 11 2 3 2" xfId="26569"/>
    <cellStyle name="연결된 셀 9 2 11 2 4" xfId="9429"/>
    <cellStyle name="연결된 셀 9 2 11 2 4 2" xfId="26570"/>
    <cellStyle name="연결된 셀 9 2 11 2 5" xfId="26567"/>
    <cellStyle name="연결된 셀 9 2 11 3" xfId="9430"/>
    <cellStyle name="연결된 셀 9 2 11 3 2" xfId="9431"/>
    <cellStyle name="연결된 셀 9 2 11 3 2 2" xfId="26572"/>
    <cellStyle name="연결된 셀 9 2 11 3 3" xfId="9432"/>
    <cellStyle name="연결된 셀 9 2 11 3 3 2" xfId="26573"/>
    <cellStyle name="연결된 셀 9 2 11 3 4" xfId="9433"/>
    <cellStyle name="연결된 셀 9 2 11 3 4 2" xfId="26574"/>
    <cellStyle name="연결된 셀 9 2 11 3 5" xfId="26571"/>
    <cellStyle name="연결된 셀 9 2 11 4" xfId="9434"/>
    <cellStyle name="연결된 셀 9 2 11 4 2" xfId="9435"/>
    <cellStyle name="연결된 셀 9 2 11 4 2 2" xfId="26576"/>
    <cellStyle name="연결된 셀 9 2 11 4 3" xfId="9436"/>
    <cellStyle name="연결된 셀 9 2 11 4 3 2" xfId="26577"/>
    <cellStyle name="연결된 셀 9 2 11 4 4" xfId="9437"/>
    <cellStyle name="연결된 셀 9 2 11 4 4 2" xfId="26578"/>
    <cellStyle name="연결된 셀 9 2 11 4 5" xfId="26575"/>
    <cellStyle name="연결된 셀 9 2 11 5" xfId="9438"/>
    <cellStyle name="연결된 셀 9 2 11 5 2" xfId="26579"/>
    <cellStyle name="연결된 셀 9 2 11 6" xfId="9439"/>
    <cellStyle name="연결된 셀 9 2 11 6 2" xfId="26580"/>
    <cellStyle name="연결된 셀 9 2 11 7" xfId="9440"/>
    <cellStyle name="연결된 셀 9 2 11 7 2" xfId="26581"/>
    <cellStyle name="연결된 셀 9 2 11 8" xfId="26566"/>
    <cellStyle name="연결된 셀 9 2 12" xfId="9441"/>
    <cellStyle name="연결된 셀 9 2 12 2" xfId="9442"/>
    <cellStyle name="연결된 셀 9 2 12 2 2" xfId="26583"/>
    <cellStyle name="연결된 셀 9 2 12 3" xfId="9443"/>
    <cellStyle name="연결된 셀 9 2 12 3 2" xfId="26584"/>
    <cellStyle name="연결된 셀 9 2 12 4" xfId="9444"/>
    <cellStyle name="연결된 셀 9 2 12 4 2" xfId="26585"/>
    <cellStyle name="연결된 셀 9 2 12 5" xfId="26582"/>
    <cellStyle name="연결된 셀 9 2 13" xfId="9445"/>
    <cellStyle name="연결된 셀 9 2 13 2" xfId="26586"/>
    <cellStyle name="연결된 셀 9 2 14" xfId="9446"/>
    <cellStyle name="연결된 셀 9 2 14 2" xfId="26587"/>
    <cellStyle name="연결된 셀 9 2 15" xfId="9447"/>
    <cellStyle name="연결된 셀 9 2 15 2" xfId="26588"/>
    <cellStyle name="연결된 셀 9 2 16" xfId="18066"/>
    <cellStyle name="연결된 셀 9 2 2" xfId="9448"/>
    <cellStyle name="연결된 셀 9 2 2 2" xfId="9449"/>
    <cellStyle name="연결된 셀 9 2 2 2 2" xfId="9450"/>
    <cellStyle name="연결된 셀 9 2 2 2 2 2" xfId="26591"/>
    <cellStyle name="연결된 셀 9 2 2 2 3" xfId="9451"/>
    <cellStyle name="연결된 셀 9 2 2 2 3 2" xfId="26592"/>
    <cellStyle name="연결된 셀 9 2 2 2 4" xfId="9452"/>
    <cellStyle name="연결된 셀 9 2 2 2 4 2" xfId="26593"/>
    <cellStyle name="연결된 셀 9 2 2 2 5" xfId="26590"/>
    <cellStyle name="연결된 셀 9 2 2 3" xfId="9453"/>
    <cellStyle name="연결된 셀 9 2 2 3 2" xfId="9454"/>
    <cellStyle name="연결된 셀 9 2 2 3 2 2" xfId="26595"/>
    <cellStyle name="연결된 셀 9 2 2 3 3" xfId="9455"/>
    <cellStyle name="연결된 셀 9 2 2 3 3 2" xfId="26596"/>
    <cellStyle name="연결된 셀 9 2 2 3 4" xfId="9456"/>
    <cellStyle name="연결된 셀 9 2 2 3 4 2" xfId="26597"/>
    <cellStyle name="연결된 셀 9 2 2 3 5" xfId="26594"/>
    <cellStyle name="연결된 셀 9 2 2 4" xfId="9457"/>
    <cellStyle name="연결된 셀 9 2 2 4 2" xfId="9458"/>
    <cellStyle name="연결된 셀 9 2 2 4 2 2" xfId="26599"/>
    <cellStyle name="연결된 셀 9 2 2 4 3" xfId="9459"/>
    <cellStyle name="연결된 셀 9 2 2 4 3 2" xfId="26600"/>
    <cellStyle name="연결된 셀 9 2 2 4 4" xfId="9460"/>
    <cellStyle name="연결된 셀 9 2 2 4 4 2" xfId="26601"/>
    <cellStyle name="연결된 셀 9 2 2 4 5" xfId="26598"/>
    <cellStyle name="연결된 셀 9 2 2 5" xfId="9461"/>
    <cellStyle name="연결된 셀 9 2 2 5 2" xfId="26602"/>
    <cellStyle name="연결된 셀 9 2 2 6" xfId="9462"/>
    <cellStyle name="연결된 셀 9 2 2 6 2" xfId="26603"/>
    <cellStyle name="연결된 셀 9 2 2 7" xfId="9463"/>
    <cellStyle name="연결된 셀 9 2 2 7 2" xfId="26604"/>
    <cellStyle name="연결된 셀 9 2 2 8" xfId="26589"/>
    <cellStyle name="연결된 셀 9 2 3" xfId="9464"/>
    <cellStyle name="연결된 셀 9 2 3 2" xfId="9465"/>
    <cellStyle name="연결된 셀 9 2 3 2 2" xfId="9466"/>
    <cellStyle name="연결된 셀 9 2 3 2 2 2" xfId="26607"/>
    <cellStyle name="연결된 셀 9 2 3 2 3" xfId="9467"/>
    <cellStyle name="연결된 셀 9 2 3 2 3 2" xfId="26608"/>
    <cellStyle name="연결된 셀 9 2 3 2 4" xfId="9468"/>
    <cellStyle name="연결된 셀 9 2 3 2 4 2" xfId="26609"/>
    <cellStyle name="연결된 셀 9 2 3 2 5" xfId="26606"/>
    <cellStyle name="연결된 셀 9 2 3 3" xfId="9469"/>
    <cellStyle name="연결된 셀 9 2 3 3 2" xfId="9470"/>
    <cellStyle name="연결된 셀 9 2 3 3 2 2" xfId="26611"/>
    <cellStyle name="연결된 셀 9 2 3 3 3" xfId="9471"/>
    <cellStyle name="연결된 셀 9 2 3 3 3 2" xfId="26612"/>
    <cellStyle name="연결된 셀 9 2 3 3 4" xfId="9472"/>
    <cellStyle name="연결된 셀 9 2 3 3 4 2" xfId="26613"/>
    <cellStyle name="연결된 셀 9 2 3 3 5" xfId="26610"/>
    <cellStyle name="연결된 셀 9 2 3 4" xfId="9473"/>
    <cellStyle name="연결된 셀 9 2 3 4 2" xfId="9474"/>
    <cellStyle name="연결된 셀 9 2 3 4 2 2" xfId="26615"/>
    <cellStyle name="연결된 셀 9 2 3 4 3" xfId="9475"/>
    <cellStyle name="연결된 셀 9 2 3 4 3 2" xfId="26616"/>
    <cellStyle name="연결된 셀 9 2 3 4 4" xfId="9476"/>
    <cellStyle name="연결된 셀 9 2 3 4 4 2" xfId="26617"/>
    <cellStyle name="연결된 셀 9 2 3 4 5" xfId="26614"/>
    <cellStyle name="연결된 셀 9 2 3 5" xfId="9477"/>
    <cellStyle name="연결된 셀 9 2 3 5 2" xfId="26618"/>
    <cellStyle name="연결된 셀 9 2 3 6" xfId="9478"/>
    <cellStyle name="연결된 셀 9 2 3 6 2" xfId="26619"/>
    <cellStyle name="연결된 셀 9 2 3 7" xfId="9479"/>
    <cellStyle name="연결된 셀 9 2 3 7 2" xfId="26620"/>
    <cellStyle name="연결된 셀 9 2 3 8" xfId="26605"/>
    <cellStyle name="연결된 셀 9 2 4" xfId="9480"/>
    <cellStyle name="연결된 셀 9 2 4 2" xfId="9481"/>
    <cellStyle name="연결된 셀 9 2 4 2 2" xfId="9482"/>
    <cellStyle name="연결된 셀 9 2 4 2 2 2" xfId="26623"/>
    <cellStyle name="연결된 셀 9 2 4 2 3" xfId="9483"/>
    <cellStyle name="연결된 셀 9 2 4 2 3 2" xfId="26624"/>
    <cellStyle name="연결된 셀 9 2 4 2 4" xfId="9484"/>
    <cellStyle name="연결된 셀 9 2 4 2 4 2" xfId="26625"/>
    <cellStyle name="연결된 셀 9 2 4 2 5" xfId="26622"/>
    <cellStyle name="연결된 셀 9 2 4 3" xfId="9485"/>
    <cellStyle name="연결된 셀 9 2 4 3 2" xfId="9486"/>
    <cellStyle name="연결된 셀 9 2 4 3 2 2" xfId="26627"/>
    <cellStyle name="연결된 셀 9 2 4 3 3" xfId="9487"/>
    <cellStyle name="연결된 셀 9 2 4 3 3 2" xfId="26628"/>
    <cellStyle name="연결된 셀 9 2 4 3 4" xfId="9488"/>
    <cellStyle name="연결된 셀 9 2 4 3 4 2" xfId="26629"/>
    <cellStyle name="연결된 셀 9 2 4 3 5" xfId="26626"/>
    <cellStyle name="연결된 셀 9 2 4 4" xfId="9489"/>
    <cellStyle name="연결된 셀 9 2 4 4 2" xfId="9490"/>
    <cellStyle name="연결된 셀 9 2 4 4 2 2" xfId="26631"/>
    <cellStyle name="연결된 셀 9 2 4 4 3" xfId="9491"/>
    <cellStyle name="연결된 셀 9 2 4 4 3 2" xfId="26632"/>
    <cellStyle name="연결된 셀 9 2 4 4 4" xfId="9492"/>
    <cellStyle name="연결된 셀 9 2 4 4 4 2" xfId="26633"/>
    <cellStyle name="연결된 셀 9 2 4 4 5" xfId="26630"/>
    <cellStyle name="연결된 셀 9 2 4 5" xfId="9493"/>
    <cellStyle name="연결된 셀 9 2 4 5 2" xfId="26634"/>
    <cellStyle name="연결된 셀 9 2 4 6" xfId="9494"/>
    <cellStyle name="연결된 셀 9 2 4 6 2" xfId="26635"/>
    <cellStyle name="연결된 셀 9 2 4 7" xfId="9495"/>
    <cellStyle name="연결된 셀 9 2 4 7 2" xfId="26636"/>
    <cellStyle name="연결된 셀 9 2 4 8" xfId="26621"/>
    <cellStyle name="연결된 셀 9 2 5" xfId="9496"/>
    <cellStyle name="연결된 셀 9 2 5 2" xfId="9497"/>
    <cellStyle name="연결된 셀 9 2 5 2 2" xfId="9498"/>
    <cellStyle name="연결된 셀 9 2 5 2 2 2" xfId="26639"/>
    <cellStyle name="연결된 셀 9 2 5 2 3" xfId="9499"/>
    <cellStyle name="연결된 셀 9 2 5 2 3 2" xfId="26640"/>
    <cellStyle name="연결된 셀 9 2 5 2 4" xfId="9500"/>
    <cellStyle name="연결된 셀 9 2 5 2 4 2" xfId="26641"/>
    <cellStyle name="연결된 셀 9 2 5 2 5" xfId="26638"/>
    <cellStyle name="연결된 셀 9 2 5 3" xfId="9501"/>
    <cellStyle name="연결된 셀 9 2 5 3 2" xfId="9502"/>
    <cellStyle name="연결된 셀 9 2 5 3 2 2" xfId="26643"/>
    <cellStyle name="연결된 셀 9 2 5 3 3" xfId="9503"/>
    <cellStyle name="연결된 셀 9 2 5 3 3 2" xfId="26644"/>
    <cellStyle name="연결된 셀 9 2 5 3 4" xfId="9504"/>
    <cellStyle name="연결된 셀 9 2 5 3 4 2" xfId="26645"/>
    <cellStyle name="연결된 셀 9 2 5 3 5" xfId="26642"/>
    <cellStyle name="연결된 셀 9 2 5 4" xfId="9505"/>
    <cellStyle name="연결된 셀 9 2 5 4 2" xfId="9506"/>
    <cellStyle name="연결된 셀 9 2 5 4 2 2" xfId="26647"/>
    <cellStyle name="연결된 셀 9 2 5 4 3" xfId="9507"/>
    <cellStyle name="연결된 셀 9 2 5 4 3 2" xfId="26648"/>
    <cellStyle name="연결된 셀 9 2 5 4 4" xfId="9508"/>
    <cellStyle name="연결된 셀 9 2 5 4 4 2" xfId="26649"/>
    <cellStyle name="연결된 셀 9 2 5 4 5" xfId="26646"/>
    <cellStyle name="연결된 셀 9 2 5 5" xfId="9509"/>
    <cellStyle name="연결된 셀 9 2 5 5 2" xfId="26650"/>
    <cellStyle name="연결된 셀 9 2 5 6" xfId="9510"/>
    <cellStyle name="연결된 셀 9 2 5 6 2" xfId="26651"/>
    <cellStyle name="연결된 셀 9 2 5 7" xfId="9511"/>
    <cellStyle name="연결된 셀 9 2 5 7 2" xfId="26652"/>
    <cellStyle name="연결된 셀 9 2 5 8" xfId="26637"/>
    <cellStyle name="연결된 셀 9 2 6" xfId="9512"/>
    <cellStyle name="연결된 셀 9 2 6 2" xfId="9513"/>
    <cellStyle name="연결된 셀 9 2 6 2 2" xfId="9514"/>
    <cellStyle name="연결된 셀 9 2 6 2 2 2" xfId="26655"/>
    <cellStyle name="연결된 셀 9 2 6 2 3" xfId="9515"/>
    <cellStyle name="연결된 셀 9 2 6 2 3 2" xfId="26656"/>
    <cellStyle name="연결된 셀 9 2 6 2 4" xfId="9516"/>
    <cellStyle name="연결된 셀 9 2 6 2 4 2" xfId="26657"/>
    <cellStyle name="연결된 셀 9 2 6 2 5" xfId="26654"/>
    <cellStyle name="연결된 셀 9 2 6 3" xfId="9517"/>
    <cellStyle name="연결된 셀 9 2 6 3 2" xfId="9518"/>
    <cellStyle name="연결된 셀 9 2 6 3 2 2" xfId="26659"/>
    <cellStyle name="연결된 셀 9 2 6 3 3" xfId="9519"/>
    <cellStyle name="연결된 셀 9 2 6 3 3 2" xfId="26660"/>
    <cellStyle name="연결된 셀 9 2 6 3 4" xfId="9520"/>
    <cellStyle name="연결된 셀 9 2 6 3 4 2" xfId="26661"/>
    <cellStyle name="연결된 셀 9 2 6 3 5" xfId="26658"/>
    <cellStyle name="연결된 셀 9 2 6 4" xfId="9521"/>
    <cellStyle name="연결된 셀 9 2 6 4 2" xfId="9522"/>
    <cellStyle name="연결된 셀 9 2 6 4 2 2" xfId="26663"/>
    <cellStyle name="연결된 셀 9 2 6 4 3" xfId="9523"/>
    <cellStyle name="연결된 셀 9 2 6 4 3 2" xfId="26664"/>
    <cellStyle name="연결된 셀 9 2 6 4 4" xfId="9524"/>
    <cellStyle name="연결된 셀 9 2 6 4 4 2" xfId="26665"/>
    <cellStyle name="연결된 셀 9 2 6 4 5" xfId="26662"/>
    <cellStyle name="연결된 셀 9 2 6 5" xfId="9525"/>
    <cellStyle name="연결된 셀 9 2 6 5 2" xfId="26666"/>
    <cellStyle name="연결된 셀 9 2 6 6" xfId="9526"/>
    <cellStyle name="연결된 셀 9 2 6 6 2" xfId="26667"/>
    <cellStyle name="연결된 셀 9 2 6 7" xfId="9527"/>
    <cellStyle name="연결된 셀 9 2 6 7 2" xfId="26668"/>
    <cellStyle name="연결된 셀 9 2 6 8" xfId="26653"/>
    <cellStyle name="연결된 셀 9 2 7" xfId="9528"/>
    <cellStyle name="연결된 셀 9 2 7 2" xfId="9529"/>
    <cellStyle name="연결된 셀 9 2 7 2 2" xfId="9530"/>
    <cellStyle name="연결된 셀 9 2 7 2 2 2" xfId="26671"/>
    <cellStyle name="연결된 셀 9 2 7 2 3" xfId="9531"/>
    <cellStyle name="연결된 셀 9 2 7 2 3 2" xfId="26672"/>
    <cellStyle name="연결된 셀 9 2 7 2 4" xfId="9532"/>
    <cellStyle name="연결된 셀 9 2 7 2 4 2" xfId="26673"/>
    <cellStyle name="연결된 셀 9 2 7 2 5" xfId="26670"/>
    <cellStyle name="연결된 셀 9 2 7 3" xfId="9533"/>
    <cellStyle name="연결된 셀 9 2 7 3 2" xfId="9534"/>
    <cellStyle name="연결된 셀 9 2 7 3 2 2" xfId="26675"/>
    <cellStyle name="연결된 셀 9 2 7 3 3" xfId="9535"/>
    <cellStyle name="연결된 셀 9 2 7 3 3 2" xfId="26676"/>
    <cellStyle name="연결된 셀 9 2 7 3 4" xfId="9536"/>
    <cellStyle name="연결된 셀 9 2 7 3 4 2" xfId="26677"/>
    <cellStyle name="연결된 셀 9 2 7 3 5" xfId="26674"/>
    <cellStyle name="연결된 셀 9 2 7 4" xfId="9537"/>
    <cellStyle name="연결된 셀 9 2 7 4 2" xfId="9538"/>
    <cellStyle name="연결된 셀 9 2 7 4 2 2" xfId="26679"/>
    <cellStyle name="연결된 셀 9 2 7 4 3" xfId="9539"/>
    <cellStyle name="연결된 셀 9 2 7 4 3 2" xfId="26680"/>
    <cellStyle name="연결된 셀 9 2 7 4 4" xfId="9540"/>
    <cellStyle name="연결된 셀 9 2 7 4 4 2" xfId="26681"/>
    <cellStyle name="연결된 셀 9 2 7 4 5" xfId="26678"/>
    <cellStyle name="연결된 셀 9 2 7 5" xfId="9541"/>
    <cellStyle name="연결된 셀 9 2 7 5 2" xfId="26682"/>
    <cellStyle name="연결된 셀 9 2 7 6" xfId="9542"/>
    <cellStyle name="연결된 셀 9 2 7 6 2" xfId="26683"/>
    <cellStyle name="연결된 셀 9 2 7 7" xfId="9543"/>
    <cellStyle name="연결된 셀 9 2 7 7 2" xfId="26684"/>
    <cellStyle name="연결된 셀 9 2 7 8" xfId="26669"/>
    <cellStyle name="연결된 셀 9 2 8" xfId="9544"/>
    <cellStyle name="연결된 셀 9 2 8 2" xfId="9545"/>
    <cellStyle name="연결된 셀 9 2 8 2 2" xfId="9546"/>
    <cellStyle name="연결된 셀 9 2 8 2 2 2" xfId="26687"/>
    <cellStyle name="연결된 셀 9 2 8 2 3" xfId="9547"/>
    <cellStyle name="연결된 셀 9 2 8 2 3 2" xfId="26688"/>
    <cellStyle name="연결된 셀 9 2 8 2 4" xfId="9548"/>
    <cellStyle name="연결된 셀 9 2 8 2 4 2" xfId="26689"/>
    <cellStyle name="연결된 셀 9 2 8 2 5" xfId="26686"/>
    <cellStyle name="연결된 셀 9 2 8 3" xfId="9549"/>
    <cellStyle name="연결된 셀 9 2 8 3 2" xfId="9550"/>
    <cellStyle name="연결된 셀 9 2 8 3 2 2" xfId="26691"/>
    <cellStyle name="연결된 셀 9 2 8 3 3" xfId="9551"/>
    <cellStyle name="연결된 셀 9 2 8 3 3 2" xfId="26692"/>
    <cellStyle name="연결된 셀 9 2 8 3 4" xfId="9552"/>
    <cellStyle name="연결된 셀 9 2 8 3 4 2" xfId="26693"/>
    <cellStyle name="연결된 셀 9 2 8 3 5" xfId="26690"/>
    <cellStyle name="연결된 셀 9 2 8 4" xfId="9553"/>
    <cellStyle name="연결된 셀 9 2 8 4 2" xfId="9554"/>
    <cellStyle name="연결된 셀 9 2 8 4 2 2" xfId="26695"/>
    <cellStyle name="연결된 셀 9 2 8 4 3" xfId="9555"/>
    <cellStyle name="연결된 셀 9 2 8 4 3 2" xfId="26696"/>
    <cellStyle name="연결된 셀 9 2 8 4 4" xfId="9556"/>
    <cellStyle name="연결된 셀 9 2 8 4 4 2" xfId="26697"/>
    <cellStyle name="연결된 셀 9 2 8 4 5" xfId="26694"/>
    <cellStyle name="연결된 셀 9 2 8 5" xfId="9557"/>
    <cellStyle name="연결된 셀 9 2 8 5 2" xfId="26698"/>
    <cellStyle name="연결된 셀 9 2 8 6" xfId="9558"/>
    <cellStyle name="연결된 셀 9 2 8 6 2" xfId="26699"/>
    <cellStyle name="연결된 셀 9 2 8 7" xfId="9559"/>
    <cellStyle name="연결된 셀 9 2 8 7 2" xfId="26700"/>
    <cellStyle name="연결된 셀 9 2 8 8" xfId="26685"/>
    <cellStyle name="연결된 셀 9 2 9" xfId="9560"/>
    <cellStyle name="연결된 셀 9 2 9 2" xfId="9561"/>
    <cellStyle name="연결된 셀 9 2 9 2 2" xfId="9562"/>
    <cellStyle name="연결된 셀 9 2 9 2 2 2" xfId="26703"/>
    <cellStyle name="연결된 셀 9 2 9 2 3" xfId="9563"/>
    <cellStyle name="연결된 셀 9 2 9 2 3 2" xfId="26704"/>
    <cellStyle name="연결된 셀 9 2 9 2 4" xfId="9564"/>
    <cellStyle name="연결된 셀 9 2 9 2 4 2" xfId="26705"/>
    <cellStyle name="연결된 셀 9 2 9 2 5" xfId="26702"/>
    <cellStyle name="연결된 셀 9 2 9 3" xfId="9565"/>
    <cellStyle name="연결된 셀 9 2 9 3 2" xfId="9566"/>
    <cellStyle name="연결된 셀 9 2 9 3 2 2" xfId="26707"/>
    <cellStyle name="연결된 셀 9 2 9 3 3" xfId="9567"/>
    <cellStyle name="연결된 셀 9 2 9 3 3 2" xfId="26708"/>
    <cellStyle name="연결된 셀 9 2 9 3 4" xfId="9568"/>
    <cellStyle name="연결된 셀 9 2 9 3 4 2" xfId="26709"/>
    <cellStyle name="연결된 셀 9 2 9 3 5" xfId="26706"/>
    <cellStyle name="연결된 셀 9 2 9 4" xfId="9569"/>
    <cellStyle name="연결된 셀 9 2 9 4 2" xfId="9570"/>
    <cellStyle name="연결된 셀 9 2 9 4 2 2" xfId="26711"/>
    <cellStyle name="연결된 셀 9 2 9 4 3" xfId="9571"/>
    <cellStyle name="연결된 셀 9 2 9 4 3 2" xfId="26712"/>
    <cellStyle name="연결된 셀 9 2 9 4 4" xfId="9572"/>
    <cellStyle name="연결된 셀 9 2 9 4 4 2" xfId="26713"/>
    <cellStyle name="연결된 셀 9 2 9 4 5" xfId="26710"/>
    <cellStyle name="연결된 셀 9 2 9 5" xfId="9573"/>
    <cellStyle name="연결된 셀 9 2 9 5 2" xfId="26714"/>
    <cellStyle name="연결된 셀 9 2 9 6" xfId="9574"/>
    <cellStyle name="연결된 셀 9 2 9 6 2" xfId="26715"/>
    <cellStyle name="연결된 셀 9 2 9 7" xfId="9575"/>
    <cellStyle name="연결된 셀 9 2 9 7 2" xfId="26716"/>
    <cellStyle name="연결된 셀 9 2 9 8" xfId="26701"/>
    <cellStyle name="연결된 셀 9 3" xfId="671"/>
    <cellStyle name="연결된 셀 9 3 2" xfId="9576"/>
    <cellStyle name="연결된 셀 9 3 2 2" xfId="9577"/>
    <cellStyle name="연결된 셀 9 3 2 2 2" xfId="26718"/>
    <cellStyle name="연결된 셀 9 3 2 3" xfId="9578"/>
    <cellStyle name="연결된 셀 9 3 2 3 2" xfId="26719"/>
    <cellStyle name="연결된 셀 9 3 2 4" xfId="9579"/>
    <cellStyle name="연결된 셀 9 3 2 4 2" xfId="26720"/>
    <cellStyle name="연결된 셀 9 3 2 5" xfId="26717"/>
    <cellStyle name="연결된 셀 9 3 3" xfId="9580"/>
    <cellStyle name="연결된 셀 9 3 3 2" xfId="9581"/>
    <cellStyle name="연결된 셀 9 3 3 2 2" xfId="26722"/>
    <cellStyle name="연결된 셀 9 3 3 3" xfId="9582"/>
    <cellStyle name="연결된 셀 9 3 3 3 2" xfId="26723"/>
    <cellStyle name="연결된 셀 9 3 3 4" xfId="9583"/>
    <cellStyle name="연결된 셀 9 3 3 4 2" xfId="26724"/>
    <cellStyle name="연결된 셀 9 3 3 5" xfId="26721"/>
    <cellStyle name="연결된 셀 9 3 4" xfId="9584"/>
    <cellStyle name="연결된 셀 9 3 4 2" xfId="9585"/>
    <cellStyle name="연결된 셀 9 3 4 2 2" xfId="26726"/>
    <cellStyle name="연결된 셀 9 3 4 3" xfId="9586"/>
    <cellStyle name="연결된 셀 9 3 4 3 2" xfId="26727"/>
    <cellStyle name="연결된 셀 9 3 4 4" xfId="9587"/>
    <cellStyle name="연결된 셀 9 3 4 4 2" xfId="26728"/>
    <cellStyle name="연결된 셀 9 3 4 5" xfId="26725"/>
    <cellStyle name="연결된 셀 9 3 5" xfId="9588"/>
    <cellStyle name="연결된 셀 9 3 5 2" xfId="26729"/>
    <cellStyle name="연결된 셀 9 3 6" xfId="9589"/>
    <cellStyle name="연결된 셀 9 3 6 2" xfId="26730"/>
    <cellStyle name="연결된 셀 9 3 7" xfId="9590"/>
    <cellStyle name="연결된 셀 9 3 7 2" xfId="26731"/>
    <cellStyle name="연결된 셀 9 3 8" xfId="17814"/>
    <cellStyle name="연결된 셀 9 4" xfId="9591"/>
    <cellStyle name="연결된 셀 9 4 2" xfId="9592"/>
    <cellStyle name="연결된 셀 9 4 2 2" xfId="9593"/>
    <cellStyle name="연결된 셀 9 4 2 2 2" xfId="26734"/>
    <cellStyle name="연결된 셀 9 4 2 3" xfId="9594"/>
    <cellStyle name="연결된 셀 9 4 2 3 2" xfId="26735"/>
    <cellStyle name="연결된 셀 9 4 2 4" xfId="9595"/>
    <cellStyle name="연결된 셀 9 4 2 4 2" xfId="26736"/>
    <cellStyle name="연결된 셀 9 4 2 5" xfId="26733"/>
    <cellStyle name="연결된 셀 9 4 3" xfId="9596"/>
    <cellStyle name="연결된 셀 9 4 3 2" xfId="9597"/>
    <cellStyle name="연결된 셀 9 4 3 2 2" xfId="26738"/>
    <cellStyle name="연결된 셀 9 4 3 3" xfId="9598"/>
    <cellStyle name="연결된 셀 9 4 3 3 2" xfId="26739"/>
    <cellStyle name="연결된 셀 9 4 3 4" xfId="9599"/>
    <cellStyle name="연결된 셀 9 4 3 4 2" xfId="26740"/>
    <cellStyle name="연결된 셀 9 4 3 5" xfId="26737"/>
    <cellStyle name="연결된 셀 9 4 4" xfId="9600"/>
    <cellStyle name="연결된 셀 9 4 4 2" xfId="9601"/>
    <cellStyle name="연결된 셀 9 4 4 2 2" xfId="26742"/>
    <cellStyle name="연결된 셀 9 4 4 3" xfId="9602"/>
    <cellStyle name="연결된 셀 9 4 4 3 2" xfId="26743"/>
    <cellStyle name="연결된 셀 9 4 4 4" xfId="9603"/>
    <cellStyle name="연결된 셀 9 4 4 4 2" xfId="26744"/>
    <cellStyle name="연결된 셀 9 4 4 5" xfId="26741"/>
    <cellStyle name="연결된 셀 9 4 5" xfId="9604"/>
    <cellStyle name="연결된 셀 9 4 5 2" xfId="26745"/>
    <cellStyle name="연결된 셀 9 4 6" xfId="9605"/>
    <cellStyle name="연결된 셀 9 4 6 2" xfId="26746"/>
    <cellStyle name="연결된 셀 9 4 7" xfId="9606"/>
    <cellStyle name="연결된 셀 9 4 7 2" xfId="26747"/>
    <cellStyle name="연결된 셀 9 4 8" xfId="26732"/>
    <cellStyle name="연결된 셀 9 5" xfId="9607"/>
    <cellStyle name="연결된 셀 9 5 2" xfId="9608"/>
    <cellStyle name="연결된 셀 9 5 2 2" xfId="9609"/>
    <cellStyle name="연결된 셀 9 5 2 2 2" xfId="26750"/>
    <cellStyle name="연결된 셀 9 5 2 3" xfId="9610"/>
    <cellStyle name="연결된 셀 9 5 2 3 2" xfId="26751"/>
    <cellStyle name="연결된 셀 9 5 2 4" xfId="9611"/>
    <cellStyle name="연결된 셀 9 5 2 4 2" xfId="26752"/>
    <cellStyle name="연결된 셀 9 5 2 5" xfId="26749"/>
    <cellStyle name="연결된 셀 9 5 3" xfId="9612"/>
    <cellStyle name="연결된 셀 9 5 3 2" xfId="9613"/>
    <cellStyle name="연결된 셀 9 5 3 2 2" xfId="26754"/>
    <cellStyle name="연결된 셀 9 5 3 3" xfId="9614"/>
    <cellStyle name="연결된 셀 9 5 3 3 2" xfId="26755"/>
    <cellStyle name="연결된 셀 9 5 3 4" xfId="9615"/>
    <cellStyle name="연결된 셀 9 5 3 4 2" xfId="26756"/>
    <cellStyle name="연결된 셀 9 5 3 5" xfId="26753"/>
    <cellStyle name="연결된 셀 9 5 4" xfId="9616"/>
    <cellStyle name="연결된 셀 9 5 4 2" xfId="9617"/>
    <cellStyle name="연결된 셀 9 5 4 2 2" xfId="26758"/>
    <cellStyle name="연결된 셀 9 5 4 3" xfId="9618"/>
    <cellStyle name="연결된 셀 9 5 4 3 2" xfId="26759"/>
    <cellStyle name="연결된 셀 9 5 4 4" xfId="9619"/>
    <cellStyle name="연결된 셀 9 5 4 4 2" xfId="26760"/>
    <cellStyle name="연결된 셀 9 5 4 5" xfId="26757"/>
    <cellStyle name="연결된 셀 9 5 5" xfId="9620"/>
    <cellStyle name="연결된 셀 9 5 5 2" xfId="26761"/>
    <cellStyle name="연결된 셀 9 5 6" xfId="9621"/>
    <cellStyle name="연결된 셀 9 5 6 2" xfId="26762"/>
    <cellStyle name="연결된 셀 9 5 7" xfId="9622"/>
    <cellStyle name="연결된 셀 9 5 7 2" xfId="26763"/>
    <cellStyle name="연결된 셀 9 5 8" xfId="26748"/>
    <cellStyle name="연결된 셀 9 6" xfId="9623"/>
    <cellStyle name="연결된 셀 9 6 2" xfId="9624"/>
    <cellStyle name="연결된 셀 9 6 2 2" xfId="9625"/>
    <cellStyle name="연결된 셀 9 6 2 2 2" xfId="26766"/>
    <cellStyle name="연결된 셀 9 6 2 3" xfId="9626"/>
    <cellStyle name="연결된 셀 9 6 2 3 2" xfId="26767"/>
    <cellStyle name="연결된 셀 9 6 2 4" xfId="9627"/>
    <cellStyle name="연결된 셀 9 6 2 4 2" xfId="26768"/>
    <cellStyle name="연결된 셀 9 6 2 5" xfId="26765"/>
    <cellStyle name="연결된 셀 9 6 3" xfId="9628"/>
    <cellStyle name="연결된 셀 9 6 3 2" xfId="9629"/>
    <cellStyle name="연결된 셀 9 6 3 2 2" xfId="26770"/>
    <cellStyle name="연결된 셀 9 6 3 3" xfId="9630"/>
    <cellStyle name="연결된 셀 9 6 3 3 2" xfId="26771"/>
    <cellStyle name="연결된 셀 9 6 3 4" xfId="9631"/>
    <cellStyle name="연결된 셀 9 6 3 4 2" xfId="26772"/>
    <cellStyle name="연결된 셀 9 6 3 5" xfId="26769"/>
    <cellStyle name="연결된 셀 9 6 4" xfId="9632"/>
    <cellStyle name="연결된 셀 9 6 4 2" xfId="9633"/>
    <cellStyle name="연결된 셀 9 6 4 2 2" xfId="26774"/>
    <cellStyle name="연결된 셀 9 6 4 3" xfId="9634"/>
    <cellStyle name="연결된 셀 9 6 4 3 2" xfId="26775"/>
    <cellStyle name="연결된 셀 9 6 4 4" xfId="9635"/>
    <cellStyle name="연결된 셀 9 6 4 4 2" xfId="26776"/>
    <cellStyle name="연결된 셀 9 6 4 5" xfId="26773"/>
    <cellStyle name="연결된 셀 9 6 5" xfId="9636"/>
    <cellStyle name="연결된 셀 9 6 5 2" xfId="26777"/>
    <cellStyle name="연결된 셀 9 6 6" xfId="9637"/>
    <cellStyle name="연결된 셀 9 6 6 2" xfId="26778"/>
    <cellStyle name="연결된 셀 9 6 7" xfId="9638"/>
    <cellStyle name="연결된 셀 9 6 7 2" xfId="26779"/>
    <cellStyle name="연결된 셀 9 6 8" xfId="26764"/>
    <cellStyle name="연결된 셀 9 7" xfId="9639"/>
    <cellStyle name="연결된 셀 9 7 2" xfId="9640"/>
    <cellStyle name="연결된 셀 9 7 2 2" xfId="9641"/>
    <cellStyle name="연결된 셀 9 7 2 2 2" xfId="26782"/>
    <cellStyle name="연결된 셀 9 7 2 3" xfId="9642"/>
    <cellStyle name="연결된 셀 9 7 2 3 2" xfId="26783"/>
    <cellStyle name="연결된 셀 9 7 2 4" xfId="9643"/>
    <cellStyle name="연결된 셀 9 7 2 4 2" xfId="26784"/>
    <cellStyle name="연결된 셀 9 7 2 5" xfId="26781"/>
    <cellStyle name="연결된 셀 9 7 3" xfId="9644"/>
    <cellStyle name="연결된 셀 9 7 3 2" xfId="9645"/>
    <cellStyle name="연결된 셀 9 7 3 2 2" xfId="26786"/>
    <cellStyle name="연결된 셀 9 7 3 3" xfId="9646"/>
    <cellStyle name="연결된 셀 9 7 3 3 2" xfId="26787"/>
    <cellStyle name="연결된 셀 9 7 3 4" xfId="9647"/>
    <cellStyle name="연결된 셀 9 7 3 4 2" xfId="26788"/>
    <cellStyle name="연결된 셀 9 7 3 5" xfId="26785"/>
    <cellStyle name="연결된 셀 9 7 4" xfId="9648"/>
    <cellStyle name="연결된 셀 9 7 4 2" xfId="9649"/>
    <cellStyle name="연결된 셀 9 7 4 2 2" xfId="26790"/>
    <cellStyle name="연결된 셀 9 7 4 3" xfId="9650"/>
    <cellStyle name="연결된 셀 9 7 4 3 2" xfId="26791"/>
    <cellStyle name="연결된 셀 9 7 4 4" xfId="9651"/>
    <cellStyle name="연결된 셀 9 7 4 4 2" xfId="26792"/>
    <cellStyle name="연결된 셀 9 7 4 5" xfId="26789"/>
    <cellStyle name="연결된 셀 9 7 5" xfId="9652"/>
    <cellStyle name="연결된 셀 9 7 5 2" xfId="26793"/>
    <cellStyle name="연결된 셀 9 7 6" xfId="9653"/>
    <cellStyle name="연결된 셀 9 7 6 2" xfId="26794"/>
    <cellStyle name="연결된 셀 9 7 7" xfId="9654"/>
    <cellStyle name="연결된 셀 9 7 7 2" xfId="26795"/>
    <cellStyle name="연결된 셀 9 7 8" xfId="26780"/>
    <cellStyle name="연결된 셀 9 8" xfId="9655"/>
    <cellStyle name="연결된 셀 9 8 2" xfId="9656"/>
    <cellStyle name="연결된 셀 9 8 2 2" xfId="9657"/>
    <cellStyle name="연결된 셀 9 8 2 2 2" xfId="26798"/>
    <cellStyle name="연결된 셀 9 8 2 3" xfId="9658"/>
    <cellStyle name="연결된 셀 9 8 2 3 2" xfId="26799"/>
    <cellStyle name="연결된 셀 9 8 2 4" xfId="9659"/>
    <cellStyle name="연결된 셀 9 8 2 4 2" xfId="26800"/>
    <cellStyle name="연결된 셀 9 8 2 5" xfId="26797"/>
    <cellStyle name="연결된 셀 9 8 3" xfId="9660"/>
    <cellStyle name="연결된 셀 9 8 3 2" xfId="9661"/>
    <cellStyle name="연결된 셀 9 8 3 2 2" xfId="26802"/>
    <cellStyle name="연결된 셀 9 8 3 3" xfId="9662"/>
    <cellStyle name="연결된 셀 9 8 3 3 2" xfId="26803"/>
    <cellStyle name="연결된 셀 9 8 3 4" xfId="9663"/>
    <cellStyle name="연결된 셀 9 8 3 4 2" xfId="26804"/>
    <cellStyle name="연결된 셀 9 8 3 5" xfId="26801"/>
    <cellStyle name="연결된 셀 9 8 4" xfId="9664"/>
    <cellStyle name="연결된 셀 9 8 4 2" xfId="9665"/>
    <cellStyle name="연결된 셀 9 8 4 2 2" xfId="26806"/>
    <cellStyle name="연결된 셀 9 8 4 3" xfId="9666"/>
    <cellStyle name="연결된 셀 9 8 4 3 2" xfId="26807"/>
    <cellStyle name="연결된 셀 9 8 4 4" xfId="9667"/>
    <cellStyle name="연결된 셀 9 8 4 4 2" xfId="26808"/>
    <cellStyle name="연결된 셀 9 8 4 5" xfId="26805"/>
    <cellStyle name="연결된 셀 9 8 5" xfId="9668"/>
    <cellStyle name="연결된 셀 9 8 5 2" xfId="26809"/>
    <cellStyle name="연결된 셀 9 8 6" xfId="9669"/>
    <cellStyle name="연결된 셀 9 8 6 2" xfId="26810"/>
    <cellStyle name="연결된 셀 9 8 7" xfId="9670"/>
    <cellStyle name="연결된 셀 9 8 7 2" xfId="26811"/>
    <cellStyle name="연결된 셀 9 8 8" xfId="26796"/>
    <cellStyle name="연결된 셀 9 9" xfId="9671"/>
    <cellStyle name="연결된 셀 9 9 2" xfId="9672"/>
    <cellStyle name="연결된 셀 9 9 2 2" xfId="9673"/>
    <cellStyle name="연결된 셀 9 9 2 2 2" xfId="26814"/>
    <cellStyle name="연결된 셀 9 9 2 3" xfId="9674"/>
    <cellStyle name="연결된 셀 9 9 2 3 2" xfId="26815"/>
    <cellStyle name="연결된 셀 9 9 2 4" xfId="9675"/>
    <cellStyle name="연결된 셀 9 9 2 4 2" xfId="26816"/>
    <cellStyle name="연결된 셀 9 9 2 5" xfId="26813"/>
    <cellStyle name="연결된 셀 9 9 3" xfId="9676"/>
    <cellStyle name="연결된 셀 9 9 3 2" xfId="9677"/>
    <cellStyle name="연결된 셀 9 9 3 2 2" xfId="26818"/>
    <cellStyle name="연결된 셀 9 9 3 3" xfId="9678"/>
    <cellStyle name="연결된 셀 9 9 3 3 2" xfId="26819"/>
    <cellStyle name="연결된 셀 9 9 3 4" xfId="9679"/>
    <cellStyle name="연결된 셀 9 9 3 4 2" xfId="26820"/>
    <cellStyle name="연결된 셀 9 9 3 5" xfId="26817"/>
    <cellStyle name="연결된 셀 9 9 4" xfId="9680"/>
    <cellStyle name="연결된 셀 9 9 4 2" xfId="9681"/>
    <cellStyle name="연결된 셀 9 9 4 2 2" xfId="26822"/>
    <cellStyle name="연결된 셀 9 9 4 3" xfId="9682"/>
    <cellStyle name="연결된 셀 9 9 4 3 2" xfId="26823"/>
    <cellStyle name="연결된 셀 9 9 4 4" xfId="9683"/>
    <cellStyle name="연결된 셀 9 9 4 4 2" xfId="26824"/>
    <cellStyle name="연결된 셀 9 9 4 5" xfId="26821"/>
    <cellStyle name="연결된 셀 9 9 5" xfId="9684"/>
    <cellStyle name="연결된 셀 9 9 5 2" xfId="26825"/>
    <cellStyle name="연결된 셀 9 9 6" xfId="9685"/>
    <cellStyle name="연결된 셀 9 9 6 2" xfId="26826"/>
    <cellStyle name="연결된 셀 9 9 7" xfId="9686"/>
    <cellStyle name="연결된 셀 9 9 7 2" xfId="26827"/>
    <cellStyle name="연결된 셀 9 9 8" xfId="26812"/>
    <cellStyle name="열어본 하이퍼링크" xfId="36881"/>
    <cellStyle name="요약 10" xfId="458"/>
    <cellStyle name="요약 10 10" xfId="13054"/>
    <cellStyle name="요약 10 10 2" xfId="16405"/>
    <cellStyle name="요약 10 10 2 2" xfId="33546"/>
    <cellStyle name="요약 10 10 3" xfId="30195"/>
    <cellStyle name="요약 10 11" xfId="13135"/>
    <cellStyle name="요약 10 11 2" xfId="16486"/>
    <cellStyle name="요약 10 11 2 2" xfId="33627"/>
    <cellStyle name="요약 10 11 3" xfId="30276"/>
    <cellStyle name="요약 10 12" xfId="13226"/>
    <cellStyle name="요약 10 12 2" xfId="16577"/>
    <cellStyle name="요약 10 12 2 2" xfId="33718"/>
    <cellStyle name="요약 10 12 3" xfId="30367"/>
    <cellStyle name="요약 10 13" xfId="12689"/>
    <cellStyle name="요약 10 13 2" xfId="16052"/>
    <cellStyle name="요약 10 13 2 2" xfId="33193"/>
    <cellStyle name="요약 10 13 3" xfId="29830"/>
    <cellStyle name="요약 10 14" xfId="13401"/>
    <cellStyle name="요약 10 14 2" xfId="16752"/>
    <cellStyle name="요약 10 14 2 2" xfId="33893"/>
    <cellStyle name="요약 10 14 3" xfId="30542"/>
    <cellStyle name="요약 10 15" xfId="13479"/>
    <cellStyle name="요약 10 15 2" xfId="16830"/>
    <cellStyle name="요약 10 15 2 2" xfId="33971"/>
    <cellStyle name="요약 10 15 3" xfId="30620"/>
    <cellStyle name="요약 10 16" xfId="13539"/>
    <cellStyle name="요약 10 16 2" xfId="16890"/>
    <cellStyle name="요약 10 16 2 2" xfId="34031"/>
    <cellStyle name="요약 10 16 3" xfId="30680"/>
    <cellStyle name="요약 10 17" xfId="13604"/>
    <cellStyle name="요약 10 17 2" xfId="16955"/>
    <cellStyle name="요약 10 17 2 2" xfId="34096"/>
    <cellStyle name="요약 10 17 3" xfId="30745"/>
    <cellStyle name="요약 10 18" xfId="13667"/>
    <cellStyle name="요약 10 18 2" xfId="17018"/>
    <cellStyle name="요약 10 18 2 2" xfId="34159"/>
    <cellStyle name="요약 10 18 3" xfId="30808"/>
    <cellStyle name="요약 10 19" xfId="13693"/>
    <cellStyle name="요약 10 19 2" xfId="17044"/>
    <cellStyle name="요약 10 19 2 2" xfId="34185"/>
    <cellStyle name="요약 10 19 3" xfId="30834"/>
    <cellStyle name="요약 10 2" xfId="928"/>
    <cellStyle name="요약 10 2 2" xfId="1340"/>
    <cellStyle name="요약 10 2 2 2" xfId="2238"/>
    <cellStyle name="요약 10 2 2 2 2" xfId="15544"/>
    <cellStyle name="요약 10 2 2 2 2 2" xfId="32685"/>
    <cellStyle name="요약 10 2 2 2 3" xfId="19381"/>
    <cellStyle name="요약 10 2 2 3" xfId="14648"/>
    <cellStyle name="요약 10 2 2 3 2" xfId="31789"/>
    <cellStyle name="요약 10 2 2 4" xfId="18483"/>
    <cellStyle name="요약 10 2 3" xfId="1843"/>
    <cellStyle name="요약 10 2 3 2" xfId="15149"/>
    <cellStyle name="요약 10 2 3 2 2" xfId="32290"/>
    <cellStyle name="요약 10 2 3 3" xfId="18986"/>
    <cellStyle name="요약 10 2 4" xfId="14244"/>
    <cellStyle name="요약 10 2 4 2" xfId="31385"/>
    <cellStyle name="요약 10 2 5" xfId="18071"/>
    <cellStyle name="요약 10 20" xfId="13930"/>
    <cellStyle name="요약 10 20 2" xfId="31071"/>
    <cellStyle name="요약 10 21" xfId="17601"/>
    <cellStyle name="요약 10 3" xfId="781"/>
    <cellStyle name="요약 10 3 2" xfId="1234"/>
    <cellStyle name="요약 10 3 2 2" xfId="2132"/>
    <cellStyle name="요약 10 3 2 2 2" xfId="15438"/>
    <cellStyle name="요약 10 3 2 2 2 2" xfId="32579"/>
    <cellStyle name="요약 10 3 2 2 3" xfId="19275"/>
    <cellStyle name="요약 10 3 2 3" xfId="14542"/>
    <cellStyle name="요약 10 3 2 3 2" xfId="31683"/>
    <cellStyle name="요약 10 3 2 4" xfId="18377"/>
    <cellStyle name="요약 10 3 3" xfId="1737"/>
    <cellStyle name="요약 10 3 3 2" xfId="15043"/>
    <cellStyle name="요약 10 3 3 2 2" xfId="32184"/>
    <cellStyle name="요약 10 3 3 3" xfId="18880"/>
    <cellStyle name="요약 10 3 4" xfId="14138"/>
    <cellStyle name="요약 10 3 4 2" xfId="31279"/>
    <cellStyle name="요약 10 3 5" xfId="17924"/>
    <cellStyle name="요약 10 4" xfId="1040"/>
    <cellStyle name="요약 10 4 2" xfId="1436"/>
    <cellStyle name="요약 10 4 2 2" xfId="2334"/>
    <cellStyle name="요약 10 4 2 2 2" xfId="15640"/>
    <cellStyle name="요약 10 4 2 2 2 2" xfId="32781"/>
    <cellStyle name="요약 10 4 2 2 3" xfId="19477"/>
    <cellStyle name="요약 10 4 2 3" xfId="14744"/>
    <cellStyle name="요약 10 4 2 3 2" xfId="31885"/>
    <cellStyle name="요약 10 4 2 4" xfId="18579"/>
    <cellStyle name="요약 10 4 3" xfId="1947"/>
    <cellStyle name="요약 10 4 3 2" xfId="15253"/>
    <cellStyle name="요약 10 4 3 2 2" xfId="32394"/>
    <cellStyle name="요약 10 4 3 3" xfId="19090"/>
    <cellStyle name="요약 10 4 4" xfId="14348"/>
    <cellStyle name="요약 10 4 4 2" xfId="31489"/>
    <cellStyle name="요약 10 4 5" xfId="18183"/>
    <cellStyle name="요약 10 5" xfId="1137"/>
    <cellStyle name="요약 10 5 2" xfId="2039"/>
    <cellStyle name="요약 10 5 2 2" xfId="15345"/>
    <cellStyle name="요약 10 5 2 2 2" xfId="32486"/>
    <cellStyle name="요약 10 5 2 3" xfId="19182"/>
    <cellStyle name="요약 10 5 3" xfId="14445"/>
    <cellStyle name="요약 10 5 3 2" xfId="31586"/>
    <cellStyle name="요약 10 5 4" xfId="18280"/>
    <cellStyle name="요약 10 6" xfId="1532"/>
    <cellStyle name="요약 10 6 2" xfId="2429"/>
    <cellStyle name="요약 10 6 2 2" xfId="15735"/>
    <cellStyle name="요약 10 6 2 2 2" xfId="32876"/>
    <cellStyle name="요약 10 6 2 3" xfId="19572"/>
    <cellStyle name="요약 10 6 3" xfId="14839"/>
    <cellStyle name="요약 10 6 3 2" xfId="31980"/>
    <cellStyle name="요약 10 6 4" xfId="18675"/>
    <cellStyle name="요약 10 7" xfId="676"/>
    <cellStyle name="요약 10 7 2" xfId="14041"/>
    <cellStyle name="요약 10 7 2 2" xfId="31182"/>
    <cellStyle name="요약 10 7 3" xfId="17819"/>
    <cellStyle name="요약 10 8" xfId="1638"/>
    <cellStyle name="요약 10 8 2" xfId="14944"/>
    <cellStyle name="요약 10 8 2 2" xfId="32085"/>
    <cellStyle name="요약 10 8 3" xfId="18781"/>
    <cellStyle name="요약 10 9" xfId="12943"/>
    <cellStyle name="요약 10 9 2" xfId="16301"/>
    <cellStyle name="요약 10 9 2 2" xfId="33442"/>
    <cellStyle name="요약 10 9 3" xfId="30084"/>
    <cellStyle name="요약 11" xfId="478"/>
    <cellStyle name="요약 11 10" xfId="13073"/>
    <cellStyle name="요약 11 10 2" xfId="16424"/>
    <cellStyle name="요약 11 10 2 2" xfId="33565"/>
    <cellStyle name="요약 11 10 3" xfId="30214"/>
    <cellStyle name="요약 11 11" xfId="13151"/>
    <cellStyle name="요약 11 11 2" xfId="16502"/>
    <cellStyle name="요약 11 11 2 2" xfId="33643"/>
    <cellStyle name="요약 11 11 3" xfId="30292"/>
    <cellStyle name="요약 11 12" xfId="13245"/>
    <cellStyle name="요약 11 12 2" xfId="16596"/>
    <cellStyle name="요약 11 12 2 2" xfId="33737"/>
    <cellStyle name="요약 11 12 3" xfId="30386"/>
    <cellStyle name="요약 11 13" xfId="13331"/>
    <cellStyle name="요약 11 13 2" xfId="16682"/>
    <cellStyle name="요약 11 13 2 2" xfId="33823"/>
    <cellStyle name="요약 11 13 3" xfId="30472"/>
    <cellStyle name="요약 11 14" xfId="13418"/>
    <cellStyle name="요약 11 14 2" xfId="16769"/>
    <cellStyle name="요약 11 14 2 2" xfId="33910"/>
    <cellStyle name="요약 11 14 3" xfId="30559"/>
    <cellStyle name="요약 11 15" xfId="13492"/>
    <cellStyle name="요약 11 15 2" xfId="16843"/>
    <cellStyle name="요약 11 15 2 2" xfId="33984"/>
    <cellStyle name="요약 11 15 3" xfId="30633"/>
    <cellStyle name="요약 11 16" xfId="13555"/>
    <cellStyle name="요약 11 16 2" xfId="16906"/>
    <cellStyle name="요약 11 16 2 2" xfId="34047"/>
    <cellStyle name="요약 11 16 3" xfId="30696"/>
    <cellStyle name="요약 11 17" xfId="13620"/>
    <cellStyle name="요약 11 17 2" xfId="16971"/>
    <cellStyle name="요약 11 17 2 2" xfId="34112"/>
    <cellStyle name="요약 11 17 3" xfId="30761"/>
    <cellStyle name="요약 11 18" xfId="13682"/>
    <cellStyle name="요약 11 18 2" xfId="17033"/>
    <cellStyle name="요약 11 18 2 2" xfId="34174"/>
    <cellStyle name="요약 11 18 3" xfId="30823"/>
    <cellStyle name="요약 11 19" xfId="13827"/>
    <cellStyle name="요약 11 19 2" xfId="17166"/>
    <cellStyle name="요약 11 19 2 2" xfId="34307"/>
    <cellStyle name="요약 11 19 3" xfId="30968"/>
    <cellStyle name="요약 11 2" xfId="944"/>
    <cellStyle name="요약 11 2 2" xfId="1355"/>
    <cellStyle name="요약 11 2 2 2" xfId="2253"/>
    <cellStyle name="요약 11 2 2 2 2" xfId="15559"/>
    <cellStyle name="요약 11 2 2 2 2 2" xfId="32700"/>
    <cellStyle name="요약 11 2 2 2 3" xfId="19396"/>
    <cellStyle name="요약 11 2 2 3" xfId="14663"/>
    <cellStyle name="요약 11 2 2 3 2" xfId="31804"/>
    <cellStyle name="요약 11 2 2 4" xfId="18498"/>
    <cellStyle name="요약 11 2 3" xfId="1858"/>
    <cellStyle name="요약 11 2 3 2" xfId="15164"/>
    <cellStyle name="요약 11 2 3 2 2" xfId="32305"/>
    <cellStyle name="요약 11 2 3 3" xfId="19001"/>
    <cellStyle name="요약 11 2 4" xfId="14259"/>
    <cellStyle name="요약 11 2 4 2" xfId="31400"/>
    <cellStyle name="요약 11 2 5" xfId="18087"/>
    <cellStyle name="요약 11 20" xfId="13945"/>
    <cellStyle name="요약 11 20 2" xfId="31086"/>
    <cellStyle name="요약 11 21" xfId="17621"/>
    <cellStyle name="요약 11 3" xfId="791"/>
    <cellStyle name="요약 11 3 2" xfId="1244"/>
    <cellStyle name="요약 11 3 2 2" xfId="2142"/>
    <cellStyle name="요약 11 3 2 2 2" xfId="15448"/>
    <cellStyle name="요약 11 3 2 2 2 2" xfId="32589"/>
    <cellStyle name="요약 11 3 2 2 3" xfId="19285"/>
    <cellStyle name="요약 11 3 2 3" xfId="14552"/>
    <cellStyle name="요약 11 3 2 3 2" xfId="31693"/>
    <cellStyle name="요약 11 3 2 4" xfId="18387"/>
    <cellStyle name="요약 11 3 3" xfId="1747"/>
    <cellStyle name="요약 11 3 3 2" xfId="15053"/>
    <cellStyle name="요약 11 3 3 2 2" xfId="32194"/>
    <cellStyle name="요약 11 3 3 3" xfId="18890"/>
    <cellStyle name="요약 11 3 4" xfId="14148"/>
    <cellStyle name="요약 11 3 4 2" xfId="31289"/>
    <cellStyle name="요약 11 3 5" xfId="17934"/>
    <cellStyle name="요약 11 4" xfId="1052"/>
    <cellStyle name="요약 11 4 2" xfId="1446"/>
    <cellStyle name="요약 11 4 2 2" xfId="2344"/>
    <cellStyle name="요약 11 4 2 2 2" xfId="15650"/>
    <cellStyle name="요약 11 4 2 2 2 2" xfId="32791"/>
    <cellStyle name="요약 11 4 2 2 3" xfId="19487"/>
    <cellStyle name="요약 11 4 2 3" xfId="14754"/>
    <cellStyle name="요약 11 4 2 3 2" xfId="31895"/>
    <cellStyle name="요약 11 4 2 4" xfId="18589"/>
    <cellStyle name="요약 11 4 3" xfId="1959"/>
    <cellStyle name="요약 11 4 3 2" xfId="15265"/>
    <cellStyle name="요약 11 4 3 2 2" xfId="32406"/>
    <cellStyle name="요약 11 4 3 3" xfId="19102"/>
    <cellStyle name="요약 11 4 4" xfId="14360"/>
    <cellStyle name="요약 11 4 4 2" xfId="31501"/>
    <cellStyle name="요약 11 4 5" xfId="18195"/>
    <cellStyle name="요약 11 5" xfId="1150"/>
    <cellStyle name="요약 11 5 2" xfId="2049"/>
    <cellStyle name="요약 11 5 2 2" xfId="15355"/>
    <cellStyle name="요약 11 5 2 2 2" xfId="32496"/>
    <cellStyle name="요약 11 5 2 3" xfId="19192"/>
    <cellStyle name="요약 11 5 3" xfId="14458"/>
    <cellStyle name="요약 11 5 3 2" xfId="31599"/>
    <cellStyle name="요약 11 5 4" xfId="18293"/>
    <cellStyle name="요약 11 6" xfId="1542"/>
    <cellStyle name="요약 11 6 2" xfId="2439"/>
    <cellStyle name="요약 11 6 2 2" xfId="15745"/>
    <cellStyle name="요약 11 6 2 2 2" xfId="32886"/>
    <cellStyle name="요약 11 6 2 3" xfId="19582"/>
    <cellStyle name="요약 11 6 3" xfId="14849"/>
    <cellStyle name="요약 11 6 3 2" xfId="31990"/>
    <cellStyle name="요약 11 6 4" xfId="18685"/>
    <cellStyle name="요약 11 7" xfId="690"/>
    <cellStyle name="요약 11 7 2" xfId="14054"/>
    <cellStyle name="요약 11 7 2 2" xfId="31195"/>
    <cellStyle name="요약 11 7 3" xfId="17833"/>
    <cellStyle name="요약 11 8" xfId="1653"/>
    <cellStyle name="요약 11 8 2" xfId="14959"/>
    <cellStyle name="요약 11 8 2 2" xfId="32100"/>
    <cellStyle name="요약 11 8 3" xfId="18796"/>
    <cellStyle name="요약 11 9" xfId="12961"/>
    <cellStyle name="요약 11 9 2" xfId="16319"/>
    <cellStyle name="요약 11 9 2 2" xfId="33460"/>
    <cellStyle name="요약 11 9 3" xfId="30102"/>
    <cellStyle name="요약 12" xfId="444"/>
    <cellStyle name="요약 12 10" xfId="13043"/>
    <cellStyle name="요약 12 10 2" xfId="16394"/>
    <cellStyle name="요약 12 10 2 2" xfId="33535"/>
    <cellStyle name="요약 12 10 3" xfId="30184"/>
    <cellStyle name="요약 12 11" xfId="13126"/>
    <cellStyle name="요약 12 11 2" xfId="16477"/>
    <cellStyle name="요약 12 11 2 2" xfId="33618"/>
    <cellStyle name="요약 12 11 3" xfId="30267"/>
    <cellStyle name="요약 12 12" xfId="13214"/>
    <cellStyle name="요약 12 12 2" xfId="16565"/>
    <cellStyle name="요약 12 12 2 2" xfId="33706"/>
    <cellStyle name="요약 12 12 3" xfId="30355"/>
    <cellStyle name="요약 12 13" xfId="13225"/>
    <cellStyle name="요약 12 13 2" xfId="16576"/>
    <cellStyle name="요약 12 13 2 2" xfId="33717"/>
    <cellStyle name="요약 12 13 3" xfId="30366"/>
    <cellStyle name="요약 12 14" xfId="13391"/>
    <cellStyle name="요약 12 14 2" xfId="16742"/>
    <cellStyle name="요약 12 14 2 2" xfId="33883"/>
    <cellStyle name="요약 12 14 3" xfId="30532"/>
    <cellStyle name="요약 12 15" xfId="13467"/>
    <cellStyle name="요약 12 15 2" xfId="16818"/>
    <cellStyle name="요약 12 15 2 2" xfId="33959"/>
    <cellStyle name="요약 12 15 3" xfId="30608"/>
    <cellStyle name="요약 12 16" xfId="13528"/>
    <cellStyle name="요약 12 16 2" xfId="16879"/>
    <cellStyle name="요약 12 16 2 2" xfId="34020"/>
    <cellStyle name="요약 12 16 3" xfId="30669"/>
    <cellStyle name="요약 12 17" xfId="13597"/>
    <cellStyle name="요약 12 17 2" xfId="16948"/>
    <cellStyle name="요약 12 17 2 2" xfId="34089"/>
    <cellStyle name="요약 12 17 3" xfId="30738"/>
    <cellStyle name="요약 12 18" xfId="13660"/>
    <cellStyle name="요약 12 18 2" xfId="17011"/>
    <cellStyle name="요약 12 18 2 2" xfId="34152"/>
    <cellStyle name="요약 12 18 3" xfId="30801"/>
    <cellStyle name="요약 12 19" xfId="13697"/>
    <cellStyle name="요약 12 19 2" xfId="17048"/>
    <cellStyle name="요약 12 19 2 2" xfId="34189"/>
    <cellStyle name="요약 12 19 3" xfId="30838"/>
    <cellStyle name="요약 12 2" xfId="920"/>
    <cellStyle name="요약 12 2 2" xfId="1333"/>
    <cellStyle name="요약 12 2 2 2" xfId="2231"/>
    <cellStyle name="요약 12 2 2 2 2" xfId="15537"/>
    <cellStyle name="요약 12 2 2 2 2 2" xfId="32678"/>
    <cellStyle name="요약 12 2 2 2 3" xfId="19374"/>
    <cellStyle name="요약 12 2 2 3" xfId="14641"/>
    <cellStyle name="요약 12 2 2 3 2" xfId="31782"/>
    <cellStyle name="요약 12 2 2 4" xfId="18476"/>
    <cellStyle name="요약 12 2 3" xfId="1836"/>
    <cellStyle name="요약 12 2 3 2" xfId="15142"/>
    <cellStyle name="요약 12 2 3 2 2" xfId="32283"/>
    <cellStyle name="요약 12 2 3 3" xfId="18979"/>
    <cellStyle name="요약 12 2 4" xfId="14237"/>
    <cellStyle name="요약 12 2 4 2" xfId="31378"/>
    <cellStyle name="요약 12 2 5" xfId="18063"/>
    <cellStyle name="요약 12 20" xfId="13923"/>
    <cellStyle name="요약 12 20 2" xfId="31064"/>
    <cellStyle name="요약 12 21" xfId="17587"/>
    <cellStyle name="요약 12 3" xfId="774"/>
    <cellStyle name="요약 12 3 2" xfId="1227"/>
    <cellStyle name="요약 12 3 2 2" xfId="2125"/>
    <cellStyle name="요약 12 3 2 2 2" xfId="15431"/>
    <cellStyle name="요약 12 3 2 2 2 2" xfId="32572"/>
    <cellStyle name="요약 12 3 2 2 3" xfId="19268"/>
    <cellStyle name="요약 12 3 2 3" xfId="14535"/>
    <cellStyle name="요약 12 3 2 3 2" xfId="31676"/>
    <cellStyle name="요약 12 3 2 4" xfId="18370"/>
    <cellStyle name="요약 12 3 3" xfId="1730"/>
    <cellStyle name="요약 12 3 3 2" xfId="15036"/>
    <cellStyle name="요약 12 3 3 2 2" xfId="32177"/>
    <cellStyle name="요약 12 3 3 3" xfId="18873"/>
    <cellStyle name="요약 12 3 4" xfId="14131"/>
    <cellStyle name="요약 12 3 4 2" xfId="31272"/>
    <cellStyle name="요약 12 3 5" xfId="17917"/>
    <cellStyle name="요약 12 4" xfId="1033"/>
    <cellStyle name="요약 12 4 2" xfId="1429"/>
    <cellStyle name="요약 12 4 2 2" xfId="2327"/>
    <cellStyle name="요약 12 4 2 2 2" xfId="15633"/>
    <cellStyle name="요약 12 4 2 2 2 2" xfId="32774"/>
    <cellStyle name="요약 12 4 2 2 3" xfId="19470"/>
    <cellStyle name="요약 12 4 2 3" xfId="14737"/>
    <cellStyle name="요약 12 4 2 3 2" xfId="31878"/>
    <cellStyle name="요약 12 4 2 4" xfId="18572"/>
    <cellStyle name="요약 12 4 3" xfId="1940"/>
    <cellStyle name="요약 12 4 3 2" xfId="15246"/>
    <cellStyle name="요약 12 4 3 2 2" xfId="32387"/>
    <cellStyle name="요약 12 4 3 3" xfId="19083"/>
    <cellStyle name="요약 12 4 4" xfId="14341"/>
    <cellStyle name="요약 12 4 4 2" xfId="31482"/>
    <cellStyle name="요약 12 4 5" xfId="18176"/>
    <cellStyle name="요약 12 5" xfId="1130"/>
    <cellStyle name="요약 12 5 2" xfId="2032"/>
    <cellStyle name="요약 12 5 2 2" xfId="15338"/>
    <cellStyle name="요약 12 5 2 2 2" xfId="32479"/>
    <cellStyle name="요약 12 5 2 3" xfId="19175"/>
    <cellStyle name="요약 12 5 3" xfId="14438"/>
    <cellStyle name="요약 12 5 3 2" xfId="31579"/>
    <cellStyle name="요약 12 5 4" xfId="18273"/>
    <cellStyle name="요약 12 6" xfId="1525"/>
    <cellStyle name="요약 12 6 2" xfId="2422"/>
    <cellStyle name="요약 12 6 2 2" xfId="15728"/>
    <cellStyle name="요약 12 6 2 2 2" xfId="32869"/>
    <cellStyle name="요약 12 6 2 3" xfId="19565"/>
    <cellStyle name="요약 12 6 3" xfId="14832"/>
    <cellStyle name="요약 12 6 3 2" xfId="31973"/>
    <cellStyle name="요약 12 6 4" xfId="18668"/>
    <cellStyle name="요약 12 7" xfId="668"/>
    <cellStyle name="요약 12 7 2" xfId="14034"/>
    <cellStyle name="요약 12 7 2 2" xfId="31175"/>
    <cellStyle name="요약 12 7 3" xfId="17811"/>
    <cellStyle name="요약 12 8" xfId="1631"/>
    <cellStyle name="요약 12 8 2" xfId="14937"/>
    <cellStyle name="요약 12 8 2 2" xfId="32078"/>
    <cellStyle name="요약 12 8 3" xfId="18774"/>
    <cellStyle name="요약 12 9" xfId="12931"/>
    <cellStyle name="요약 12 9 2" xfId="16289"/>
    <cellStyle name="요약 12 9 2 2" xfId="33430"/>
    <cellStyle name="요약 12 9 3" xfId="30072"/>
    <cellStyle name="요약 13" xfId="448"/>
    <cellStyle name="요약 13 10" xfId="13047"/>
    <cellStyle name="요약 13 10 2" xfId="16398"/>
    <cellStyle name="요약 13 10 2 2" xfId="33539"/>
    <cellStyle name="요약 13 10 3" xfId="30188"/>
    <cellStyle name="요약 13 11" xfId="13130"/>
    <cellStyle name="요약 13 11 2" xfId="16481"/>
    <cellStyle name="요약 13 11 2 2" xfId="33622"/>
    <cellStyle name="요약 13 11 3" xfId="30271"/>
    <cellStyle name="요약 13 12" xfId="13218"/>
    <cellStyle name="요약 13 12 2" xfId="16569"/>
    <cellStyle name="요약 13 12 2 2" xfId="33710"/>
    <cellStyle name="요약 13 12 3" xfId="30359"/>
    <cellStyle name="요약 13 13" xfId="13165"/>
    <cellStyle name="요약 13 13 2" xfId="16516"/>
    <cellStyle name="요약 13 13 2 2" xfId="33657"/>
    <cellStyle name="요약 13 13 3" xfId="30306"/>
    <cellStyle name="요약 13 14" xfId="13395"/>
    <cellStyle name="요약 13 14 2" xfId="16746"/>
    <cellStyle name="요약 13 14 2 2" xfId="33887"/>
    <cellStyle name="요약 13 14 3" xfId="30536"/>
    <cellStyle name="요약 13 15" xfId="13471"/>
    <cellStyle name="요약 13 15 2" xfId="16822"/>
    <cellStyle name="요약 13 15 2 2" xfId="33963"/>
    <cellStyle name="요약 13 15 3" xfId="30612"/>
    <cellStyle name="요약 13 16" xfId="13532"/>
    <cellStyle name="요약 13 16 2" xfId="16883"/>
    <cellStyle name="요약 13 16 2 2" xfId="34024"/>
    <cellStyle name="요약 13 16 3" xfId="30673"/>
    <cellStyle name="요약 13 17" xfId="13600"/>
    <cellStyle name="요약 13 17 2" xfId="16951"/>
    <cellStyle name="요약 13 17 2 2" xfId="34092"/>
    <cellStyle name="요약 13 17 3" xfId="30741"/>
    <cellStyle name="요약 13 18" xfId="13663"/>
    <cellStyle name="요약 13 18 2" xfId="17014"/>
    <cellStyle name="요약 13 18 2 2" xfId="34155"/>
    <cellStyle name="요약 13 18 3" xfId="30804"/>
    <cellStyle name="요약 13 19" xfId="13695"/>
    <cellStyle name="요약 13 19 2" xfId="17046"/>
    <cellStyle name="요약 13 19 2 2" xfId="34187"/>
    <cellStyle name="요약 13 19 3" xfId="30836"/>
    <cellStyle name="요약 13 2" xfId="924"/>
    <cellStyle name="요약 13 2 2" xfId="1336"/>
    <cellStyle name="요약 13 2 2 2" xfId="2234"/>
    <cellStyle name="요약 13 2 2 2 2" xfId="15540"/>
    <cellStyle name="요약 13 2 2 2 2 2" xfId="32681"/>
    <cellStyle name="요약 13 2 2 2 3" xfId="19377"/>
    <cellStyle name="요약 13 2 2 3" xfId="14644"/>
    <cellStyle name="요약 13 2 2 3 2" xfId="31785"/>
    <cellStyle name="요약 13 2 2 4" xfId="18479"/>
    <cellStyle name="요약 13 2 3" xfId="1839"/>
    <cellStyle name="요약 13 2 3 2" xfId="15145"/>
    <cellStyle name="요약 13 2 3 2 2" xfId="32286"/>
    <cellStyle name="요약 13 2 3 3" xfId="18982"/>
    <cellStyle name="요약 13 2 4" xfId="14240"/>
    <cellStyle name="요약 13 2 4 2" xfId="31381"/>
    <cellStyle name="요약 13 2 5" xfId="18067"/>
    <cellStyle name="요약 13 20" xfId="13926"/>
    <cellStyle name="요약 13 20 2" xfId="31067"/>
    <cellStyle name="요약 13 21" xfId="17591"/>
    <cellStyle name="요약 13 3" xfId="777"/>
    <cellStyle name="요약 13 3 2" xfId="1230"/>
    <cellStyle name="요약 13 3 2 2" xfId="2128"/>
    <cellStyle name="요약 13 3 2 2 2" xfId="15434"/>
    <cellStyle name="요약 13 3 2 2 2 2" xfId="32575"/>
    <cellStyle name="요약 13 3 2 2 3" xfId="19271"/>
    <cellStyle name="요약 13 3 2 3" xfId="14538"/>
    <cellStyle name="요약 13 3 2 3 2" xfId="31679"/>
    <cellStyle name="요약 13 3 2 4" xfId="18373"/>
    <cellStyle name="요약 13 3 3" xfId="1733"/>
    <cellStyle name="요약 13 3 3 2" xfId="15039"/>
    <cellStyle name="요약 13 3 3 2 2" xfId="32180"/>
    <cellStyle name="요약 13 3 3 3" xfId="18876"/>
    <cellStyle name="요약 13 3 4" xfId="14134"/>
    <cellStyle name="요약 13 3 4 2" xfId="31275"/>
    <cellStyle name="요약 13 3 5" xfId="17920"/>
    <cellStyle name="요약 13 4" xfId="1036"/>
    <cellStyle name="요약 13 4 2" xfId="1432"/>
    <cellStyle name="요약 13 4 2 2" xfId="2330"/>
    <cellStyle name="요약 13 4 2 2 2" xfId="15636"/>
    <cellStyle name="요약 13 4 2 2 2 2" xfId="32777"/>
    <cellStyle name="요약 13 4 2 2 3" xfId="19473"/>
    <cellStyle name="요약 13 4 2 3" xfId="14740"/>
    <cellStyle name="요약 13 4 2 3 2" xfId="31881"/>
    <cellStyle name="요약 13 4 2 4" xfId="18575"/>
    <cellStyle name="요약 13 4 3" xfId="1943"/>
    <cellStyle name="요약 13 4 3 2" xfId="15249"/>
    <cellStyle name="요약 13 4 3 2 2" xfId="32390"/>
    <cellStyle name="요약 13 4 3 3" xfId="19086"/>
    <cellStyle name="요약 13 4 4" xfId="14344"/>
    <cellStyle name="요약 13 4 4 2" xfId="31485"/>
    <cellStyle name="요약 13 4 5" xfId="18179"/>
    <cellStyle name="요약 13 5" xfId="1133"/>
    <cellStyle name="요약 13 5 2" xfId="2035"/>
    <cellStyle name="요약 13 5 2 2" xfId="15341"/>
    <cellStyle name="요약 13 5 2 2 2" xfId="32482"/>
    <cellStyle name="요약 13 5 2 3" xfId="19178"/>
    <cellStyle name="요약 13 5 3" xfId="14441"/>
    <cellStyle name="요약 13 5 3 2" xfId="31582"/>
    <cellStyle name="요약 13 5 4" xfId="18276"/>
    <cellStyle name="요약 13 6" xfId="1528"/>
    <cellStyle name="요약 13 6 2" xfId="2425"/>
    <cellStyle name="요약 13 6 2 2" xfId="15731"/>
    <cellStyle name="요약 13 6 2 2 2" xfId="32872"/>
    <cellStyle name="요약 13 6 2 3" xfId="19568"/>
    <cellStyle name="요약 13 6 3" xfId="14835"/>
    <cellStyle name="요약 13 6 3 2" xfId="31976"/>
    <cellStyle name="요약 13 6 4" xfId="18671"/>
    <cellStyle name="요약 13 7" xfId="672"/>
    <cellStyle name="요약 13 7 2" xfId="14037"/>
    <cellStyle name="요약 13 7 2 2" xfId="31178"/>
    <cellStyle name="요약 13 7 3" xfId="17815"/>
    <cellStyle name="요약 13 8" xfId="1634"/>
    <cellStyle name="요약 13 8 2" xfId="14940"/>
    <cellStyle name="요약 13 8 2 2" xfId="32081"/>
    <cellStyle name="요약 13 8 3" xfId="18777"/>
    <cellStyle name="요약 13 9" xfId="12934"/>
    <cellStyle name="요약 13 9 2" xfId="16292"/>
    <cellStyle name="요약 13 9 2 2" xfId="33433"/>
    <cellStyle name="요약 13 9 3" xfId="30075"/>
    <cellStyle name="요약 14" xfId="542"/>
    <cellStyle name="요약 14 2" xfId="9687"/>
    <cellStyle name="요약 14 2 2" xfId="15861"/>
    <cellStyle name="요약 14 2 2 2" xfId="33002"/>
    <cellStyle name="요약 14 2 3" xfId="26828"/>
    <cellStyle name="요약 14 3" xfId="17685"/>
    <cellStyle name="요약 15" xfId="9688"/>
    <cellStyle name="요약 15 2" xfId="9689"/>
    <cellStyle name="요약 15 2 2" xfId="15863"/>
    <cellStyle name="요약 15 2 2 2" xfId="33004"/>
    <cellStyle name="요약 15 2 3" xfId="26830"/>
    <cellStyle name="요약 15 3" xfId="15862"/>
    <cellStyle name="요약 15 3 2" xfId="33003"/>
    <cellStyle name="요약 15 4" xfId="26829"/>
    <cellStyle name="요약 16" xfId="9690"/>
    <cellStyle name="요약 16 2" xfId="9691"/>
    <cellStyle name="요약 16 2 2" xfId="15865"/>
    <cellStyle name="요약 16 2 2 2" xfId="33006"/>
    <cellStyle name="요약 16 2 3" xfId="26832"/>
    <cellStyle name="요약 16 3" xfId="15864"/>
    <cellStyle name="요약 16 3 2" xfId="33005"/>
    <cellStyle name="요약 16 4" xfId="26831"/>
    <cellStyle name="요약 17" xfId="9692"/>
    <cellStyle name="요약 17 2" xfId="9693"/>
    <cellStyle name="요약 17 2 2" xfId="15867"/>
    <cellStyle name="요약 17 2 2 2" xfId="33008"/>
    <cellStyle name="요약 17 2 3" xfId="26834"/>
    <cellStyle name="요약 17 3" xfId="15866"/>
    <cellStyle name="요약 17 3 2" xfId="33007"/>
    <cellStyle name="요약 17 4" xfId="26833"/>
    <cellStyle name="요약 18" xfId="9694"/>
    <cellStyle name="요약 18 2" xfId="9695"/>
    <cellStyle name="요약 18 2 2" xfId="15869"/>
    <cellStyle name="요약 18 2 2 2" xfId="33010"/>
    <cellStyle name="요약 18 2 3" xfId="26836"/>
    <cellStyle name="요약 18 3" xfId="15868"/>
    <cellStyle name="요약 18 3 2" xfId="33009"/>
    <cellStyle name="요약 18 4" xfId="26835"/>
    <cellStyle name="요약 19" xfId="9696"/>
    <cellStyle name="요약 19 2" xfId="9697"/>
    <cellStyle name="요약 19 2 2" xfId="15871"/>
    <cellStyle name="요약 19 2 2 2" xfId="33012"/>
    <cellStyle name="요약 19 2 3" xfId="26838"/>
    <cellStyle name="요약 19 3" xfId="15870"/>
    <cellStyle name="요약 19 3 2" xfId="33011"/>
    <cellStyle name="요약 19 4" xfId="26837"/>
    <cellStyle name="요약 2" xfId="231"/>
    <cellStyle name="요약 2 10" xfId="12696"/>
    <cellStyle name="요약 2 10 2" xfId="16059"/>
    <cellStyle name="요약 2 10 2 2" xfId="33200"/>
    <cellStyle name="요약 2 10 3" xfId="29837"/>
    <cellStyle name="요약 2 11" xfId="12994"/>
    <cellStyle name="요약 2 11 2" xfId="16345"/>
    <cellStyle name="요약 2 11 2 2" xfId="33486"/>
    <cellStyle name="요약 2 11 3" xfId="30135"/>
    <cellStyle name="요약 2 12" xfId="12883"/>
    <cellStyle name="요약 2 12 2" xfId="16241"/>
    <cellStyle name="요약 2 12 2 2" xfId="33382"/>
    <cellStyle name="요약 2 12 3" xfId="30024"/>
    <cellStyle name="요약 2 13" xfId="13237"/>
    <cellStyle name="요약 2 13 2" xfId="16588"/>
    <cellStyle name="요약 2 13 2 2" xfId="33729"/>
    <cellStyle name="요약 2 13 3" xfId="30378"/>
    <cellStyle name="요약 2 14" xfId="12770"/>
    <cellStyle name="요약 2 14 2" xfId="16133"/>
    <cellStyle name="요약 2 14 2 2" xfId="33274"/>
    <cellStyle name="요약 2 14 3" xfId="29911"/>
    <cellStyle name="요약 2 15" xfId="13294"/>
    <cellStyle name="요약 2 15 2" xfId="16645"/>
    <cellStyle name="요약 2 15 2 2" xfId="33786"/>
    <cellStyle name="요약 2 15 3" xfId="30435"/>
    <cellStyle name="요약 2 16" xfId="13350"/>
    <cellStyle name="요약 2 16 2" xfId="16701"/>
    <cellStyle name="요약 2 16 2 2" xfId="33842"/>
    <cellStyle name="요약 2 16 3" xfId="30491"/>
    <cellStyle name="요약 2 17" xfId="12757"/>
    <cellStyle name="요약 2 17 2" xfId="16120"/>
    <cellStyle name="요약 2 17 2 2" xfId="33261"/>
    <cellStyle name="요약 2 17 3" xfId="29898"/>
    <cellStyle name="요약 2 18" xfId="12797"/>
    <cellStyle name="요약 2 18 2" xfId="16158"/>
    <cellStyle name="요약 2 18 2 2" xfId="33299"/>
    <cellStyle name="요약 2 18 3" xfId="29938"/>
    <cellStyle name="요약 2 19" xfId="13470"/>
    <cellStyle name="요약 2 19 2" xfId="16821"/>
    <cellStyle name="요약 2 19 2 2" xfId="33962"/>
    <cellStyle name="요약 2 19 3" xfId="30611"/>
    <cellStyle name="요약 2 2" xfId="814"/>
    <cellStyle name="요약 2 2 2" xfId="1257"/>
    <cellStyle name="요약 2 2 2 2" xfId="2155"/>
    <cellStyle name="요약 2 2 2 2 2" xfId="15461"/>
    <cellStyle name="요약 2 2 2 2 2 2" xfId="32602"/>
    <cellStyle name="요약 2 2 2 2 3" xfId="19298"/>
    <cellStyle name="요약 2 2 2 3" xfId="14565"/>
    <cellStyle name="요약 2 2 2 3 2" xfId="31706"/>
    <cellStyle name="요약 2 2 2 4" xfId="18400"/>
    <cellStyle name="요약 2 2 3" xfId="1760"/>
    <cellStyle name="요약 2 2 3 2" xfId="15066"/>
    <cellStyle name="요약 2 2 3 2 2" xfId="32207"/>
    <cellStyle name="요약 2 2 3 3" xfId="18903"/>
    <cellStyle name="요약 2 2 4" xfId="14161"/>
    <cellStyle name="요약 2 2 4 2" xfId="31302"/>
    <cellStyle name="요약 2 2 5" xfId="17957"/>
    <cellStyle name="요약 2 20" xfId="13752"/>
    <cellStyle name="요약 2 20 2" xfId="17103"/>
    <cellStyle name="요약 2 20 2 2" xfId="34244"/>
    <cellStyle name="요약 2 20 3" xfId="30893"/>
    <cellStyle name="요약 2 21" xfId="13777"/>
    <cellStyle name="요약 2 21 2" xfId="17123"/>
    <cellStyle name="요약 2 21 2 2" xfId="34264"/>
    <cellStyle name="요약 2 21 3" xfId="30918"/>
    <cellStyle name="요약 2 22" xfId="13847"/>
    <cellStyle name="요약 2 22 2" xfId="30988"/>
    <cellStyle name="요약 2 23" xfId="17374"/>
    <cellStyle name="요약 2 24" xfId="35675"/>
    <cellStyle name="요약 2 3" xfId="710"/>
    <cellStyle name="요약 2 3 2" xfId="1163"/>
    <cellStyle name="요약 2 3 2 2" xfId="2062"/>
    <cellStyle name="요약 2 3 2 2 2" xfId="15368"/>
    <cellStyle name="요약 2 3 2 2 2 2" xfId="32509"/>
    <cellStyle name="요약 2 3 2 2 3" xfId="19205"/>
    <cellStyle name="요약 2 3 2 3" xfId="14471"/>
    <cellStyle name="요약 2 3 2 3 2" xfId="31612"/>
    <cellStyle name="요약 2 3 2 4" xfId="18306"/>
    <cellStyle name="요약 2 3 3" xfId="1666"/>
    <cellStyle name="요약 2 3 3 2" xfId="14972"/>
    <cellStyle name="요약 2 3 3 2 2" xfId="32113"/>
    <cellStyle name="요약 2 3 3 3" xfId="18809"/>
    <cellStyle name="요약 2 3 4" xfId="14067"/>
    <cellStyle name="요약 2 3 4 2" xfId="31208"/>
    <cellStyle name="요약 2 3 5" xfId="17853"/>
    <cellStyle name="요약 2 4" xfId="963"/>
    <cellStyle name="요약 2 4 2" xfId="1367"/>
    <cellStyle name="요약 2 4 2 2" xfId="2265"/>
    <cellStyle name="요약 2 4 2 2 2" xfId="15571"/>
    <cellStyle name="요약 2 4 2 2 2 2" xfId="32712"/>
    <cellStyle name="요약 2 4 2 2 3" xfId="19408"/>
    <cellStyle name="요약 2 4 2 3" xfId="14675"/>
    <cellStyle name="요약 2 4 2 3 2" xfId="31816"/>
    <cellStyle name="요약 2 4 2 4" xfId="18510"/>
    <cellStyle name="요약 2 4 3" xfId="1870"/>
    <cellStyle name="요약 2 4 3 2" xfId="15176"/>
    <cellStyle name="요약 2 4 3 2 2" xfId="32317"/>
    <cellStyle name="요약 2 4 3 3" xfId="19013"/>
    <cellStyle name="요약 2 4 4" xfId="14271"/>
    <cellStyle name="요약 2 4 4 2" xfId="31412"/>
    <cellStyle name="요약 2 4 5" xfId="18106"/>
    <cellStyle name="요약 2 5" xfId="1064"/>
    <cellStyle name="요약 2 5 2" xfId="1971"/>
    <cellStyle name="요약 2 5 2 2" xfId="15277"/>
    <cellStyle name="요약 2 5 2 2 2" xfId="32418"/>
    <cellStyle name="요약 2 5 2 3" xfId="19114"/>
    <cellStyle name="요약 2 5 3" xfId="14372"/>
    <cellStyle name="요약 2 5 3 2" xfId="31513"/>
    <cellStyle name="요약 2 5 4" xfId="18207"/>
    <cellStyle name="요약 2 6" xfId="1464"/>
    <cellStyle name="요약 2 6 2" xfId="2361"/>
    <cellStyle name="요약 2 6 2 2" xfId="15667"/>
    <cellStyle name="요약 2 6 2 2 2" xfId="32808"/>
    <cellStyle name="요약 2 6 2 3" xfId="19504"/>
    <cellStyle name="요약 2 6 3" xfId="14771"/>
    <cellStyle name="요약 2 6 3 2" xfId="31912"/>
    <cellStyle name="요약 2 6 4" xfId="18607"/>
    <cellStyle name="요약 2 7" xfId="562"/>
    <cellStyle name="요약 2 7 2" xfId="13958"/>
    <cellStyle name="요약 2 7 2 2" xfId="31099"/>
    <cellStyle name="요약 2 7 3" xfId="17705"/>
    <cellStyle name="요약 2 8" xfId="1556"/>
    <cellStyle name="요약 2 8 2" xfId="14862"/>
    <cellStyle name="요약 2 8 2 2" xfId="32003"/>
    <cellStyle name="요약 2 8 3" xfId="18699"/>
    <cellStyle name="요약 2 9" xfId="12753"/>
    <cellStyle name="요약 2 9 2" xfId="16116"/>
    <cellStyle name="요약 2 9 2 2" xfId="33257"/>
    <cellStyle name="요약 2 9 3" xfId="29894"/>
    <cellStyle name="요약 20" xfId="9698"/>
    <cellStyle name="요약 20 2" xfId="9699"/>
    <cellStyle name="요약 20 2 2" xfId="15873"/>
    <cellStyle name="요약 20 2 2 2" xfId="33014"/>
    <cellStyle name="요약 20 2 3" xfId="26840"/>
    <cellStyle name="요약 20 3" xfId="15872"/>
    <cellStyle name="요약 20 3 2" xfId="33013"/>
    <cellStyle name="요약 20 4" xfId="26839"/>
    <cellStyle name="요약 21" xfId="9700"/>
    <cellStyle name="요약 21 2" xfId="9701"/>
    <cellStyle name="요약 21 2 2" xfId="15875"/>
    <cellStyle name="요약 21 2 2 2" xfId="33016"/>
    <cellStyle name="요약 21 2 3" xfId="26842"/>
    <cellStyle name="요약 21 3" xfId="15874"/>
    <cellStyle name="요약 21 3 2" xfId="33015"/>
    <cellStyle name="요약 21 4" xfId="26841"/>
    <cellStyle name="요약 22" xfId="9702"/>
    <cellStyle name="요약 22 2" xfId="9703"/>
    <cellStyle name="요약 22 2 2" xfId="15877"/>
    <cellStyle name="요약 22 2 2 2" xfId="33018"/>
    <cellStyle name="요약 22 2 3" xfId="26844"/>
    <cellStyle name="요약 22 3" xfId="15876"/>
    <cellStyle name="요약 22 3 2" xfId="33017"/>
    <cellStyle name="요약 22 4" xfId="26843"/>
    <cellStyle name="요약 23" xfId="9704"/>
    <cellStyle name="요약 23 2" xfId="9705"/>
    <cellStyle name="요약 23 2 2" xfId="15879"/>
    <cellStyle name="요약 23 2 2 2" xfId="33020"/>
    <cellStyle name="요약 23 2 3" xfId="26846"/>
    <cellStyle name="요약 23 3" xfId="15878"/>
    <cellStyle name="요약 23 3 2" xfId="33019"/>
    <cellStyle name="요약 23 4" xfId="26845"/>
    <cellStyle name="요약 24" xfId="9706"/>
    <cellStyle name="요약 24 2" xfId="9707"/>
    <cellStyle name="요약 24 2 2" xfId="15881"/>
    <cellStyle name="요약 24 2 2 2" xfId="33022"/>
    <cellStyle name="요약 24 2 3" xfId="26848"/>
    <cellStyle name="요약 24 3" xfId="15880"/>
    <cellStyle name="요약 24 3 2" xfId="33021"/>
    <cellStyle name="요약 24 4" xfId="26847"/>
    <cellStyle name="요약 25" xfId="9708"/>
    <cellStyle name="요약 25 2" xfId="15882"/>
    <cellStyle name="요약 25 2 2" xfId="33023"/>
    <cellStyle name="요약 25 3" xfId="26849"/>
    <cellStyle name="요약 26" xfId="9709"/>
    <cellStyle name="요약 26 2" xfId="15883"/>
    <cellStyle name="요약 26 2 2" xfId="33024"/>
    <cellStyle name="요약 26 3" xfId="26850"/>
    <cellStyle name="요약 27" xfId="59"/>
    <cellStyle name="요약 27 2" xfId="17231"/>
    <cellStyle name="요약 3" xfId="333"/>
    <cellStyle name="요약 3 10" xfId="12735"/>
    <cellStyle name="요약 3 10 2" xfId="16098"/>
    <cellStyle name="요약 3 10 2 2" xfId="33239"/>
    <cellStyle name="요약 3 10 3" xfId="29876"/>
    <cellStyle name="요약 3 11" xfId="12616"/>
    <cellStyle name="요약 3 11 2" xfId="15979"/>
    <cellStyle name="요약 3 11 2 2" xfId="33120"/>
    <cellStyle name="요약 3 11 3" xfId="29757"/>
    <cellStyle name="요약 3 12" xfId="12761"/>
    <cellStyle name="요약 3 12 2" xfId="16124"/>
    <cellStyle name="요약 3 12 2 2" xfId="33265"/>
    <cellStyle name="요약 3 12 3" xfId="29902"/>
    <cellStyle name="요약 3 13" xfId="12584"/>
    <cellStyle name="요약 3 13 2" xfId="15947"/>
    <cellStyle name="요약 3 13 2 2" xfId="33088"/>
    <cellStyle name="요약 3 13 3" xfId="29725"/>
    <cellStyle name="요약 3 14" xfId="13308"/>
    <cellStyle name="요약 3 14 2" xfId="16659"/>
    <cellStyle name="요약 3 14 2 2" xfId="33800"/>
    <cellStyle name="요약 3 14 3" xfId="30449"/>
    <cellStyle name="요약 3 15" xfId="12717"/>
    <cellStyle name="요약 3 15 2" xfId="16080"/>
    <cellStyle name="요약 3 15 2 2" xfId="33221"/>
    <cellStyle name="요약 3 15 3" xfId="29858"/>
    <cellStyle name="요약 3 16" xfId="13344"/>
    <cellStyle name="요약 3 16 2" xfId="16695"/>
    <cellStyle name="요약 3 16 2 2" xfId="33836"/>
    <cellStyle name="요약 3 16 3" xfId="30485"/>
    <cellStyle name="요약 3 17" xfId="13302"/>
    <cellStyle name="요약 3 17 2" xfId="16653"/>
    <cellStyle name="요약 3 17 2 2" xfId="33794"/>
    <cellStyle name="요약 3 17 3" xfId="30443"/>
    <cellStyle name="요약 3 18" xfId="13342"/>
    <cellStyle name="요약 3 18 2" xfId="16693"/>
    <cellStyle name="요약 3 18 2 2" xfId="33834"/>
    <cellStyle name="요약 3 18 3" xfId="30483"/>
    <cellStyle name="요약 3 19" xfId="13399"/>
    <cellStyle name="요약 3 19 2" xfId="16750"/>
    <cellStyle name="요약 3 19 2 2" xfId="33891"/>
    <cellStyle name="요약 3 19 3" xfId="30540"/>
    <cellStyle name="요약 3 2" xfId="842"/>
    <cellStyle name="요약 3 2 2" xfId="1271"/>
    <cellStyle name="요약 3 2 2 2" xfId="2169"/>
    <cellStyle name="요약 3 2 2 2 2" xfId="15475"/>
    <cellStyle name="요약 3 2 2 2 2 2" xfId="32616"/>
    <cellStyle name="요약 3 2 2 2 3" xfId="19312"/>
    <cellStyle name="요약 3 2 2 3" xfId="14579"/>
    <cellStyle name="요약 3 2 2 3 2" xfId="31720"/>
    <cellStyle name="요약 3 2 2 4" xfId="18414"/>
    <cellStyle name="요약 3 2 3" xfId="1774"/>
    <cellStyle name="요약 3 2 3 2" xfId="15080"/>
    <cellStyle name="요약 3 2 3 2 2" xfId="32221"/>
    <cellStyle name="요약 3 2 3 3" xfId="18917"/>
    <cellStyle name="요약 3 2 4" xfId="14175"/>
    <cellStyle name="요약 3 2 4 2" xfId="31316"/>
    <cellStyle name="요약 3 2 5" xfId="17985"/>
    <cellStyle name="요약 3 20" xfId="13779"/>
    <cellStyle name="요약 3 20 2" xfId="17125"/>
    <cellStyle name="요약 3 20 2 2" xfId="34266"/>
    <cellStyle name="요약 3 20 3" xfId="30920"/>
    <cellStyle name="요약 3 21" xfId="13802"/>
    <cellStyle name="요약 3 21 2" xfId="17148"/>
    <cellStyle name="요약 3 21 2 2" xfId="34289"/>
    <cellStyle name="요약 3 21 3" xfId="30943"/>
    <cellStyle name="요약 3 22" xfId="13861"/>
    <cellStyle name="요약 3 22 2" xfId="31002"/>
    <cellStyle name="요약 3 23" xfId="17476"/>
    <cellStyle name="요약 3 24" xfId="35676"/>
    <cellStyle name="요약 3 3" xfId="723"/>
    <cellStyle name="요약 3 3 2" xfId="1176"/>
    <cellStyle name="요약 3 3 2 2" xfId="2074"/>
    <cellStyle name="요약 3 3 2 2 2" xfId="15380"/>
    <cellStyle name="요약 3 3 2 2 2 2" xfId="32521"/>
    <cellStyle name="요약 3 3 2 2 3" xfId="19217"/>
    <cellStyle name="요약 3 3 2 3" xfId="14484"/>
    <cellStyle name="요약 3 3 2 3 2" xfId="31625"/>
    <cellStyle name="요약 3 3 2 4" xfId="18319"/>
    <cellStyle name="요약 3 3 3" xfId="1679"/>
    <cellStyle name="요약 3 3 3 2" xfId="14985"/>
    <cellStyle name="요약 3 3 3 2 2" xfId="32126"/>
    <cellStyle name="요약 3 3 3 3" xfId="18822"/>
    <cellStyle name="요약 3 3 4" xfId="14080"/>
    <cellStyle name="요약 3 3 4 2" xfId="31221"/>
    <cellStyle name="요약 3 3 5" xfId="17866"/>
    <cellStyle name="요약 3 4" xfId="975"/>
    <cellStyle name="요약 3 4 2" xfId="1378"/>
    <cellStyle name="요약 3 4 2 2" xfId="2276"/>
    <cellStyle name="요약 3 4 2 2 2" xfId="15582"/>
    <cellStyle name="요약 3 4 2 2 2 2" xfId="32723"/>
    <cellStyle name="요약 3 4 2 2 3" xfId="19419"/>
    <cellStyle name="요약 3 4 2 3" xfId="14686"/>
    <cellStyle name="요약 3 4 2 3 2" xfId="31827"/>
    <cellStyle name="요약 3 4 2 4" xfId="18521"/>
    <cellStyle name="요약 3 4 3" xfId="1882"/>
    <cellStyle name="요약 3 4 3 2" xfId="15188"/>
    <cellStyle name="요약 3 4 3 2 2" xfId="32329"/>
    <cellStyle name="요약 3 4 3 3" xfId="19025"/>
    <cellStyle name="요약 3 4 4" xfId="14283"/>
    <cellStyle name="요약 3 4 4 2" xfId="31424"/>
    <cellStyle name="요약 3 4 5" xfId="18118"/>
    <cellStyle name="요약 3 5" xfId="1075"/>
    <cellStyle name="요약 3 5 2" xfId="1982"/>
    <cellStyle name="요약 3 5 2 2" xfId="15288"/>
    <cellStyle name="요약 3 5 2 2 2" xfId="32429"/>
    <cellStyle name="요약 3 5 2 3" xfId="19125"/>
    <cellStyle name="요약 3 5 3" xfId="14383"/>
    <cellStyle name="요약 3 5 3 2" xfId="31524"/>
    <cellStyle name="요약 3 5 4" xfId="18218"/>
    <cellStyle name="요약 3 6" xfId="1475"/>
    <cellStyle name="요약 3 6 2" xfId="2372"/>
    <cellStyle name="요약 3 6 2 2" xfId="15678"/>
    <cellStyle name="요약 3 6 2 2 2" xfId="32819"/>
    <cellStyle name="요약 3 6 2 3" xfId="19515"/>
    <cellStyle name="요약 3 6 3" xfId="14782"/>
    <cellStyle name="요약 3 6 3 2" xfId="31923"/>
    <cellStyle name="요약 3 6 4" xfId="18618"/>
    <cellStyle name="요약 3 7" xfId="590"/>
    <cellStyle name="요약 3 7 2" xfId="13972"/>
    <cellStyle name="요약 3 7 2 2" xfId="31113"/>
    <cellStyle name="요약 3 7 3" xfId="17733"/>
    <cellStyle name="요약 3 8" xfId="1569"/>
    <cellStyle name="요약 3 8 2" xfId="14875"/>
    <cellStyle name="요약 3 8 2 2" xfId="32016"/>
    <cellStyle name="요약 3 8 3" xfId="18712"/>
    <cellStyle name="요약 3 9" xfId="12833"/>
    <cellStyle name="요약 3 9 2" xfId="16191"/>
    <cellStyle name="요약 3 9 2 2" xfId="33332"/>
    <cellStyle name="요약 3 9 3" xfId="29974"/>
    <cellStyle name="요약 4" xfId="367"/>
    <cellStyle name="요약 4 10" xfId="12675"/>
    <cellStyle name="요약 4 10 2" xfId="16038"/>
    <cellStyle name="요약 4 10 2 2" xfId="33179"/>
    <cellStyle name="요약 4 10 3" xfId="29816"/>
    <cellStyle name="요약 4 11" xfId="12669"/>
    <cellStyle name="요약 4 11 2" xfId="16032"/>
    <cellStyle name="요약 4 11 2 2" xfId="33173"/>
    <cellStyle name="요약 4 11 3" xfId="29810"/>
    <cellStyle name="요약 4 12" xfId="12916"/>
    <cellStyle name="요약 4 12 2" xfId="16274"/>
    <cellStyle name="요약 4 12 2 2" xfId="33415"/>
    <cellStyle name="요약 4 12 3" xfId="30057"/>
    <cellStyle name="요약 4 13" xfId="12600"/>
    <cellStyle name="요약 4 13 2" xfId="15963"/>
    <cellStyle name="요약 4 13 2 2" xfId="33104"/>
    <cellStyle name="요약 4 13 3" xfId="29741"/>
    <cellStyle name="요약 4 14" xfId="12702"/>
    <cellStyle name="요약 4 14 2" xfId="16065"/>
    <cellStyle name="요약 4 14 2 2" xfId="33206"/>
    <cellStyle name="요약 4 14 3" xfId="29843"/>
    <cellStyle name="요약 4 15" xfId="13040"/>
    <cellStyle name="요약 4 15 2" xfId="16391"/>
    <cellStyle name="요약 4 15 2 2" xfId="33532"/>
    <cellStyle name="요약 4 15 3" xfId="30181"/>
    <cellStyle name="요약 4 16" xfId="12671"/>
    <cellStyle name="요약 4 16 2" xfId="16034"/>
    <cellStyle name="요약 4 16 2 2" xfId="33175"/>
    <cellStyle name="요약 4 16 3" xfId="29812"/>
    <cellStyle name="요약 4 17" xfId="12806"/>
    <cellStyle name="요약 4 17 2" xfId="16167"/>
    <cellStyle name="요약 4 17 2 2" xfId="33308"/>
    <cellStyle name="요약 4 17 3" xfId="29947"/>
    <cellStyle name="요약 4 18" xfId="13257"/>
    <cellStyle name="요약 4 18 2" xfId="16608"/>
    <cellStyle name="요약 4 18 2 2" xfId="33749"/>
    <cellStyle name="요약 4 18 3" xfId="30398"/>
    <cellStyle name="요약 4 19" xfId="13776"/>
    <cellStyle name="요약 4 19 2" xfId="17122"/>
    <cellStyle name="요약 4 19 2 2" xfId="34263"/>
    <cellStyle name="요약 4 19 3" xfId="30917"/>
    <cellStyle name="요약 4 2" xfId="871"/>
    <cellStyle name="요약 4 2 2" xfId="1294"/>
    <cellStyle name="요약 4 2 2 2" xfId="2192"/>
    <cellStyle name="요약 4 2 2 2 2" xfId="15498"/>
    <cellStyle name="요약 4 2 2 2 2 2" xfId="32639"/>
    <cellStyle name="요약 4 2 2 2 3" xfId="19335"/>
    <cellStyle name="요약 4 2 2 3" xfId="14602"/>
    <cellStyle name="요약 4 2 2 3 2" xfId="31743"/>
    <cellStyle name="요약 4 2 2 4" xfId="18437"/>
    <cellStyle name="요약 4 2 3" xfId="1797"/>
    <cellStyle name="요약 4 2 3 2" xfId="15103"/>
    <cellStyle name="요약 4 2 3 2 2" xfId="32244"/>
    <cellStyle name="요약 4 2 3 3" xfId="18940"/>
    <cellStyle name="요약 4 2 4" xfId="14198"/>
    <cellStyle name="요약 4 2 4 2" xfId="31339"/>
    <cellStyle name="요약 4 2 5" xfId="18014"/>
    <cellStyle name="요약 4 20" xfId="13884"/>
    <cellStyle name="요약 4 20 2" xfId="31025"/>
    <cellStyle name="요약 4 21" xfId="17510"/>
    <cellStyle name="요약 4 22" xfId="35677"/>
    <cellStyle name="요약 4 3" xfId="739"/>
    <cellStyle name="요약 4 3 2" xfId="1192"/>
    <cellStyle name="요약 4 3 2 2" xfId="2090"/>
    <cellStyle name="요약 4 3 2 2 2" xfId="15396"/>
    <cellStyle name="요약 4 3 2 2 2 2" xfId="32537"/>
    <cellStyle name="요약 4 3 2 2 3" xfId="19233"/>
    <cellStyle name="요약 4 3 2 3" xfId="14500"/>
    <cellStyle name="요약 4 3 2 3 2" xfId="31641"/>
    <cellStyle name="요약 4 3 2 4" xfId="18335"/>
    <cellStyle name="요약 4 3 3" xfId="1695"/>
    <cellStyle name="요약 4 3 3 2" xfId="15001"/>
    <cellStyle name="요약 4 3 3 2 2" xfId="32142"/>
    <cellStyle name="요약 4 3 3 3" xfId="18838"/>
    <cellStyle name="요약 4 3 4" xfId="14096"/>
    <cellStyle name="요약 4 3 4 2" xfId="31237"/>
    <cellStyle name="요약 4 3 5" xfId="17882"/>
    <cellStyle name="요약 4 4" xfId="994"/>
    <cellStyle name="요약 4 4 2" xfId="1394"/>
    <cellStyle name="요약 4 4 2 2" xfId="2292"/>
    <cellStyle name="요약 4 4 2 2 2" xfId="15598"/>
    <cellStyle name="요약 4 4 2 2 2 2" xfId="32739"/>
    <cellStyle name="요약 4 4 2 2 3" xfId="19435"/>
    <cellStyle name="요약 4 4 2 3" xfId="14702"/>
    <cellStyle name="요약 4 4 2 3 2" xfId="31843"/>
    <cellStyle name="요약 4 4 2 4" xfId="18537"/>
    <cellStyle name="요약 4 4 3" xfId="1901"/>
    <cellStyle name="요약 4 4 3 2" xfId="15207"/>
    <cellStyle name="요약 4 4 3 2 2" xfId="32348"/>
    <cellStyle name="요약 4 4 3 3" xfId="19044"/>
    <cellStyle name="요약 4 4 4" xfId="14302"/>
    <cellStyle name="요약 4 4 4 2" xfId="31443"/>
    <cellStyle name="요약 4 4 5" xfId="18137"/>
    <cellStyle name="요약 4 5" xfId="1095"/>
    <cellStyle name="요약 4 5 2" xfId="1998"/>
    <cellStyle name="요약 4 5 2 2" xfId="15304"/>
    <cellStyle name="요약 4 5 2 2 2" xfId="32445"/>
    <cellStyle name="요약 4 5 2 3" xfId="19141"/>
    <cellStyle name="요약 4 5 3" xfId="14403"/>
    <cellStyle name="요약 4 5 3 2" xfId="31544"/>
    <cellStyle name="요약 4 5 4" xfId="18238"/>
    <cellStyle name="요약 4 6" xfId="1491"/>
    <cellStyle name="요약 4 6 2" xfId="2388"/>
    <cellStyle name="요약 4 6 2 2" xfId="15694"/>
    <cellStyle name="요약 4 6 2 2 2" xfId="32835"/>
    <cellStyle name="요약 4 6 2 3" xfId="19531"/>
    <cellStyle name="요약 4 6 3" xfId="14798"/>
    <cellStyle name="요약 4 6 3 2" xfId="31939"/>
    <cellStyle name="요약 4 6 4" xfId="18634"/>
    <cellStyle name="요약 4 7" xfId="619"/>
    <cellStyle name="요약 4 7 2" xfId="13995"/>
    <cellStyle name="요약 4 7 2 2" xfId="31136"/>
    <cellStyle name="요약 4 7 3" xfId="17762"/>
    <cellStyle name="요약 4 8" xfId="1592"/>
    <cellStyle name="요약 4 8 2" xfId="14898"/>
    <cellStyle name="요약 4 8 2 2" xfId="32039"/>
    <cellStyle name="요약 4 8 3" xfId="18735"/>
    <cellStyle name="요약 4 9" xfId="12863"/>
    <cellStyle name="요약 4 9 2" xfId="16221"/>
    <cellStyle name="요약 4 9 2 2" xfId="33362"/>
    <cellStyle name="요약 4 9 3" xfId="30004"/>
    <cellStyle name="요약 5" xfId="383"/>
    <cellStyle name="요약 5 10" xfId="12987"/>
    <cellStyle name="요약 5 10 2" xfId="16338"/>
    <cellStyle name="요약 5 10 2 2" xfId="33479"/>
    <cellStyle name="요약 5 10 3" xfId="30128"/>
    <cellStyle name="요약 5 11" xfId="12672"/>
    <cellStyle name="요약 5 11 2" xfId="16035"/>
    <cellStyle name="요약 5 11 2 2" xfId="33176"/>
    <cellStyle name="요약 5 11 3" xfId="29813"/>
    <cellStyle name="요약 5 12" xfId="12788"/>
    <cellStyle name="요약 5 12 2" xfId="16150"/>
    <cellStyle name="요약 5 12 2 2" xfId="33291"/>
    <cellStyle name="요약 5 12 3" xfId="29929"/>
    <cellStyle name="요약 5 13" xfId="13301"/>
    <cellStyle name="요약 5 13 2" xfId="16652"/>
    <cellStyle name="요약 5 13 2 2" xfId="33793"/>
    <cellStyle name="요약 5 13 3" xfId="30442"/>
    <cellStyle name="요약 5 14" xfId="13348"/>
    <cellStyle name="요약 5 14 2" xfId="16699"/>
    <cellStyle name="요약 5 14 2 2" xfId="33840"/>
    <cellStyle name="요약 5 14 3" xfId="30489"/>
    <cellStyle name="요약 5 15" xfId="12811"/>
    <cellStyle name="요약 5 15 2" xfId="16172"/>
    <cellStyle name="요약 5 15 2 2" xfId="33313"/>
    <cellStyle name="요약 5 15 3" xfId="29952"/>
    <cellStyle name="요약 5 16" xfId="13385"/>
    <cellStyle name="요약 5 16 2" xfId="16736"/>
    <cellStyle name="요약 5 16 2 2" xfId="33877"/>
    <cellStyle name="요약 5 16 3" xfId="30526"/>
    <cellStyle name="요약 5 17" xfId="13007"/>
    <cellStyle name="요약 5 17 2" xfId="16358"/>
    <cellStyle name="요약 5 17 2 2" xfId="33499"/>
    <cellStyle name="요약 5 17 3" xfId="30148"/>
    <cellStyle name="요약 5 18" xfId="13091"/>
    <cellStyle name="요약 5 18 2" xfId="16442"/>
    <cellStyle name="요약 5 18 2 2" xfId="33583"/>
    <cellStyle name="요약 5 18 3" xfId="30232"/>
    <cellStyle name="요약 5 19" xfId="13762"/>
    <cellStyle name="요약 5 19 2" xfId="17112"/>
    <cellStyle name="요약 5 19 2 2" xfId="34253"/>
    <cellStyle name="요약 5 19 3" xfId="30903"/>
    <cellStyle name="요약 5 2" xfId="880"/>
    <cellStyle name="요약 5 2 2" xfId="1300"/>
    <cellStyle name="요약 5 2 2 2" xfId="2198"/>
    <cellStyle name="요약 5 2 2 2 2" xfId="15504"/>
    <cellStyle name="요약 5 2 2 2 2 2" xfId="32645"/>
    <cellStyle name="요약 5 2 2 2 3" xfId="19341"/>
    <cellStyle name="요약 5 2 2 3" xfId="14608"/>
    <cellStyle name="요약 5 2 2 3 2" xfId="31749"/>
    <cellStyle name="요약 5 2 2 4" xfId="18443"/>
    <cellStyle name="요약 5 2 3" xfId="1803"/>
    <cellStyle name="요약 5 2 3 2" xfId="15109"/>
    <cellStyle name="요약 5 2 3 2 2" xfId="32250"/>
    <cellStyle name="요약 5 2 3 3" xfId="18946"/>
    <cellStyle name="요약 5 2 4" xfId="14204"/>
    <cellStyle name="요약 5 2 4 2" xfId="31345"/>
    <cellStyle name="요약 5 2 5" xfId="18023"/>
    <cellStyle name="요약 5 20" xfId="13890"/>
    <cellStyle name="요약 5 20 2" xfId="31031"/>
    <cellStyle name="요약 5 21" xfId="17526"/>
    <cellStyle name="요약 5 3" xfId="744"/>
    <cellStyle name="요약 5 3 2" xfId="1197"/>
    <cellStyle name="요약 5 3 2 2" xfId="2095"/>
    <cellStyle name="요약 5 3 2 2 2" xfId="15401"/>
    <cellStyle name="요약 5 3 2 2 2 2" xfId="32542"/>
    <cellStyle name="요약 5 3 2 2 3" xfId="19238"/>
    <cellStyle name="요약 5 3 2 3" xfId="14505"/>
    <cellStyle name="요약 5 3 2 3 2" xfId="31646"/>
    <cellStyle name="요약 5 3 2 4" xfId="18340"/>
    <cellStyle name="요약 5 3 3" xfId="1700"/>
    <cellStyle name="요약 5 3 3 2" xfId="15006"/>
    <cellStyle name="요약 5 3 3 2 2" xfId="32147"/>
    <cellStyle name="요약 5 3 3 3" xfId="18843"/>
    <cellStyle name="요약 5 3 4" xfId="14101"/>
    <cellStyle name="요약 5 3 4 2" xfId="31242"/>
    <cellStyle name="요약 5 3 5" xfId="17887"/>
    <cellStyle name="요약 5 4" xfId="1000"/>
    <cellStyle name="요약 5 4 2" xfId="1399"/>
    <cellStyle name="요약 5 4 2 2" xfId="2297"/>
    <cellStyle name="요약 5 4 2 2 2" xfId="15603"/>
    <cellStyle name="요약 5 4 2 2 2 2" xfId="32744"/>
    <cellStyle name="요약 5 4 2 2 3" xfId="19440"/>
    <cellStyle name="요약 5 4 2 3" xfId="14707"/>
    <cellStyle name="요약 5 4 2 3 2" xfId="31848"/>
    <cellStyle name="요약 5 4 2 4" xfId="18542"/>
    <cellStyle name="요약 5 4 3" xfId="1907"/>
    <cellStyle name="요약 5 4 3 2" xfId="15213"/>
    <cellStyle name="요약 5 4 3 2 2" xfId="32354"/>
    <cellStyle name="요약 5 4 3 3" xfId="19050"/>
    <cellStyle name="요약 5 4 4" xfId="14308"/>
    <cellStyle name="요약 5 4 4 2" xfId="31449"/>
    <cellStyle name="요약 5 4 5" xfId="18143"/>
    <cellStyle name="요약 5 5" xfId="1100"/>
    <cellStyle name="요약 5 5 2" xfId="2003"/>
    <cellStyle name="요약 5 5 2 2" xfId="15309"/>
    <cellStyle name="요약 5 5 2 2 2" xfId="32450"/>
    <cellStyle name="요약 5 5 2 3" xfId="19146"/>
    <cellStyle name="요약 5 5 3" xfId="14408"/>
    <cellStyle name="요약 5 5 3 2" xfId="31549"/>
    <cellStyle name="요약 5 5 4" xfId="18243"/>
    <cellStyle name="요약 5 6" xfId="1496"/>
    <cellStyle name="요약 5 6 2" xfId="2393"/>
    <cellStyle name="요약 5 6 2 2" xfId="15699"/>
    <cellStyle name="요약 5 6 2 2 2" xfId="32840"/>
    <cellStyle name="요약 5 6 2 3" xfId="19536"/>
    <cellStyle name="요약 5 6 3" xfId="14803"/>
    <cellStyle name="요약 5 6 3 2" xfId="31944"/>
    <cellStyle name="요약 5 6 4" xfId="18639"/>
    <cellStyle name="요약 5 7" xfId="628"/>
    <cellStyle name="요약 5 7 2" xfId="14001"/>
    <cellStyle name="요약 5 7 2 2" xfId="31142"/>
    <cellStyle name="요약 5 7 3" xfId="17771"/>
    <cellStyle name="요약 5 8" xfId="1598"/>
    <cellStyle name="요약 5 8 2" xfId="14904"/>
    <cellStyle name="요약 5 8 2 2" xfId="32045"/>
    <cellStyle name="요약 5 8 3" xfId="18741"/>
    <cellStyle name="요약 5 9" xfId="12876"/>
    <cellStyle name="요약 5 9 2" xfId="16234"/>
    <cellStyle name="요약 5 9 2 2" xfId="33375"/>
    <cellStyle name="요약 5 9 3" xfId="30017"/>
    <cellStyle name="요약 6" xfId="358"/>
    <cellStyle name="요약 6 10" xfId="12585"/>
    <cellStyle name="요약 6 10 2" xfId="15948"/>
    <cellStyle name="요약 6 10 2 2" xfId="33089"/>
    <cellStyle name="요약 6 10 3" xfId="29726"/>
    <cellStyle name="요약 6 11" xfId="12718"/>
    <cellStyle name="요약 6 11 2" xfId="16081"/>
    <cellStyle name="요약 6 11 2 2" xfId="33222"/>
    <cellStyle name="요약 6 11 3" xfId="29859"/>
    <cellStyle name="요약 6 12" xfId="12756"/>
    <cellStyle name="요약 6 12 2" xfId="16119"/>
    <cellStyle name="요약 6 12 2 2" xfId="33260"/>
    <cellStyle name="요약 6 12 3" xfId="29897"/>
    <cellStyle name="요약 6 13" xfId="12991"/>
    <cellStyle name="요약 6 13 2" xfId="16342"/>
    <cellStyle name="요약 6 13 2 2" xfId="33483"/>
    <cellStyle name="요약 6 13 3" xfId="30132"/>
    <cellStyle name="요약 6 14" xfId="12725"/>
    <cellStyle name="요약 6 14 2" xfId="16088"/>
    <cellStyle name="요약 6 14 2 2" xfId="33229"/>
    <cellStyle name="요약 6 14 3" xfId="29866"/>
    <cellStyle name="요약 6 15" xfId="13114"/>
    <cellStyle name="요약 6 15 2" xfId="16465"/>
    <cellStyle name="요약 6 15 2 2" xfId="33606"/>
    <cellStyle name="요약 6 15 3" xfId="30255"/>
    <cellStyle name="요약 6 16" xfId="12815"/>
    <cellStyle name="요약 6 16 2" xfId="16176"/>
    <cellStyle name="요약 6 16 2 2" xfId="33317"/>
    <cellStyle name="요약 6 16 3" xfId="29956"/>
    <cellStyle name="요약 6 17" xfId="13152"/>
    <cellStyle name="요약 6 17 2" xfId="16503"/>
    <cellStyle name="요약 6 17 2 2" xfId="33644"/>
    <cellStyle name="요약 6 17 3" xfId="30293"/>
    <cellStyle name="요약 6 18" xfId="12999"/>
    <cellStyle name="요약 6 18 2" xfId="16350"/>
    <cellStyle name="요약 6 18 2 2" xfId="33491"/>
    <cellStyle name="요약 6 18 3" xfId="30140"/>
    <cellStyle name="요약 6 19" xfId="13794"/>
    <cellStyle name="요약 6 19 2" xfId="17140"/>
    <cellStyle name="요약 6 19 2 2" xfId="34281"/>
    <cellStyle name="요약 6 19 3" xfId="30935"/>
    <cellStyle name="요약 6 2" xfId="864"/>
    <cellStyle name="요약 6 2 2" xfId="1288"/>
    <cellStyle name="요약 6 2 2 2" xfId="2186"/>
    <cellStyle name="요약 6 2 2 2 2" xfId="15492"/>
    <cellStyle name="요약 6 2 2 2 2 2" xfId="32633"/>
    <cellStyle name="요약 6 2 2 2 3" xfId="19329"/>
    <cellStyle name="요약 6 2 2 3" xfId="14596"/>
    <cellStyle name="요약 6 2 2 3 2" xfId="31737"/>
    <cellStyle name="요약 6 2 2 4" xfId="18431"/>
    <cellStyle name="요약 6 2 3" xfId="1791"/>
    <cellStyle name="요약 6 2 3 2" xfId="15097"/>
    <cellStyle name="요약 6 2 3 2 2" xfId="32238"/>
    <cellStyle name="요약 6 2 3 3" xfId="18934"/>
    <cellStyle name="요약 6 2 4" xfId="14192"/>
    <cellStyle name="요약 6 2 4 2" xfId="31333"/>
    <cellStyle name="요약 6 2 5" xfId="18007"/>
    <cellStyle name="요약 6 20" xfId="13878"/>
    <cellStyle name="요약 6 20 2" xfId="31019"/>
    <cellStyle name="요약 6 21" xfId="17501"/>
    <cellStyle name="요약 6 3" xfId="735"/>
    <cellStyle name="요약 6 3 2" xfId="1188"/>
    <cellStyle name="요약 6 3 2 2" xfId="2086"/>
    <cellStyle name="요약 6 3 2 2 2" xfId="15392"/>
    <cellStyle name="요약 6 3 2 2 2 2" xfId="32533"/>
    <cellStyle name="요약 6 3 2 2 3" xfId="19229"/>
    <cellStyle name="요약 6 3 2 3" xfId="14496"/>
    <cellStyle name="요약 6 3 2 3 2" xfId="31637"/>
    <cellStyle name="요약 6 3 2 4" xfId="18331"/>
    <cellStyle name="요약 6 3 3" xfId="1691"/>
    <cellStyle name="요약 6 3 3 2" xfId="14997"/>
    <cellStyle name="요약 6 3 3 2 2" xfId="32138"/>
    <cellStyle name="요약 6 3 3 3" xfId="18834"/>
    <cellStyle name="요약 6 3 4" xfId="14092"/>
    <cellStyle name="요약 6 3 4 2" xfId="31233"/>
    <cellStyle name="요약 6 3 5" xfId="17878"/>
    <cellStyle name="요약 6 4" xfId="988"/>
    <cellStyle name="요약 6 4 2" xfId="1390"/>
    <cellStyle name="요약 6 4 2 2" xfId="2288"/>
    <cellStyle name="요약 6 4 2 2 2" xfId="15594"/>
    <cellStyle name="요약 6 4 2 2 2 2" xfId="32735"/>
    <cellStyle name="요약 6 4 2 2 3" xfId="19431"/>
    <cellStyle name="요약 6 4 2 3" xfId="14698"/>
    <cellStyle name="요약 6 4 2 3 2" xfId="31839"/>
    <cellStyle name="요약 6 4 2 4" xfId="18533"/>
    <cellStyle name="요약 6 4 3" xfId="1895"/>
    <cellStyle name="요약 6 4 3 2" xfId="15201"/>
    <cellStyle name="요약 6 4 3 2 2" xfId="32342"/>
    <cellStyle name="요약 6 4 3 3" xfId="19038"/>
    <cellStyle name="요약 6 4 4" xfId="14296"/>
    <cellStyle name="요약 6 4 4 2" xfId="31437"/>
    <cellStyle name="요약 6 4 5" xfId="18131"/>
    <cellStyle name="요약 6 5" xfId="1091"/>
    <cellStyle name="요약 6 5 2" xfId="1994"/>
    <cellStyle name="요약 6 5 2 2" xfId="15300"/>
    <cellStyle name="요약 6 5 2 2 2" xfId="32441"/>
    <cellStyle name="요약 6 5 2 3" xfId="19137"/>
    <cellStyle name="요약 6 5 3" xfId="14399"/>
    <cellStyle name="요약 6 5 3 2" xfId="31540"/>
    <cellStyle name="요약 6 5 4" xfId="18234"/>
    <cellStyle name="요약 6 6" xfId="1487"/>
    <cellStyle name="요약 6 6 2" xfId="2384"/>
    <cellStyle name="요약 6 6 2 2" xfId="15690"/>
    <cellStyle name="요약 6 6 2 2 2" xfId="32831"/>
    <cellStyle name="요약 6 6 2 3" xfId="19527"/>
    <cellStyle name="요약 6 6 3" xfId="14794"/>
    <cellStyle name="요약 6 6 3 2" xfId="31935"/>
    <cellStyle name="요약 6 6 4" xfId="18630"/>
    <cellStyle name="요약 6 7" xfId="612"/>
    <cellStyle name="요약 6 7 2" xfId="13989"/>
    <cellStyle name="요약 6 7 2 2" xfId="31130"/>
    <cellStyle name="요약 6 7 3" xfId="17755"/>
    <cellStyle name="요약 6 8" xfId="1586"/>
    <cellStyle name="요약 6 8 2" xfId="14892"/>
    <cellStyle name="요약 6 8 2 2" xfId="32033"/>
    <cellStyle name="요약 6 8 3" xfId="18729"/>
    <cellStyle name="요약 6 9" xfId="12854"/>
    <cellStyle name="요약 6 9 2" xfId="16212"/>
    <cellStyle name="요약 6 9 2 2" xfId="33353"/>
    <cellStyle name="요약 6 9 3" xfId="29995"/>
    <cellStyle name="요약 7" xfId="434"/>
    <cellStyle name="요약 7 10" xfId="13034"/>
    <cellStyle name="요약 7 10 2" xfId="16385"/>
    <cellStyle name="요약 7 10 2 2" xfId="33526"/>
    <cellStyle name="요약 7 10 3" xfId="30175"/>
    <cellStyle name="요약 7 11" xfId="13119"/>
    <cellStyle name="요약 7 11 2" xfId="16470"/>
    <cellStyle name="요약 7 11 2 2" xfId="33611"/>
    <cellStyle name="요약 7 11 3" xfId="30260"/>
    <cellStyle name="요약 7 12" xfId="13206"/>
    <cellStyle name="요약 7 12 2" xfId="16557"/>
    <cellStyle name="요약 7 12 2 2" xfId="33698"/>
    <cellStyle name="요약 7 12 3" xfId="30347"/>
    <cellStyle name="요약 7 13" xfId="13207"/>
    <cellStyle name="요약 7 13 2" xfId="16558"/>
    <cellStyle name="요약 7 13 2 2" xfId="33699"/>
    <cellStyle name="요약 7 13 3" xfId="30348"/>
    <cellStyle name="요약 7 14" xfId="13384"/>
    <cellStyle name="요약 7 14 2" xfId="16735"/>
    <cellStyle name="요약 7 14 2 2" xfId="33876"/>
    <cellStyle name="요약 7 14 3" xfId="30525"/>
    <cellStyle name="요약 7 15" xfId="13460"/>
    <cellStyle name="요약 7 15 2" xfId="16811"/>
    <cellStyle name="요약 7 15 2 2" xfId="33952"/>
    <cellStyle name="요약 7 15 3" xfId="30601"/>
    <cellStyle name="요약 7 16" xfId="13524"/>
    <cellStyle name="요약 7 16 2" xfId="16875"/>
    <cellStyle name="요약 7 16 2 2" xfId="34016"/>
    <cellStyle name="요약 7 16 3" xfId="30665"/>
    <cellStyle name="요약 7 17" xfId="13592"/>
    <cellStyle name="요약 7 17 2" xfId="16943"/>
    <cellStyle name="요약 7 17 2 2" xfId="34084"/>
    <cellStyle name="요약 7 17 3" xfId="30733"/>
    <cellStyle name="요약 7 18" xfId="13655"/>
    <cellStyle name="요약 7 18 2" xfId="17006"/>
    <cellStyle name="요약 7 18 2 2" xfId="34147"/>
    <cellStyle name="요약 7 18 3" xfId="30796"/>
    <cellStyle name="요약 7 19" xfId="13702"/>
    <cellStyle name="요약 7 19 2" xfId="17053"/>
    <cellStyle name="요약 7 19 2 2" xfId="34194"/>
    <cellStyle name="요약 7 19 3" xfId="30843"/>
    <cellStyle name="요약 7 2" xfId="914"/>
    <cellStyle name="요약 7 2 2" xfId="1328"/>
    <cellStyle name="요약 7 2 2 2" xfId="2226"/>
    <cellStyle name="요약 7 2 2 2 2" xfId="15532"/>
    <cellStyle name="요약 7 2 2 2 2 2" xfId="32673"/>
    <cellStyle name="요약 7 2 2 2 3" xfId="19369"/>
    <cellStyle name="요약 7 2 2 3" xfId="14636"/>
    <cellStyle name="요약 7 2 2 3 2" xfId="31777"/>
    <cellStyle name="요약 7 2 2 4" xfId="18471"/>
    <cellStyle name="요약 7 2 3" xfId="1831"/>
    <cellStyle name="요약 7 2 3 2" xfId="15137"/>
    <cellStyle name="요약 7 2 3 2 2" xfId="32278"/>
    <cellStyle name="요약 7 2 3 3" xfId="18974"/>
    <cellStyle name="요약 7 2 4" xfId="14232"/>
    <cellStyle name="요약 7 2 4 2" xfId="31373"/>
    <cellStyle name="요약 7 2 5" xfId="18057"/>
    <cellStyle name="요약 7 20" xfId="13918"/>
    <cellStyle name="요약 7 20 2" xfId="31059"/>
    <cellStyle name="요약 7 21" xfId="17577"/>
    <cellStyle name="요약 7 3" xfId="769"/>
    <cellStyle name="요약 7 3 2" xfId="1222"/>
    <cellStyle name="요약 7 3 2 2" xfId="2120"/>
    <cellStyle name="요약 7 3 2 2 2" xfId="15426"/>
    <cellStyle name="요약 7 3 2 2 2 2" xfId="32567"/>
    <cellStyle name="요약 7 3 2 2 3" xfId="19263"/>
    <cellStyle name="요약 7 3 2 3" xfId="14530"/>
    <cellStyle name="요약 7 3 2 3 2" xfId="31671"/>
    <cellStyle name="요약 7 3 2 4" xfId="18365"/>
    <cellStyle name="요약 7 3 3" xfId="1725"/>
    <cellStyle name="요약 7 3 3 2" xfId="15031"/>
    <cellStyle name="요약 7 3 3 2 2" xfId="32172"/>
    <cellStyle name="요약 7 3 3 3" xfId="18868"/>
    <cellStyle name="요약 7 3 4" xfId="14126"/>
    <cellStyle name="요약 7 3 4 2" xfId="31267"/>
    <cellStyle name="요약 7 3 5" xfId="17912"/>
    <cellStyle name="요약 7 4" xfId="1028"/>
    <cellStyle name="요약 7 4 2" xfId="1424"/>
    <cellStyle name="요약 7 4 2 2" xfId="2322"/>
    <cellStyle name="요약 7 4 2 2 2" xfId="15628"/>
    <cellStyle name="요약 7 4 2 2 2 2" xfId="32769"/>
    <cellStyle name="요약 7 4 2 2 3" xfId="19465"/>
    <cellStyle name="요약 7 4 2 3" xfId="14732"/>
    <cellStyle name="요약 7 4 2 3 2" xfId="31873"/>
    <cellStyle name="요약 7 4 2 4" xfId="18567"/>
    <cellStyle name="요약 7 4 3" xfId="1935"/>
    <cellStyle name="요약 7 4 3 2" xfId="15241"/>
    <cellStyle name="요약 7 4 3 2 2" xfId="32382"/>
    <cellStyle name="요약 7 4 3 3" xfId="19078"/>
    <cellStyle name="요약 7 4 4" xfId="14336"/>
    <cellStyle name="요약 7 4 4 2" xfId="31477"/>
    <cellStyle name="요약 7 4 5" xfId="18171"/>
    <cellStyle name="요약 7 5" xfId="1125"/>
    <cellStyle name="요약 7 5 2" xfId="2027"/>
    <cellStyle name="요약 7 5 2 2" xfId="15333"/>
    <cellStyle name="요약 7 5 2 2 2" xfId="32474"/>
    <cellStyle name="요약 7 5 2 3" xfId="19170"/>
    <cellStyle name="요약 7 5 3" xfId="14433"/>
    <cellStyle name="요약 7 5 3 2" xfId="31574"/>
    <cellStyle name="요약 7 5 4" xfId="18268"/>
    <cellStyle name="요약 7 6" xfId="1520"/>
    <cellStyle name="요약 7 6 2" xfId="2417"/>
    <cellStyle name="요약 7 6 2 2" xfId="15723"/>
    <cellStyle name="요약 7 6 2 2 2" xfId="32864"/>
    <cellStyle name="요약 7 6 2 3" xfId="19560"/>
    <cellStyle name="요약 7 6 3" xfId="14827"/>
    <cellStyle name="요약 7 6 3 2" xfId="31968"/>
    <cellStyle name="요약 7 6 4" xfId="18663"/>
    <cellStyle name="요약 7 7" xfId="662"/>
    <cellStyle name="요약 7 7 2" xfId="14029"/>
    <cellStyle name="요약 7 7 2 2" xfId="31170"/>
    <cellStyle name="요약 7 7 3" xfId="17805"/>
    <cellStyle name="요약 7 8" xfId="1626"/>
    <cellStyle name="요약 7 8 2" xfId="14932"/>
    <cellStyle name="요약 7 8 2 2" xfId="32073"/>
    <cellStyle name="요약 7 8 3" xfId="18769"/>
    <cellStyle name="요약 7 9" xfId="12922"/>
    <cellStyle name="요약 7 9 2" xfId="16280"/>
    <cellStyle name="요약 7 9 2 2" xfId="33421"/>
    <cellStyle name="요약 7 9 3" xfId="30063"/>
    <cellStyle name="요약 8" xfId="351"/>
    <cellStyle name="요약 8 10" xfId="12729"/>
    <cellStyle name="요약 8 10 2" xfId="16092"/>
    <cellStyle name="요약 8 10 2 2" xfId="33233"/>
    <cellStyle name="요약 8 10 3" xfId="29870"/>
    <cellStyle name="요약 8 11" xfId="12795"/>
    <cellStyle name="요약 8 11 2" xfId="16156"/>
    <cellStyle name="요약 8 11 2 2" xfId="33297"/>
    <cellStyle name="요약 8 11 3" xfId="29936"/>
    <cellStyle name="요약 8 12" xfId="12995"/>
    <cellStyle name="요약 8 12 2" xfId="16346"/>
    <cellStyle name="요약 8 12 2 2" xfId="33487"/>
    <cellStyle name="요약 8 12 3" xfId="30136"/>
    <cellStyle name="요약 8 13" xfId="13209"/>
    <cellStyle name="요약 8 13 2" xfId="16560"/>
    <cellStyle name="요약 8 13 2 2" xfId="33701"/>
    <cellStyle name="요약 8 13 3" xfId="30350"/>
    <cellStyle name="요약 8 14" xfId="13315"/>
    <cellStyle name="요약 8 14 2" xfId="16666"/>
    <cellStyle name="요약 8 14 2 2" xfId="33807"/>
    <cellStyle name="요약 8 14 3" xfId="30456"/>
    <cellStyle name="요약 8 15" xfId="12627"/>
    <cellStyle name="요약 8 15 2" xfId="15990"/>
    <cellStyle name="요약 8 15 2 2" xfId="33131"/>
    <cellStyle name="요약 8 15 3" xfId="29768"/>
    <cellStyle name="요약 8 16" xfId="12838"/>
    <cellStyle name="요약 8 16 2" xfId="16196"/>
    <cellStyle name="요약 8 16 2 2" xfId="33337"/>
    <cellStyle name="요약 8 16 3" xfId="29979"/>
    <cellStyle name="요약 8 17" xfId="13432"/>
    <cellStyle name="요약 8 17 2" xfId="16783"/>
    <cellStyle name="요약 8 17 2 2" xfId="33924"/>
    <cellStyle name="요약 8 17 3" xfId="30573"/>
    <cellStyle name="요약 8 18" xfId="12745"/>
    <cellStyle name="요약 8 18 2" xfId="16108"/>
    <cellStyle name="요약 8 18 2 2" xfId="33249"/>
    <cellStyle name="요약 8 18 3" xfId="29886"/>
    <cellStyle name="요약 8 19" xfId="13720"/>
    <cellStyle name="요약 8 19 2" xfId="17071"/>
    <cellStyle name="요약 8 19 2 2" xfId="34212"/>
    <cellStyle name="요약 8 19 3" xfId="30861"/>
    <cellStyle name="요약 8 2" xfId="858"/>
    <cellStyle name="요약 8 2 2" xfId="1284"/>
    <cellStyle name="요약 8 2 2 2" xfId="2182"/>
    <cellStyle name="요약 8 2 2 2 2" xfId="15488"/>
    <cellStyle name="요약 8 2 2 2 2 2" xfId="32629"/>
    <cellStyle name="요약 8 2 2 2 3" xfId="19325"/>
    <cellStyle name="요약 8 2 2 3" xfId="14592"/>
    <cellStyle name="요약 8 2 2 3 2" xfId="31733"/>
    <cellStyle name="요약 8 2 2 4" xfId="18427"/>
    <cellStyle name="요약 8 2 3" xfId="1787"/>
    <cellStyle name="요약 8 2 3 2" xfId="15093"/>
    <cellStyle name="요약 8 2 3 2 2" xfId="32234"/>
    <cellStyle name="요약 8 2 3 3" xfId="18930"/>
    <cellStyle name="요약 8 2 4" xfId="14188"/>
    <cellStyle name="요약 8 2 4 2" xfId="31329"/>
    <cellStyle name="요약 8 2 5" xfId="18001"/>
    <cellStyle name="요약 8 20" xfId="13874"/>
    <cellStyle name="요약 8 20 2" xfId="31015"/>
    <cellStyle name="요약 8 21" xfId="17494"/>
    <cellStyle name="요약 8 3" xfId="731"/>
    <cellStyle name="요약 8 3 2" xfId="1184"/>
    <cellStyle name="요약 8 3 2 2" xfId="2082"/>
    <cellStyle name="요약 8 3 2 2 2" xfId="15388"/>
    <cellStyle name="요약 8 3 2 2 2 2" xfId="32529"/>
    <cellStyle name="요약 8 3 2 2 3" xfId="19225"/>
    <cellStyle name="요약 8 3 2 3" xfId="14492"/>
    <cellStyle name="요약 8 3 2 3 2" xfId="31633"/>
    <cellStyle name="요약 8 3 2 4" xfId="18327"/>
    <cellStyle name="요약 8 3 3" xfId="1687"/>
    <cellStyle name="요약 8 3 3 2" xfId="14993"/>
    <cellStyle name="요약 8 3 3 2 2" xfId="32134"/>
    <cellStyle name="요약 8 3 3 3" xfId="18830"/>
    <cellStyle name="요약 8 3 4" xfId="14088"/>
    <cellStyle name="요약 8 3 4 2" xfId="31229"/>
    <cellStyle name="요약 8 3 5" xfId="17874"/>
    <cellStyle name="요약 8 4" xfId="984"/>
    <cellStyle name="요약 8 4 2" xfId="1386"/>
    <cellStyle name="요약 8 4 2 2" xfId="2284"/>
    <cellStyle name="요약 8 4 2 2 2" xfId="15590"/>
    <cellStyle name="요약 8 4 2 2 2 2" xfId="32731"/>
    <cellStyle name="요약 8 4 2 2 3" xfId="19427"/>
    <cellStyle name="요약 8 4 2 3" xfId="14694"/>
    <cellStyle name="요약 8 4 2 3 2" xfId="31835"/>
    <cellStyle name="요약 8 4 2 4" xfId="18529"/>
    <cellStyle name="요약 8 4 3" xfId="1891"/>
    <cellStyle name="요약 8 4 3 2" xfId="15197"/>
    <cellStyle name="요약 8 4 3 2 2" xfId="32338"/>
    <cellStyle name="요약 8 4 3 3" xfId="19034"/>
    <cellStyle name="요약 8 4 4" xfId="14292"/>
    <cellStyle name="요약 8 4 4 2" xfId="31433"/>
    <cellStyle name="요약 8 4 5" xfId="18127"/>
    <cellStyle name="요약 8 5" xfId="1087"/>
    <cellStyle name="요약 8 5 2" xfId="1990"/>
    <cellStyle name="요약 8 5 2 2" xfId="15296"/>
    <cellStyle name="요약 8 5 2 2 2" xfId="32437"/>
    <cellStyle name="요약 8 5 2 3" xfId="19133"/>
    <cellStyle name="요약 8 5 3" xfId="14395"/>
    <cellStyle name="요약 8 5 3 2" xfId="31536"/>
    <cellStyle name="요약 8 5 4" xfId="18230"/>
    <cellStyle name="요약 8 6" xfId="1483"/>
    <cellStyle name="요약 8 6 2" xfId="2380"/>
    <cellStyle name="요약 8 6 2 2" xfId="15686"/>
    <cellStyle name="요약 8 6 2 2 2" xfId="32827"/>
    <cellStyle name="요약 8 6 2 3" xfId="19523"/>
    <cellStyle name="요약 8 6 3" xfId="14790"/>
    <cellStyle name="요약 8 6 3 2" xfId="31931"/>
    <cellStyle name="요약 8 6 4" xfId="18626"/>
    <cellStyle name="요약 8 7" xfId="606"/>
    <cellStyle name="요약 8 7 2" xfId="13985"/>
    <cellStyle name="요약 8 7 2 2" xfId="31126"/>
    <cellStyle name="요약 8 7 3" xfId="17749"/>
    <cellStyle name="요약 8 8" xfId="1582"/>
    <cellStyle name="요약 8 8 2" xfId="14888"/>
    <cellStyle name="요약 8 8 2 2" xfId="32029"/>
    <cellStyle name="요약 8 8 3" xfId="18725"/>
    <cellStyle name="요약 8 9" xfId="12849"/>
    <cellStyle name="요약 8 9 2" xfId="16207"/>
    <cellStyle name="요약 8 9 2 2" xfId="33348"/>
    <cellStyle name="요약 8 9 3" xfId="29990"/>
    <cellStyle name="요약 9" xfId="419"/>
    <cellStyle name="요약 9 10" xfId="13019"/>
    <cellStyle name="요약 9 10 2" xfId="16370"/>
    <cellStyle name="요약 9 10 2 2" xfId="33511"/>
    <cellStyle name="요약 9 10 3" xfId="30160"/>
    <cellStyle name="요약 9 11" xfId="13107"/>
    <cellStyle name="요약 9 11 2" xfId="16458"/>
    <cellStyle name="요약 9 11 2 2" xfId="33599"/>
    <cellStyle name="요약 9 11 3" xfId="30248"/>
    <cellStyle name="요약 9 12" xfId="13192"/>
    <cellStyle name="요약 9 12 2" xfId="16543"/>
    <cellStyle name="요약 9 12 2 2" xfId="33684"/>
    <cellStyle name="요약 9 12 3" xfId="30333"/>
    <cellStyle name="요약 9 13" xfId="12721"/>
    <cellStyle name="요약 9 13 2" xfId="16084"/>
    <cellStyle name="요약 9 13 2 2" xfId="33225"/>
    <cellStyle name="요약 9 13 3" xfId="29862"/>
    <cellStyle name="요약 9 14" xfId="13373"/>
    <cellStyle name="요약 9 14 2" xfId="16724"/>
    <cellStyle name="요약 9 14 2 2" xfId="33865"/>
    <cellStyle name="요약 9 14 3" xfId="30514"/>
    <cellStyle name="요약 9 15" xfId="13447"/>
    <cellStyle name="요약 9 15 2" xfId="16798"/>
    <cellStyle name="요약 9 15 2 2" xfId="33939"/>
    <cellStyle name="요약 9 15 3" xfId="30588"/>
    <cellStyle name="요약 9 16" xfId="13512"/>
    <cellStyle name="요약 9 16 2" xfId="16863"/>
    <cellStyle name="요약 9 16 2 2" xfId="34004"/>
    <cellStyle name="요약 9 16 3" xfId="30653"/>
    <cellStyle name="요약 9 17" xfId="13582"/>
    <cellStyle name="요약 9 17 2" xfId="16933"/>
    <cellStyle name="요약 9 17 2 2" xfId="34074"/>
    <cellStyle name="요약 9 17 3" xfId="30723"/>
    <cellStyle name="요약 9 18" xfId="13645"/>
    <cellStyle name="요약 9 18 2" xfId="16996"/>
    <cellStyle name="요약 9 18 2 2" xfId="34137"/>
    <cellStyle name="요약 9 18 3" xfId="30786"/>
    <cellStyle name="요약 9 19" xfId="13708"/>
    <cellStyle name="요약 9 19 2" xfId="17059"/>
    <cellStyle name="요약 9 19 2 2" xfId="34200"/>
    <cellStyle name="요약 9 19 3" xfId="30849"/>
    <cellStyle name="요약 9 2" xfId="903"/>
    <cellStyle name="요약 9 2 2" xfId="1318"/>
    <cellStyle name="요약 9 2 2 2" xfId="2216"/>
    <cellStyle name="요약 9 2 2 2 2" xfId="15522"/>
    <cellStyle name="요약 9 2 2 2 2 2" xfId="32663"/>
    <cellStyle name="요약 9 2 2 2 3" xfId="19359"/>
    <cellStyle name="요약 9 2 2 3" xfId="14626"/>
    <cellStyle name="요약 9 2 2 3 2" xfId="31767"/>
    <cellStyle name="요약 9 2 2 4" xfId="18461"/>
    <cellStyle name="요약 9 2 3" xfId="1821"/>
    <cellStyle name="요약 9 2 3 2" xfId="15127"/>
    <cellStyle name="요약 9 2 3 2 2" xfId="32268"/>
    <cellStyle name="요약 9 2 3 3" xfId="18964"/>
    <cellStyle name="요약 9 2 4" xfId="14222"/>
    <cellStyle name="요약 9 2 4 2" xfId="31363"/>
    <cellStyle name="요약 9 2 5" xfId="18046"/>
    <cellStyle name="요약 9 20" xfId="13908"/>
    <cellStyle name="요약 9 20 2" xfId="31049"/>
    <cellStyle name="요약 9 21" xfId="17562"/>
    <cellStyle name="요약 9 3" xfId="761"/>
    <cellStyle name="요약 9 3 2" xfId="1214"/>
    <cellStyle name="요약 9 3 2 2" xfId="2112"/>
    <cellStyle name="요약 9 3 2 2 2" xfId="15418"/>
    <cellStyle name="요약 9 3 2 2 2 2" xfId="32559"/>
    <cellStyle name="요약 9 3 2 2 3" xfId="19255"/>
    <cellStyle name="요약 9 3 2 3" xfId="14522"/>
    <cellStyle name="요약 9 3 2 3 2" xfId="31663"/>
    <cellStyle name="요약 9 3 2 4" xfId="18357"/>
    <cellStyle name="요약 9 3 3" xfId="1717"/>
    <cellStyle name="요약 9 3 3 2" xfId="15023"/>
    <cellStyle name="요약 9 3 3 2 2" xfId="32164"/>
    <cellStyle name="요약 9 3 3 3" xfId="18860"/>
    <cellStyle name="요약 9 3 4" xfId="14118"/>
    <cellStyle name="요약 9 3 4 2" xfId="31259"/>
    <cellStyle name="요약 9 3 5" xfId="17904"/>
    <cellStyle name="요약 9 4" xfId="1018"/>
    <cellStyle name="요약 9 4 2" xfId="1416"/>
    <cellStyle name="요약 9 4 2 2" xfId="2314"/>
    <cellStyle name="요약 9 4 2 2 2" xfId="15620"/>
    <cellStyle name="요약 9 4 2 2 2 2" xfId="32761"/>
    <cellStyle name="요약 9 4 2 2 3" xfId="19457"/>
    <cellStyle name="요약 9 4 2 3" xfId="14724"/>
    <cellStyle name="요약 9 4 2 3 2" xfId="31865"/>
    <cellStyle name="요약 9 4 2 4" xfId="18559"/>
    <cellStyle name="요약 9 4 3" xfId="1925"/>
    <cellStyle name="요약 9 4 3 2" xfId="15231"/>
    <cellStyle name="요약 9 4 3 2 2" xfId="32372"/>
    <cellStyle name="요약 9 4 3 3" xfId="19068"/>
    <cellStyle name="요약 9 4 4" xfId="14326"/>
    <cellStyle name="요약 9 4 4 2" xfId="31467"/>
    <cellStyle name="요약 9 4 5" xfId="18161"/>
    <cellStyle name="요약 9 5" xfId="1117"/>
    <cellStyle name="요약 9 5 2" xfId="2019"/>
    <cellStyle name="요약 9 5 2 2" xfId="15325"/>
    <cellStyle name="요약 9 5 2 2 2" xfId="32466"/>
    <cellStyle name="요약 9 5 2 3" xfId="19162"/>
    <cellStyle name="요약 9 5 3" xfId="14425"/>
    <cellStyle name="요약 9 5 3 2" xfId="31566"/>
    <cellStyle name="요약 9 5 4" xfId="18260"/>
    <cellStyle name="요약 9 6" xfId="1512"/>
    <cellStyle name="요약 9 6 2" xfId="2409"/>
    <cellStyle name="요약 9 6 2 2" xfId="15715"/>
    <cellStyle name="요약 9 6 2 2 2" xfId="32856"/>
    <cellStyle name="요약 9 6 2 3" xfId="19552"/>
    <cellStyle name="요약 9 6 3" xfId="14819"/>
    <cellStyle name="요약 9 6 3 2" xfId="31960"/>
    <cellStyle name="요약 9 6 4" xfId="18655"/>
    <cellStyle name="요약 9 7" xfId="651"/>
    <cellStyle name="요약 9 7 2" xfId="14019"/>
    <cellStyle name="요약 9 7 2 2" xfId="31160"/>
    <cellStyle name="요약 9 7 3" xfId="17794"/>
    <cellStyle name="요약 9 8" xfId="1616"/>
    <cellStyle name="요약 9 8 2" xfId="14922"/>
    <cellStyle name="요약 9 8 2 2" xfId="32063"/>
    <cellStyle name="요약 9 8 3" xfId="18759"/>
    <cellStyle name="요약 9 9" xfId="12909"/>
    <cellStyle name="요약 9 9 2" xfId="16267"/>
    <cellStyle name="요약 9 9 2 2" xfId="33408"/>
    <cellStyle name="요약 9 9 3" xfId="30050"/>
    <cellStyle name="원" xfId="35678"/>
    <cellStyle name="원_NCF6BB2F" xfId="35679"/>
    <cellStyle name="원통화" xfId="36882"/>
    <cellStyle name="원화" xfId="36883"/>
    <cellStyle name="유1" xfId="136"/>
    <cellStyle name="유1 2" xfId="282"/>
    <cellStyle name="유1 2 2" xfId="17425"/>
    <cellStyle name="유1 3" xfId="17283"/>
    <cellStyle name="유1 4" xfId="35680"/>
    <cellStyle name="일반" xfId="36884"/>
    <cellStyle name="一般_PERSONAL" xfId="36885"/>
    <cellStyle name="입력 10" xfId="464"/>
    <cellStyle name="입력 10 10" xfId="13060"/>
    <cellStyle name="입력 10 10 2" xfId="16411"/>
    <cellStyle name="입력 10 10 2 2" xfId="33552"/>
    <cellStyle name="입력 10 10 3" xfId="30201"/>
    <cellStyle name="입력 10 11" xfId="13140"/>
    <cellStyle name="입력 10 11 2" xfId="16491"/>
    <cellStyle name="입력 10 11 2 2" xfId="33632"/>
    <cellStyle name="입력 10 11 3" xfId="30281"/>
    <cellStyle name="입력 10 12" xfId="13232"/>
    <cellStyle name="입력 10 12 2" xfId="16583"/>
    <cellStyle name="입력 10 12 2 2" xfId="33724"/>
    <cellStyle name="입력 10 12 3" xfId="30373"/>
    <cellStyle name="입력 10 13" xfId="12998"/>
    <cellStyle name="입력 10 13 2" xfId="16349"/>
    <cellStyle name="입력 10 13 2 2" xfId="33490"/>
    <cellStyle name="입력 10 13 3" xfId="30139"/>
    <cellStyle name="입력 10 14" xfId="13406"/>
    <cellStyle name="입력 10 14 2" xfId="16757"/>
    <cellStyle name="입력 10 14 2 2" xfId="33898"/>
    <cellStyle name="입력 10 14 3" xfId="30547"/>
    <cellStyle name="입력 10 15" xfId="13481"/>
    <cellStyle name="입력 10 15 2" xfId="16832"/>
    <cellStyle name="입력 10 15 2 2" xfId="33973"/>
    <cellStyle name="입력 10 15 3" xfId="30622"/>
    <cellStyle name="입력 10 16" xfId="13544"/>
    <cellStyle name="입력 10 16 2" xfId="16895"/>
    <cellStyle name="입력 10 16 2 2" xfId="34036"/>
    <cellStyle name="입력 10 16 3" xfId="30685"/>
    <cellStyle name="입력 10 17" xfId="13609"/>
    <cellStyle name="입력 10 17 2" xfId="16960"/>
    <cellStyle name="입력 10 17 2 2" xfId="34101"/>
    <cellStyle name="입력 10 17 3" xfId="30750"/>
    <cellStyle name="입력 10 18" xfId="13672"/>
    <cellStyle name="입력 10 18 2" xfId="17023"/>
    <cellStyle name="입력 10 18 2 2" xfId="34164"/>
    <cellStyle name="입력 10 18 3" xfId="30813"/>
    <cellStyle name="입력 10 19" xfId="13741"/>
    <cellStyle name="입력 10 19 2" xfId="17092"/>
    <cellStyle name="입력 10 19 2 2" xfId="34233"/>
    <cellStyle name="입력 10 19 3" xfId="30882"/>
    <cellStyle name="입력 10 2" xfId="933"/>
    <cellStyle name="입력 10 2 2" xfId="1345"/>
    <cellStyle name="입력 10 2 2 2" xfId="2243"/>
    <cellStyle name="입력 10 2 2 2 2" xfId="15549"/>
    <cellStyle name="입력 10 2 2 2 2 2" xfId="32690"/>
    <cellStyle name="입력 10 2 2 2 3" xfId="19386"/>
    <cellStyle name="입력 10 2 2 3" xfId="14653"/>
    <cellStyle name="입력 10 2 2 3 2" xfId="31794"/>
    <cellStyle name="입력 10 2 2 4" xfId="18488"/>
    <cellStyle name="입력 10 2 3" xfId="1848"/>
    <cellStyle name="입력 10 2 3 2" xfId="15154"/>
    <cellStyle name="입력 10 2 3 2 2" xfId="32295"/>
    <cellStyle name="입력 10 2 3 3" xfId="18991"/>
    <cellStyle name="입력 10 2 4" xfId="14249"/>
    <cellStyle name="입력 10 2 4 2" xfId="31390"/>
    <cellStyle name="입력 10 2 5" xfId="18076"/>
    <cellStyle name="입력 10 20" xfId="13935"/>
    <cellStyle name="입력 10 20 2" xfId="31076"/>
    <cellStyle name="입력 10 21" xfId="17607"/>
    <cellStyle name="입력 10 3" xfId="783"/>
    <cellStyle name="입력 10 3 2" xfId="1236"/>
    <cellStyle name="입력 10 3 2 2" xfId="2134"/>
    <cellStyle name="입력 10 3 2 2 2" xfId="15440"/>
    <cellStyle name="입력 10 3 2 2 2 2" xfId="32581"/>
    <cellStyle name="입력 10 3 2 2 3" xfId="19277"/>
    <cellStyle name="입력 10 3 2 3" xfId="14544"/>
    <cellStyle name="입력 10 3 2 3 2" xfId="31685"/>
    <cellStyle name="입력 10 3 2 4" xfId="18379"/>
    <cellStyle name="입력 10 3 3" xfId="1739"/>
    <cellStyle name="입력 10 3 3 2" xfId="15045"/>
    <cellStyle name="입력 10 3 3 2 2" xfId="32186"/>
    <cellStyle name="입력 10 3 3 3" xfId="18882"/>
    <cellStyle name="입력 10 3 4" xfId="14140"/>
    <cellStyle name="입력 10 3 4 2" xfId="31281"/>
    <cellStyle name="입력 10 3 5" xfId="17926"/>
    <cellStyle name="입력 10 4" xfId="1043"/>
    <cellStyle name="입력 10 4 2" xfId="1438"/>
    <cellStyle name="입력 10 4 2 2" xfId="2336"/>
    <cellStyle name="입력 10 4 2 2 2" xfId="15642"/>
    <cellStyle name="입력 10 4 2 2 2 2" xfId="32783"/>
    <cellStyle name="입력 10 4 2 2 3" xfId="19479"/>
    <cellStyle name="입력 10 4 2 3" xfId="14746"/>
    <cellStyle name="입력 10 4 2 3 2" xfId="31887"/>
    <cellStyle name="입력 10 4 2 4" xfId="18581"/>
    <cellStyle name="입력 10 4 3" xfId="1950"/>
    <cellStyle name="입력 10 4 3 2" xfId="15256"/>
    <cellStyle name="입력 10 4 3 2 2" xfId="32397"/>
    <cellStyle name="입력 10 4 3 3" xfId="19093"/>
    <cellStyle name="입력 10 4 4" xfId="14351"/>
    <cellStyle name="입력 10 4 4 2" xfId="31492"/>
    <cellStyle name="입력 10 4 5" xfId="18186"/>
    <cellStyle name="입력 10 5" xfId="1141"/>
    <cellStyle name="입력 10 5 2" xfId="2041"/>
    <cellStyle name="입력 10 5 2 2" xfId="15347"/>
    <cellStyle name="입력 10 5 2 2 2" xfId="32488"/>
    <cellStyle name="입력 10 5 2 3" xfId="19184"/>
    <cellStyle name="입력 10 5 3" xfId="14449"/>
    <cellStyle name="입력 10 5 3 2" xfId="31590"/>
    <cellStyle name="입력 10 5 4" xfId="18284"/>
    <cellStyle name="입력 10 6" xfId="1534"/>
    <cellStyle name="입력 10 6 2" xfId="2431"/>
    <cellStyle name="입력 10 6 2 2" xfId="15737"/>
    <cellStyle name="입력 10 6 2 2 2" xfId="32878"/>
    <cellStyle name="입력 10 6 2 3" xfId="19574"/>
    <cellStyle name="입력 10 6 3" xfId="14841"/>
    <cellStyle name="입력 10 6 3 2" xfId="31982"/>
    <cellStyle name="입력 10 6 4" xfId="18677"/>
    <cellStyle name="입력 10 7" xfId="680"/>
    <cellStyle name="입력 10 7 2" xfId="14045"/>
    <cellStyle name="입력 10 7 2 2" xfId="31186"/>
    <cellStyle name="입력 10 7 3" xfId="17823"/>
    <cellStyle name="입력 10 8" xfId="1643"/>
    <cellStyle name="입력 10 8 2" xfId="14949"/>
    <cellStyle name="입력 10 8 2 2" xfId="32090"/>
    <cellStyle name="입력 10 8 3" xfId="18786"/>
    <cellStyle name="입력 10 9" xfId="12948"/>
    <cellStyle name="입력 10 9 2" xfId="16306"/>
    <cellStyle name="입력 10 9 2 2" xfId="33447"/>
    <cellStyle name="입력 10 9 3" xfId="30089"/>
    <cellStyle name="입력 11" xfId="450"/>
    <cellStyle name="입력 11 10" xfId="13049"/>
    <cellStyle name="입력 11 10 2" xfId="16400"/>
    <cellStyle name="입력 11 10 2 2" xfId="33541"/>
    <cellStyle name="입력 11 10 3" xfId="30190"/>
    <cellStyle name="입력 11 11" xfId="13132"/>
    <cellStyle name="입력 11 11 2" xfId="16483"/>
    <cellStyle name="입력 11 11 2 2" xfId="33624"/>
    <cellStyle name="입력 11 11 3" xfId="30273"/>
    <cellStyle name="입력 11 12" xfId="13220"/>
    <cellStyle name="입력 11 12 2" xfId="16571"/>
    <cellStyle name="입력 11 12 2 2" xfId="33712"/>
    <cellStyle name="입력 11 12 3" xfId="30361"/>
    <cellStyle name="입력 11 13" xfId="13046"/>
    <cellStyle name="입력 11 13 2" xfId="16397"/>
    <cellStyle name="입력 11 13 2 2" xfId="33538"/>
    <cellStyle name="입력 11 13 3" xfId="30187"/>
    <cellStyle name="입력 11 14" xfId="13397"/>
    <cellStyle name="입력 11 14 2" xfId="16748"/>
    <cellStyle name="입력 11 14 2 2" xfId="33889"/>
    <cellStyle name="입력 11 14 3" xfId="30538"/>
    <cellStyle name="입력 11 15" xfId="13473"/>
    <cellStyle name="입력 11 15 2" xfId="16824"/>
    <cellStyle name="입력 11 15 2 2" xfId="33965"/>
    <cellStyle name="입력 11 15 3" xfId="30614"/>
    <cellStyle name="입력 11 16" xfId="13534"/>
    <cellStyle name="입력 11 16 2" xfId="16885"/>
    <cellStyle name="입력 11 16 2 2" xfId="34026"/>
    <cellStyle name="입력 11 16 3" xfId="30675"/>
    <cellStyle name="입력 11 17" xfId="13602"/>
    <cellStyle name="입력 11 17 2" xfId="16953"/>
    <cellStyle name="입력 11 17 2 2" xfId="34094"/>
    <cellStyle name="입력 11 17 3" xfId="30743"/>
    <cellStyle name="입력 11 18" xfId="13665"/>
    <cellStyle name="입력 11 18 2" xfId="17016"/>
    <cellStyle name="입력 11 18 2 2" xfId="34157"/>
    <cellStyle name="입력 11 18 3" xfId="30806"/>
    <cellStyle name="입력 11 19" xfId="13694"/>
    <cellStyle name="입력 11 19 2" xfId="17045"/>
    <cellStyle name="입력 11 19 2 2" xfId="34186"/>
    <cellStyle name="입력 11 19 3" xfId="30835"/>
    <cellStyle name="입력 11 2" xfId="926"/>
    <cellStyle name="입력 11 2 2" xfId="1338"/>
    <cellStyle name="입력 11 2 2 2" xfId="2236"/>
    <cellStyle name="입력 11 2 2 2 2" xfId="15542"/>
    <cellStyle name="입력 11 2 2 2 2 2" xfId="32683"/>
    <cellStyle name="입력 11 2 2 2 3" xfId="19379"/>
    <cellStyle name="입력 11 2 2 3" xfId="14646"/>
    <cellStyle name="입력 11 2 2 3 2" xfId="31787"/>
    <cellStyle name="입력 11 2 2 4" xfId="18481"/>
    <cellStyle name="입력 11 2 3" xfId="1841"/>
    <cellStyle name="입력 11 2 3 2" xfId="15147"/>
    <cellStyle name="입력 11 2 3 2 2" xfId="32288"/>
    <cellStyle name="입력 11 2 3 3" xfId="18984"/>
    <cellStyle name="입력 11 2 4" xfId="14242"/>
    <cellStyle name="입력 11 2 4 2" xfId="31383"/>
    <cellStyle name="입력 11 2 5" xfId="18069"/>
    <cellStyle name="입력 11 20" xfId="13928"/>
    <cellStyle name="입력 11 20 2" xfId="31069"/>
    <cellStyle name="입력 11 21" xfId="17593"/>
    <cellStyle name="입력 11 3" xfId="779"/>
    <cellStyle name="입력 11 3 2" xfId="1232"/>
    <cellStyle name="입력 11 3 2 2" xfId="2130"/>
    <cellStyle name="입력 11 3 2 2 2" xfId="15436"/>
    <cellStyle name="입력 11 3 2 2 2 2" xfId="32577"/>
    <cellStyle name="입력 11 3 2 2 3" xfId="19273"/>
    <cellStyle name="입력 11 3 2 3" xfId="14540"/>
    <cellStyle name="입력 11 3 2 3 2" xfId="31681"/>
    <cellStyle name="입력 11 3 2 4" xfId="18375"/>
    <cellStyle name="입력 11 3 3" xfId="1735"/>
    <cellStyle name="입력 11 3 3 2" xfId="15041"/>
    <cellStyle name="입력 11 3 3 2 2" xfId="32182"/>
    <cellStyle name="입력 11 3 3 3" xfId="18878"/>
    <cellStyle name="입력 11 3 4" xfId="14136"/>
    <cellStyle name="입력 11 3 4 2" xfId="31277"/>
    <cellStyle name="입력 11 3 5" xfId="17922"/>
    <cellStyle name="입력 11 4" xfId="1038"/>
    <cellStyle name="입력 11 4 2" xfId="1434"/>
    <cellStyle name="입력 11 4 2 2" xfId="2332"/>
    <cellStyle name="입력 11 4 2 2 2" xfId="15638"/>
    <cellStyle name="입력 11 4 2 2 2 2" xfId="32779"/>
    <cellStyle name="입력 11 4 2 2 3" xfId="19475"/>
    <cellStyle name="입력 11 4 2 3" xfId="14742"/>
    <cellStyle name="입력 11 4 2 3 2" xfId="31883"/>
    <cellStyle name="입력 11 4 2 4" xfId="18577"/>
    <cellStyle name="입력 11 4 3" xfId="1945"/>
    <cellStyle name="입력 11 4 3 2" xfId="15251"/>
    <cellStyle name="입력 11 4 3 2 2" xfId="32392"/>
    <cellStyle name="입력 11 4 3 3" xfId="19088"/>
    <cellStyle name="입력 11 4 4" xfId="14346"/>
    <cellStyle name="입력 11 4 4 2" xfId="31487"/>
    <cellStyle name="입력 11 4 5" xfId="18181"/>
    <cellStyle name="입력 11 5" xfId="1135"/>
    <cellStyle name="입력 11 5 2" xfId="2037"/>
    <cellStyle name="입력 11 5 2 2" xfId="15343"/>
    <cellStyle name="입력 11 5 2 2 2" xfId="32484"/>
    <cellStyle name="입력 11 5 2 3" xfId="19180"/>
    <cellStyle name="입력 11 5 3" xfId="14443"/>
    <cellStyle name="입력 11 5 3 2" xfId="31584"/>
    <cellStyle name="입력 11 5 4" xfId="18278"/>
    <cellStyle name="입력 11 6" xfId="1530"/>
    <cellStyle name="입력 11 6 2" xfId="2427"/>
    <cellStyle name="입력 11 6 2 2" xfId="15733"/>
    <cellStyle name="입력 11 6 2 2 2" xfId="32874"/>
    <cellStyle name="입력 11 6 2 3" xfId="19570"/>
    <cellStyle name="입력 11 6 3" xfId="14837"/>
    <cellStyle name="입력 11 6 3 2" xfId="31978"/>
    <cellStyle name="입력 11 6 4" xfId="18673"/>
    <cellStyle name="입력 11 7" xfId="674"/>
    <cellStyle name="입력 11 7 2" xfId="14039"/>
    <cellStyle name="입력 11 7 2 2" xfId="31180"/>
    <cellStyle name="입력 11 7 3" xfId="17817"/>
    <cellStyle name="입력 11 8" xfId="1636"/>
    <cellStyle name="입력 11 8 2" xfId="14942"/>
    <cellStyle name="입력 11 8 2 2" xfId="32083"/>
    <cellStyle name="입력 11 8 3" xfId="18779"/>
    <cellStyle name="입력 11 9" xfId="12936"/>
    <cellStyle name="입력 11 9 2" xfId="16294"/>
    <cellStyle name="입력 11 9 2 2" xfId="33435"/>
    <cellStyle name="입력 11 9 3" xfId="30077"/>
    <cellStyle name="입력 12" xfId="381"/>
    <cellStyle name="입력 12 10" xfId="12986"/>
    <cellStyle name="입력 12 10 2" xfId="16337"/>
    <cellStyle name="입력 12 10 2 2" xfId="33478"/>
    <cellStyle name="입력 12 10 3" xfId="30127"/>
    <cellStyle name="입력 12 11" xfId="12783"/>
    <cellStyle name="입력 12 11 2" xfId="16146"/>
    <cellStyle name="입력 12 11 2 2" xfId="33287"/>
    <cellStyle name="입력 12 11 3" xfId="29924"/>
    <cellStyle name="입력 12 12" xfId="12684"/>
    <cellStyle name="입력 12 12 2" xfId="16047"/>
    <cellStyle name="입력 12 12 2 2" xfId="33188"/>
    <cellStyle name="입력 12 12 3" xfId="29825"/>
    <cellStyle name="입력 12 13" xfId="13303"/>
    <cellStyle name="입력 12 13 2" xfId="16654"/>
    <cellStyle name="입력 12 13 2 2" xfId="33795"/>
    <cellStyle name="입력 12 13 3" xfId="30444"/>
    <cellStyle name="입력 12 14" xfId="13347"/>
    <cellStyle name="입력 12 14 2" xfId="16698"/>
    <cellStyle name="입력 12 14 2 2" xfId="33839"/>
    <cellStyle name="입력 12 14 3" xfId="30488"/>
    <cellStyle name="입력 12 15" xfId="12670"/>
    <cellStyle name="입력 12 15 2" xfId="16033"/>
    <cellStyle name="입력 12 15 2 2" xfId="33174"/>
    <cellStyle name="입력 12 15 3" xfId="29811"/>
    <cellStyle name="입력 12 16" xfId="13356"/>
    <cellStyle name="입력 12 16 2" xfId="16707"/>
    <cellStyle name="입력 12 16 2 2" xfId="33848"/>
    <cellStyle name="입력 12 16 3" xfId="30497"/>
    <cellStyle name="입력 12 17" xfId="13268"/>
    <cellStyle name="입력 12 17 2" xfId="16619"/>
    <cellStyle name="입력 12 17 2 2" xfId="33760"/>
    <cellStyle name="입력 12 17 3" xfId="30409"/>
    <cellStyle name="입력 12 18" xfId="12648"/>
    <cellStyle name="입력 12 18 2" xfId="16011"/>
    <cellStyle name="입력 12 18 2 2" xfId="33152"/>
    <cellStyle name="입력 12 18 3" xfId="29789"/>
    <cellStyle name="입력 12 19" xfId="13795"/>
    <cellStyle name="입력 12 19 2" xfId="17141"/>
    <cellStyle name="입력 12 19 2 2" xfId="34282"/>
    <cellStyle name="입력 12 19 3" xfId="30936"/>
    <cellStyle name="입력 12 2" xfId="878"/>
    <cellStyle name="입력 12 2 2" xfId="1298"/>
    <cellStyle name="입력 12 2 2 2" xfId="2196"/>
    <cellStyle name="입력 12 2 2 2 2" xfId="15502"/>
    <cellStyle name="입력 12 2 2 2 2 2" xfId="32643"/>
    <cellStyle name="입력 12 2 2 2 3" xfId="19339"/>
    <cellStyle name="입력 12 2 2 3" xfId="14606"/>
    <cellStyle name="입력 12 2 2 3 2" xfId="31747"/>
    <cellStyle name="입력 12 2 2 4" xfId="18441"/>
    <cellStyle name="입력 12 2 3" xfId="1801"/>
    <cellStyle name="입력 12 2 3 2" xfId="15107"/>
    <cellStyle name="입력 12 2 3 2 2" xfId="32248"/>
    <cellStyle name="입력 12 2 3 3" xfId="18944"/>
    <cellStyle name="입력 12 2 4" xfId="14202"/>
    <cellStyle name="입력 12 2 4 2" xfId="31343"/>
    <cellStyle name="입력 12 2 5" xfId="18021"/>
    <cellStyle name="입력 12 20" xfId="13888"/>
    <cellStyle name="입력 12 20 2" xfId="31029"/>
    <cellStyle name="입력 12 21" xfId="17524"/>
    <cellStyle name="입력 12 3" xfId="742"/>
    <cellStyle name="입력 12 3 2" xfId="1195"/>
    <cellStyle name="입력 12 3 2 2" xfId="2093"/>
    <cellStyle name="입력 12 3 2 2 2" xfId="15399"/>
    <cellStyle name="입력 12 3 2 2 2 2" xfId="32540"/>
    <cellStyle name="입력 12 3 2 2 3" xfId="19236"/>
    <cellStyle name="입력 12 3 2 3" xfId="14503"/>
    <cellStyle name="입력 12 3 2 3 2" xfId="31644"/>
    <cellStyle name="입력 12 3 2 4" xfId="18338"/>
    <cellStyle name="입력 12 3 3" xfId="1698"/>
    <cellStyle name="입력 12 3 3 2" xfId="15004"/>
    <cellStyle name="입력 12 3 3 2 2" xfId="32145"/>
    <cellStyle name="입력 12 3 3 3" xfId="18841"/>
    <cellStyle name="입력 12 3 4" xfId="14099"/>
    <cellStyle name="입력 12 3 4 2" xfId="31240"/>
    <cellStyle name="입력 12 3 5" xfId="17885"/>
    <cellStyle name="입력 12 4" xfId="998"/>
    <cellStyle name="입력 12 4 2" xfId="1397"/>
    <cellStyle name="입력 12 4 2 2" xfId="2295"/>
    <cellStyle name="입력 12 4 2 2 2" xfId="15601"/>
    <cellStyle name="입력 12 4 2 2 2 2" xfId="32742"/>
    <cellStyle name="입력 12 4 2 2 3" xfId="19438"/>
    <cellStyle name="입력 12 4 2 3" xfId="14705"/>
    <cellStyle name="입력 12 4 2 3 2" xfId="31846"/>
    <cellStyle name="입력 12 4 2 4" xfId="18540"/>
    <cellStyle name="입력 12 4 3" xfId="1905"/>
    <cellStyle name="입력 12 4 3 2" xfId="15211"/>
    <cellStyle name="입력 12 4 3 2 2" xfId="32352"/>
    <cellStyle name="입력 12 4 3 3" xfId="19048"/>
    <cellStyle name="입력 12 4 4" xfId="14306"/>
    <cellStyle name="입력 12 4 4 2" xfId="31447"/>
    <cellStyle name="입력 12 4 5" xfId="18141"/>
    <cellStyle name="입력 12 5" xfId="1098"/>
    <cellStyle name="입력 12 5 2" xfId="2001"/>
    <cellStyle name="입력 12 5 2 2" xfId="15307"/>
    <cellStyle name="입력 12 5 2 2 2" xfId="32448"/>
    <cellStyle name="입력 12 5 2 3" xfId="19144"/>
    <cellStyle name="입력 12 5 3" xfId="14406"/>
    <cellStyle name="입력 12 5 3 2" xfId="31547"/>
    <cellStyle name="입력 12 5 4" xfId="18241"/>
    <cellStyle name="입력 12 6" xfId="1494"/>
    <cellStyle name="입력 12 6 2" xfId="2391"/>
    <cellStyle name="입력 12 6 2 2" xfId="15697"/>
    <cellStyle name="입력 12 6 2 2 2" xfId="32838"/>
    <cellStyle name="입력 12 6 2 3" xfId="19534"/>
    <cellStyle name="입력 12 6 3" xfId="14801"/>
    <cellStyle name="입력 12 6 3 2" xfId="31942"/>
    <cellStyle name="입력 12 6 4" xfId="18637"/>
    <cellStyle name="입력 12 7" xfId="626"/>
    <cellStyle name="입력 12 7 2" xfId="13999"/>
    <cellStyle name="입력 12 7 2 2" xfId="31140"/>
    <cellStyle name="입력 12 7 3" xfId="17769"/>
    <cellStyle name="입력 12 8" xfId="1596"/>
    <cellStyle name="입력 12 8 2" xfId="14902"/>
    <cellStyle name="입력 12 8 2 2" xfId="32043"/>
    <cellStyle name="입력 12 8 3" xfId="18739"/>
    <cellStyle name="입력 12 9" xfId="12874"/>
    <cellStyle name="입력 12 9 2" xfId="16232"/>
    <cellStyle name="입력 12 9 2 2" xfId="33373"/>
    <cellStyle name="입력 12 9 3" xfId="30015"/>
    <cellStyle name="입력 13" xfId="543"/>
    <cellStyle name="입력 13 2" xfId="9710"/>
    <cellStyle name="입력 13 2 2" xfId="15884"/>
    <cellStyle name="입력 13 2 2 2" xfId="33025"/>
    <cellStyle name="입력 13 2 3" xfId="26851"/>
    <cellStyle name="입력 13 3" xfId="9711"/>
    <cellStyle name="입력 13 3 2" xfId="15885"/>
    <cellStyle name="입력 13 3 2 2" xfId="33026"/>
    <cellStyle name="입력 13 3 3" xfId="26852"/>
    <cellStyle name="입력 13 4" xfId="17686"/>
    <cellStyle name="입력 14" xfId="9712"/>
    <cellStyle name="입력 14 2" xfId="9713"/>
    <cellStyle name="입력 14 2 2" xfId="15887"/>
    <cellStyle name="입력 14 2 2 2" xfId="33028"/>
    <cellStyle name="입력 14 2 3" xfId="26854"/>
    <cellStyle name="입력 14 3" xfId="9714"/>
    <cellStyle name="입력 14 3 2" xfId="15888"/>
    <cellStyle name="입력 14 3 2 2" xfId="33029"/>
    <cellStyle name="입력 14 3 3" xfId="26855"/>
    <cellStyle name="입력 14 4" xfId="15886"/>
    <cellStyle name="입력 14 4 2" xfId="33027"/>
    <cellStyle name="입력 14 5" xfId="26853"/>
    <cellStyle name="입력 15" xfId="9715"/>
    <cellStyle name="입력 15 2" xfId="9716"/>
    <cellStyle name="입력 15 2 2" xfId="15890"/>
    <cellStyle name="입력 15 2 2 2" xfId="33031"/>
    <cellStyle name="입력 15 2 3" xfId="26857"/>
    <cellStyle name="입력 15 3" xfId="9717"/>
    <cellStyle name="입력 15 3 2" xfId="15891"/>
    <cellStyle name="입력 15 3 2 2" xfId="33032"/>
    <cellStyle name="입력 15 3 3" xfId="26858"/>
    <cellStyle name="입력 15 4" xfId="15889"/>
    <cellStyle name="입력 15 4 2" xfId="33030"/>
    <cellStyle name="입력 15 5" xfId="26856"/>
    <cellStyle name="입력 16" xfId="9718"/>
    <cellStyle name="입력 16 2" xfId="9719"/>
    <cellStyle name="입력 16 2 2" xfId="15893"/>
    <cellStyle name="입력 16 2 2 2" xfId="33034"/>
    <cellStyle name="입력 16 2 3" xfId="26860"/>
    <cellStyle name="입력 16 3" xfId="9720"/>
    <cellStyle name="입력 16 3 2" xfId="15894"/>
    <cellStyle name="입력 16 3 2 2" xfId="33035"/>
    <cellStyle name="입력 16 3 3" xfId="26861"/>
    <cellStyle name="입력 16 4" xfId="15892"/>
    <cellStyle name="입력 16 4 2" xfId="33033"/>
    <cellStyle name="입력 16 5" xfId="26859"/>
    <cellStyle name="입력 17" xfId="9721"/>
    <cellStyle name="입력 17 2" xfId="9722"/>
    <cellStyle name="입력 17 2 2" xfId="15896"/>
    <cellStyle name="입력 17 2 2 2" xfId="33037"/>
    <cellStyle name="입력 17 2 3" xfId="26863"/>
    <cellStyle name="입력 17 3" xfId="9723"/>
    <cellStyle name="입력 17 3 2" xfId="15897"/>
    <cellStyle name="입력 17 3 2 2" xfId="33038"/>
    <cellStyle name="입력 17 3 3" xfId="26864"/>
    <cellStyle name="입력 17 4" xfId="15895"/>
    <cellStyle name="입력 17 4 2" xfId="33036"/>
    <cellStyle name="입력 17 5" xfId="26862"/>
    <cellStyle name="입력 18" xfId="9724"/>
    <cellStyle name="입력 18 2" xfId="9725"/>
    <cellStyle name="입력 18 2 2" xfId="15899"/>
    <cellStyle name="입력 18 2 2 2" xfId="33040"/>
    <cellStyle name="입력 18 2 3" xfId="26866"/>
    <cellStyle name="입력 18 3" xfId="9726"/>
    <cellStyle name="입력 18 3 2" xfId="15900"/>
    <cellStyle name="입력 18 3 2 2" xfId="33041"/>
    <cellStyle name="입력 18 3 3" xfId="26867"/>
    <cellStyle name="입력 18 4" xfId="15898"/>
    <cellStyle name="입력 18 4 2" xfId="33039"/>
    <cellStyle name="입력 18 5" xfId="26865"/>
    <cellStyle name="입력 19" xfId="9727"/>
    <cellStyle name="입력 19 2" xfId="9728"/>
    <cellStyle name="입력 19 2 2" xfId="15902"/>
    <cellStyle name="입력 19 2 2 2" xfId="33043"/>
    <cellStyle name="입력 19 2 3" xfId="26869"/>
    <cellStyle name="입력 19 3" xfId="9729"/>
    <cellStyle name="입력 19 3 2" xfId="15903"/>
    <cellStyle name="입력 19 3 2 2" xfId="33044"/>
    <cellStyle name="입력 19 3 3" xfId="26870"/>
    <cellStyle name="입력 19 4" xfId="15901"/>
    <cellStyle name="입력 19 4 2" xfId="33042"/>
    <cellStyle name="입력 19 5" xfId="26868"/>
    <cellStyle name="입력 2" xfId="232"/>
    <cellStyle name="입력 2 10" xfId="12799"/>
    <cellStyle name="입력 2 10 2" xfId="16160"/>
    <cellStyle name="입력 2 10 2 2" xfId="33301"/>
    <cellStyle name="입력 2 10 3" xfId="29940"/>
    <cellStyle name="입력 2 11" xfId="13001"/>
    <cellStyle name="입력 2 11 2" xfId="16352"/>
    <cellStyle name="입력 2 11 2 2" xfId="33493"/>
    <cellStyle name="입력 2 11 3" xfId="30142"/>
    <cellStyle name="입력 2 12" xfId="13153"/>
    <cellStyle name="입력 2 12 2" xfId="16504"/>
    <cellStyle name="입력 2 12 2 2" xfId="33645"/>
    <cellStyle name="입력 2 12 3" xfId="30294"/>
    <cellStyle name="입력 2 13" xfId="13166"/>
    <cellStyle name="입력 2 13 2" xfId="16517"/>
    <cellStyle name="입력 2 13 2 2" xfId="33658"/>
    <cellStyle name="입력 2 13 3" xfId="30307"/>
    <cellStyle name="입력 2 14" xfId="12692"/>
    <cellStyle name="입력 2 14 2" xfId="16055"/>
    <cellStyle name="입력 2 14 2 2" xfId="33196"/>
    <cellStyle name="입력 2 14 3" xfId="29833"/>
    <cellStyle name="입력 2 15" xfId="12869"/>
    <cellStyle name="입력 2 15 2" xfId="16227"/>
    <cellStyle name="입력 2 15 2 2" xfId="33368"/>
    <cellStyle name="입력 2 15 3" xfId="30010"/>
    <cellStyle name="입력 2 16" xfId="13354"/>
    <cellStyle name="입력 2 16 2" xfId="16705"/>
    <cellStyle name="입력 2 16 2 2" xfId="33846"/>
    <cellStyle name="입력 2 16 3" xfId="30495"/>
    <cellStyle name="입력 2 17" xfId="12780"/>
    <cellStyle name="입력 2 17 2" xfId="16143"/>
    <cellStyle name="입력 2 17 2 2" xfId="33284"/>
    <cellStyle name="입력 2 17 3" xfId="29921"/>
    <cellStyle name="입력 2 18" xfId="13255"/>
    <cellStyle name="입력 2 18 2" xfId="16606"/>
    <cellStyle name="입력 2 18 2 2" xfId="33747"/>
    <cellStyle name="입력 2 18 3" xfId="30396"/>
    <cellStyle name="입력 2 19" xfId="12787"/>
    <cellStyle name="입력 2 19 2" xfId="16149"/>
    <cellStyle name="입력 2 19 2 2" xfId="33290"/>
    <cellStyle name="입력 2 19 3" xfId="29928"/>
    <cellStyle name="입력 2 2" xfId="815"/>
    <cellStyle name="입력 2 2 2" xfId="1258"/>
    <cellStyle name="입력 2 2 2 2" xfId="2156"/>
    <cellStyle name="입력 2 2 2 2 2" xfId="15462"/>
    <cellStyle name="입력 2 2 2 2 2 2" xfId="32603"/>
    <cellStyle name="입력 2 2 2 2 3" xfId="19299"/>
    <cellStyle name="입력 2 2 2 3" xfId="14566"/>
    <cellStyle name="입력 2 2 2 3 2" xfId="31707"/>
    <cellStyle name="입력 2 2 2 4" xfId="18401"/>
    <cellStyle name="입력 2 2 3" xfId="1761"/>
    <cellStyle name="입력 2 2 3 2" xfId="15067"/>
    <cellStyle name="입력 2 2 3 2 2" xfId="32208"/>
    <cellStyle name="입력 2 2 3 3" xfId="18904"/>
    <cellStyle name="입력 2 2 4" xfId="14162"/>
    <cellStyle name="입력 2 2 4 2" xfId="31303"/>
    <cellStyle name="입력 2 2 5" xfId="17958"/>
    <cellStyle name="입력 2 20" xfId="13753"/>
    <cellStyle name="입력 2 20 2" xfId="17104"/>
    <cellStyle name="입력 2 20 2 2" xfId="34245"/>
    <cellStyle name="입력 2 20 3" xfId="30894"/>
    <cellStyle name="입력 2 21" xfId="13793"/>
    <cellStyle name="입력 2 21 2" xfId="17139"/>
    <cellStyle name="입력 2 21 2 2" xfId="34280"/>
    <cellStyle name="입력 2 21 3" xfId="30934"/>
    <cellStyle name="입력 2 22" xfId="13848"/>
    <cellStyle name="입력 2 22 2" xfId="30989"/>
    <cellStyle name="입력 2 23" xfId="17375"/>
    <cellStyle name="입력 2 24" xfId="35681"/>
    <cellStyle name="입력 2 3" xfId="711"/>
    <cellStyle name="입력 2 3 2" xfId="1164"/>
    <cellStyle name="입력 2 3 2 2" xfId="2063"/>
    <cellStyle name="입력 2 3 2 2 2" xfId="15369"/>
    <cellStyle name="입력 2 3 2 2 2 2" xfId="32510"/>
    <cellStyle name="입력 2 3 2 2 3" xfId="19206"/>
    <cellStyle name="입력 2 3 2 3" xfId="14472"/>
    <cellStyle name="입력 2 3 2 3 2" xfId="31613"/>
    <cellStyle name="입력 2 3 2 4" xfId="18307"/>
    <cellStyle name="입력 2 3 3" xfId="1667"/>
    <cellStyle name="입력 2 3 3 2" xfId="14973"/>
    <cellStyle name="입력 2 3 3 2 2" xfId="32114"/>
    <cellStyle name="입력 2 3 3 3" xfId="18810"/>
    <cellStyle name="입력 2 3 4" xfId="14068"/>
    <cellStyle name="입력 2 3 4 2" xfId="31209"/>
    <cellStyle name="입력 2 3 5" xfId="17854"/>
    <cellStyle name="입력 2 4" xfId="964"/>
    <cellStyle name="입력 2 4 2" xfId="1368"/>
    <cellStyle name="입력 2 4 2 2" xfId="2266"/>
    <cellStyle name="입력 2 4 2 2 2" xfId="15572"/>
    <cellStyle name="입력 2 4 2 2 2 2" xfId="32713"/>
    <cellStyle name="입력 2 4 2 2 3" xfId="19409"/>
    <cellStyle name="입력 2 4 2 3" xfId="14676"/>
    <cellStyle name="입력 2 4 2 3 2" xfId="31817"/>
    <cellStyle name="입력 2 4 2 4" xfId="18511"/>
    <cellStyle name="입력 2 4 3" xfId="1871"/>
    <cellStyle name="입력 2 4 3 2" xfId="15177"/>
    <cellStyle name="입력 2 4 3 2 2" xfId="32318"/>
    <cellStyle name="입력 2 4 3 3" xfId="19014"/>
    <cellStyle name="입력 2 4 4" xfId="14272"/>
    <cellStyle name="입력 2 4 4 2" xfId="31413"/>
    <cellStyle name="입력 2 4 5" xfId="18107"/>
    <cellStyle name="입력 2 5" xfId="1065"/>
    <cellStyle name="입력 2 5 2" xfId="1972"/>
    <cellStyle name="입력 2 5 2 2" xfId="15278"/>
    <cellStyle name="입력 2 5 2 2 2" xfId="32419"/>
    <cellStyle name="입력 2 5 2 3" xfId="19115"/>
    <cellStyle name="입력 2 5 3" xfId="14373"/>
    <cellStyle name="입력 2 5 3 2" xfId="31514"/>
    <cellStyle name="입력 2 5 4" xfId="18208"/>
    <cellStyle name="입력 2 6" xfId="1465"/>
    <cellStyle name="입력 2 6 2" xfId="2362"/>
    <cellStyle name="입력 2 6 2 2" xfId="15668"/>
    <cellStyle name="입력 2 6 2 2 2" xfId="32809"/>
    <cellStyle name="입력 2 6 2 3" xfId="19505"/>
    <cellStyle name="입력 2 6 3" xfId="14772"/>
    <cellStyle name="입력 2 6 3 2" xfId="31913"/>
    <cellStyle name="입력 2 6 4" xfId="18608"/>
    <cellStyle name="입력 2 7" xfId="563"/>
    <cellStyle name="입력 2 7 2" xfId="13959"/>
    <cellStyle name="입력 2 7 2 2" xfId="31100"/>
    <cellStyle name="입력 2 7 3" xfId="17706"/>
    <cellStyle name="입력 2 8" xfId="1557"/>
    <cellStyle name="입력 2 8 2" xfId="14863"/>
    <cellStyle name="입력 2 8 2 2" xfId="32004"/>
    <cellStyle name="입력 2 8 3" xfId="18700"/>
    <cellStyle name="입력 2 9" xfId="12754"/>
    <cellStyle name="입력 2 9 2" xfId="16117"/>
    <cellStyle name="입력 2 9 2 2" xfId="33258"/>
    <cellStyle name="입력 2 9 3" xfId="29895"/>
    <cellStyle name="입력 20" xfId="9730"/>
    <cellStyle name="입력 20 2" xfId="9731"/>
    <cellStyle name="입력 20 2 2" xfId="15905"/>
    <cellStyle name="입력 20 2 2 2" xfId="33046"/>
    <cellStyle name="입력 20 2 3" xfId="26872"/>
    <cellStyle name="입력 20 3" xfId="9732"/>
    <cellStyle name="입력 20 3 2" xfId="15906"/>
    <cellStyle name="입력 20 3 2 2" xfId="33047"/>
    <cellStyle name="입력 20 3 3" xfId="26873"/>
    <cellStyle name="입력 20 4" xfId="15904"/>
    <cellStyle name="입력 20 4 2" xfId="33045"/>
    <cellStyle name="입력 20 5" xfId="26871"/>
    <cellStyle name="입력 21" xfId="9733"/>
    <cellStyle name="입력 21 2" xfId="9734"/>
    <cellStyle name="입력 21 2 2" xfId="15908"/>
    <cellStyle name="입력 21 2 2 2" xfId="33049"/>
    <cellStyle name="입력 21 2 3" xfId="26875"/>
    <cellStyle name="입력 21 3" xfId="9735"/>
    <cellStyle name="입력 21 3 2" xfId="15909"/>
    <cellStyle name="입력 21 3 2 2" xfId="33050"/>
    <cellStyle name="입력 21 3 3" xfId="26876"/>
    <cellStyle name="입력 21 4" xfId="15907"/>
    <cellStyle name="입력 21 4 2" xfId="33048"/>
    <cellStyle name="입력 21 5" xfId="26874"/>
    <cellStyle name="입력 22" xfId="9736"/>
    <cellStyle name="입력 22 2" xfId="9737"/>
    <cellStyle name="입력 22 2 2" xfId="15911"/>
    <cellStyle name="입력 22 2 2 2" xfId="33052"/>
    <cellStyle name="입력 22 2 3" xfId="26878"/>
    <cellStyle name="입력 22 3" xfId="9738"/>
    <cellStyle name="입력 22 3 2" xfId="15912"/>
    <cellStyle name="입력 22 3 2 2" xfId="33053"/>
    <cellStyle name="입력 22 3 3" xfId="26879"/>
    <cellStyle name="입력 22 4" xfId="15910"/>
    <cellStyle name="입력 22 4 2" xfId="33051"/>
    <cellStyle name="입력 22 5" xfId="26877"/>
    <cellStyle name="입력 23" xfId="9739"/>
    <cellStyle name="입력 23 2" xfId="9740"/>
    <cellStyle name="입력 23 2 2" xfId="15914"/>
    <cellStyle name="입력 23 2 2 2" xfId="33055"/>
    <cellStyle name="입력 23 2 3" xfId="26881"/>
    <cellStyle name="입력 23 3" xfId="9741"/>
    <cellStyle name="입력 23 3 2" xfId="15915"/>
    <cellStyle name="입력 23 3 2 2" xfId="33056"/>
    <cellStyle name="입력 23 3 3" xfId="26882"/>
    <cellStyle name="입력 23 4" xfId="15913"/>
    <cellStyle name="입력 23 4 2" xfId="33054"/>
    <cellStyle name="입력 23 5" xfId="26880"/>
    <cellStyle name="입력 24" xfId="9742"/>
    <cellStyle name="입력 24 2" xfId="9743"/>
    <cellStyle name="입력 24 2 2" xfId="15917"/>
    <cellStyle name="입력 24 2 2 2" xfId="33058"/>
    <cellStyle name="입력 24 2 3" xfId="26884"/>
    <cellStyle name="입력 24 3" xfId="9744"/>
    <cellStyle name="입력 24 3 2" xfId="15918"/>
    <cellStyle name="입력 24 3 2 2" xfId="33059"/>
    <cellStyle name="입력 24 3 3" xfId="26885"/>
    <cellStyle name="입력 24 4" xfId="15916"/>
    <cellStyle name="입력 24 4 2" xfId="33057"/>
    <cellStyle name="입력 24 5" xfId="26883"/>
    <cellStyle name="입력 25" xfId="9745"/>
    <cellStyle name="입력 25 2" xfId="15919"/>
    <cellStyle name="입력 25 2 2" xfId="33060"/>
    <cellStyle name="입력 25 3" xfId="26886"/>
    <cellStyle name="입력 26" xfId="9746"/>
    <cellStyle name="입력 26 2" xfId="15920"/>
    <cellStyle name="입력 26 2 2" xfId="33061"/>
    <cellStyle name="입력 26 3" xfId="26887"/>
    <cellStyle name="입력 27" xfId="9747"/>
    <cellStyle name="입력 27 2" xfId="15921"/>
    <cellStyle name="입력 27 2 2" xfId="33062"/>
    <cellStyle name="입력 27 3" xfId="26888"/>
    <cellStyle name="입력 28" xfId="60"/>
    <cellStyle name="입력 28 2" xfId="17232"/>
    <cellStyle name="입력 3" xfId="334"/>
    <cellStyle name="입력 3 10" xfId="12595"/>
    <cellStyle name="입력 3 10 2" xfId="15958"/>
    <cellStyle name="입력 3 10 2 2" xfId="33099"/>
    <cellStyle name="입력 3 10 3" xfId="29736"/>
    <cellStyle name="입력 3 11" xfId="12830"/>
    <cellStyle name="입력 3 11 2" xfId="16188"/>
    <cellStyle name="입력 3 11 2 2" xfId="33329"/>
    <cellStyle name="입력 3 11 3" xfId="29971"/>
    <cellStyle name="입력 3 12" xfId="12622"/>
    <cellStyle name="입력 3 12 2" xfId="15985"/>
    <cellStyle name="입력 3 12 2 2" xfId="33126"/>
    <cellStyle name="입력 3 12 3" xfId="29763"/>
    <cellStyle name="입력 3 13" xfId="12703"/>
    <cellStyle name="입력 3 13 2" xfId="16066"/>
    <cellStyle name="입력 3 13 2 2" xfId="33207"/>
    <cellStyle name="입력 3 13 3" xfId="29844"/>
    <cellStyle name="입력 3 14" xfId="13306"/>
    <cellStyle name="입력 3 14 2" xfId="16657"/>
    <cellStyle name="입력 3 14 2 2" xfId="33798"/>
    <cellStyle name="입력 3 14 3" xfId="30447"/>
    <cellStyle name="입력 3 15" xfId="13312"/>
    <cellStyle name="입력 3 15 2" xfId="16663"/>
    <cellStyle name="입력 3 15 2 2" xfId="33804"/>
    <cellStyle name="입력 3 15 3" xfId="30453"/>
    <cellStyle name="입력 3 16" xfId="13311"/>
    <cellStyle name="입력 3 16 2" xfId="16662"/>
    <cellStyle name="입력 3 16 2 2" xfId="33803"/>
    <cellStyle name="입력 3 16 3" xfId="30452"/>
    <cellStyle name="입력 3 17" xfId="13438"/>
    <cellStyle name="입력 3 17 2" xfId="16789"/>
    <cellStyle name="입력 3 17 2 2" xfId="33930"/>
    <cellStyle name="입력 3 17 3" xfId="30579"/>
    <cellStyle name="입력 3 18" xfId="13286"/>
    <cellStyle name="입력 3 18 2" xfId="16637"/>
    <cellStyle name="입력 3 18 2 2" xfId="33778"/>
    <cellStyle name="입력 3 18 3" xfId="30427"/>
    <cellStyle name="입력 3 19" xfId="13531"/>
    <cellStyle name="입력 3 19 2" xfId="16882"/>
    <cellStyle name="입력 3 19 2 2" xfId="34023"/>
    <cellStyle name="입력 3 19 3" xfId="30672"/>
    <cellStyle name="입력 3 2" xfId="843"/>
    <cellStyle name="입력 3 2 2" xfId="1272"/>
    <cellStyle name="입력 3 2 2 2" xfId="2170"/>
    <cellStyle name="입력 3 2 2 2 2" xfId="15476"/>
    <cellStyle name="입력 3 2 2 2 2 2" xfId="32617"/>
    <cellStyle name="입력 3 2 2 2 3" xfId="19313"/>
    <cellStyle name="입력 3 2 2 3" xfId="14580"/>
    <cellStyle name="입력 3 2 2 3 2" xfId="31721"/>
    <cellStyle name="입력 3 2 2 4" xfId="18415"/>
    <cellStyle name="입력 3 2 3" xfId="1775"/>
    <cellStyle name="입력 3 2 3 2" xfId="15081"/>
    <cellStyle name="입력 3 2 3 2 2" xfId="32222"/>
    <cellStyle name="입력 3 2 3 3" xfId="18918"/>
    <cellStyle name="입력 3 2 4" xfId="14176"/>
    <cellStyle name="입력 3 2 4 2" xfId="31317"/>
    <cellStyle name="입력 3 2 5" xfId="17986"/>
    <cellStyle name="입력 3 20" xfId="13780"/>
    <cellStyle name="입력 3 20 2" xfId="17126"/>
    <cellStyle name="입력 3 20 2 2" xfId="34267"/>
    <cellStyle name="입력 3 20 3" xfId="30921"/>
    <cellStyle name="입력 3 21" xfId="13800"/>
    <cellStyle name="입력 3 21 2" xfId="17146"/>
    <cellStyle name="입력 3 21 2 2" xfId="34287"/>
    <cellStyle name="입력 3 21 3" xfId="30941"/>
    <cellStyle name="입력 3 22" xfId="13862"/>
    <cellStyle name="입력 3 22 2" xfId="31003"/>
    <cellStyle name="입력 3 23" xfId="17477"/>
    <cellStyle name="입력 3 24" xfId="35682"/>
    <cellStyle name="입력 3 3" xfId="724"/>
    <cellStyle name="입력 3 3 2" xfId="1177"/>
    <cellStyle name="입력 3 3 2 2" xfId="2075"/>
    <cellStyle name="입력 3 3 2 2 2" xfId="15381"/>
    <cellStyle name="입력 3 3 2 2 2 2" xfId="32522"/>
    <cellStyle name="입력 3 3 2 2 3" xfId="19218"/>
    <cellStyle name="입력 3 3 2 3" xfId="14485"/>
    <cellStyle name="입력 3 3 2 3 2" xfId="31626"/>
    <cellStyle name="입력 3 3 2 4" xfId="18320"/>
    <cellStyle name="입력 3 3 3" xfId="1680"/>
    <cellStyle name="입력 3 3 3 2" xfId="14986"/>
    <cellStyle name="입력 3 3 3 2 2" xfId="32127"/>
    <cellStyle name="입력 3 3 3 3" xfId="18823"/>
    <cellStyle name="입력 3 3 4" xfId="14081"/>
    <cellStyle name="입력 3 3 4 2" xfId="31222"/>
    <cellStyle name="입력 3 3 5" xfId="17867"/>
    <cellStyle name="입력 3 4" xfId="976"/>
    <cellStyle name="입력 3 4 2" xfId="1379"/>
    <cellStyle name="입력 3 4 2 2" xfId="2277"/>
    <cellStyle name="입력 3 4 2 2 2" xfId="15583"/>
    <cellStyle name="입력 3 4 2 2 2 2" xfId="32724"/>
    <cellStyle name="입력 3 4 2 2 3" xfId="19420"/>
    <cellStyle name="입력 3 4 2 3" xfId="14687"/>
    <cellStyle name="입력 3 4 2 3 2" xfId="31828"/>
    <cellStyle name="입력 3 4 2 4" xfId="18522"/>
    <cellStyle name="입력 3 4 3" xfId="1883"/>
    <cellStyle name="입력 3 4 3 2" xfId="15189"/>
    <cellStyle name="입력 3 4 3 2 2" xfId="32330"/>
    <cellStyle name="입력 3 4 3 3" xfId="19026"/>
    <cellStyle name="입력 3 4 4" xfId="14284"/>
    <cellStyle name="입력 3 4 4 2" xfId="31425"/>
    <cellStyle name="입력 3 4 5" xfId="18119"/>
    <cellStyle name="입력 3 5" xfId="1076"/>
    <cellStyle name="입력 3 5 2" xfId="1983"/>
    <cellStyle name="입력 3 5 2 2" xfId="15289"/>
    <cellStyle name="입력 3 5 2 2 2" xfId="32430"/>
    <cellStyle name="입력 3 5 2 3" xfId="19126"/>
    <cellStyle name="입력 3 5 3" xfId="14384"/>
    <cellStyle name="입력 3 5 3 2" xfId="31525"/>
    <cellStyle name="입력 3 5 4" xfId="18219"/>
    <cellStyle name="입력 3 6" xfId="1476"/>
    <cellStyle name="입력 3 6 2" xfId="2373"/>
    <cellStyle name="입력 3 6 2 2" xfId="15679"/>
    <cellStyle name="입력 3 6 2 2 2" xfId="32820"/>
    <cellStyle name="입력 3 6 2 3" xfId="19516"/>
    <cellStyle name="입력 3 6 3" xfId="14783"/>
    <cellStyle name="입력 3 6 3 2" xfId="31924"/>
    <cellStyle name="입력 3 6 4" xfId="18619"/>
    <cellStyle name="입력 3 7" xfId="591"/>
    <cellStyle name="입력 3 7 2" xfId="13973"/>
    <cellStyle name="입력 3 7 2 2" xfId="31114"/>
    <cellStyle name="입력 3 7 3" xfId="17734"/>
    <cellStyle name="입력 3 8" xfId="1570"/>
    <cellStyle name="입력 3 8 2" xfId="14876"/>
    <cellStyle name="입력 3 8 2 2" xfId="32017"/>
    <cellStyle name="입력 3 8 3" xfId="18713"/>
    <cellStyle name="입력 3 9" xfId="12834"/>
    <cellStyle name="입력 3 9 2" xfId="16192"/>
    <cellStyle name="입력 3 9 2 2" xfId="33333"/>
    <cellStyle name="입력 3 9 3" xfId="29975"/>
    <cellStyle name="입력 4" xfId="366"/>
    <cellStyle name="입력 4 10" xfId="12582"/>
    <cellStyle name="입력 4 10 2" xfId="15945"/>
    <cellStyle name="입력 4 10 2 2" xfId="33086"/>
    <cellStyle name="입력 4 10 3" xfId="29723"/>
    <cellStyle name="입력 4 11" xfId="12716"/>
    <cellStyle name="입력 4 11 2" xfId="16079"/>
    <cellStyle name="입력 4 11 2 2" xfId="33220"/>
    <cellStyle name="입력 4 11 3" xfId="29857"/>
    <cellStyle name="입력 4 12" xfId="12598"/>
    <cellStyle name="입력 4 12 2" xfId="15961"/>
    <cellStyle name="입력 4 12 2 2" xfId="33102"/>
    <cellStyle name="입력 4 12 3" xfId="29739"/>
    <cellStyle name="입력 4 13" xfId="12942"/>
    <cellStyle name="입력 4 13 2" xfId="16300"/>
    <cellStyle name="입력 4 13 2 2" xfId="33441"/>
    <cellStyle name="입력 4 13 3" xfId="30083"/>
    <cellStyle name="입력 4 14" xfId="13258"/>
    <cellStyle name="입력 4 14 2" xfId="16609"/>
    <cellStyle name="입력 4 14 2 2" xfId="33750"/>
    <cellStyle name="입력 4 14 3" xfId="30399"/>
    <cellStyle name="입력 4 15" xfId="13070"/>
    <cellStyle name="입력 4 15 2" xfId="16421"/>
    <cellStyle name="입력 4 15 2 2" xfId="33562"/>
    <cellStyle name="입력 4 15 3" xfId="30211"/>
    <cellStyle name="입력 4 16" xfId="13262"/>
    <cellStyle name="입력 4 16 2" xfId="16613"/>
    <cellStyle name="입력 4 16 2 2" xfId="33754"/>
    <cellStyle name="입력 4 16 3" xfId="30403"/>
    <cellStyle name="입력 4 17" xfId="13259"/>
    <cellStyle name="입력 4 17 2" xfId="16610"/>
    <cellStyle name="입력 4 17 2 2" xfId="33751"/>
    <cellStyle name="입력 4 17 3" xfId="30400"/>
    <cellStyle name="입력 4 18" xfId="13163"/>
    <cellStyle name="입력 4 18 2" xfId="16514"/>
    <cellStyle name="입력 4 18 2 2" xfId="33655"/>
    <cellStyle name="입력 4 18 3" xfId="30304"/>
    <cellStyle name="입력 4 19" xfId="13784"/>
    <cellStyle name="입력 4 19 2" xfId="17130"/>
    <cellStyle name="입력 4 19 2 2" xfId="34271"/>
    <cellStyle name="입력 4 19 3" xfId="30925"/>
    <cellStyle name="입력 4 2" xfId="870"/>
    <cellStyle name="입력 4 2 2" xfId="1293"/>
    <cellStyle name="입력 4 2 2 2" xfId="2191"/>
    <cellStyle name="입력 4 2 2 2 2" xfId="15497"/>
    <cellStyle name="입력 4 2 2 2 2 2" xfId="32638"/>
    <cellStyle name="입력 4 2 2 2 3" xfId="19334"/>
    <cellStyle name="입력 4 2 2 3" xfId="14601"/>
    <cellStyle name="입력 4 2 2 3 2" xfId="31742"/>
    <cellStyle name="입력 4 2 2 4" xfId="18436"/>
    <cellStyle name="입력 4 2 3" xfId="1796"/>
    <cellStyle name="입력 4 2 3 2" xfId="15102"/>
    <cellStyle name="입력 4 2 3 2 2" xfId="32243"/>
    <cellStyle name="입력 4 2 3 3" xfId="18939"/>
    <cellStyle name="입력 4 2 4" xfId="14197"/>
    <cellStyle name="입력 4 2 4 2" xfId="31338"/>
    <cellStyle name="입력 4 2 5" xfId="18013"/>
    <cellStyle name="입력 4 20" xfId="13883"/>
    <cellStyle name="입력 4 20 2" xfId="31024"/>
    <cellStyle name="입력 4 21" xfId="17509"/>
    <cellStyle name="입력 4 22" xfId="35683"/>
    <cellStyle name="입력 4 3" xfId="738"/>
    <cellStyle name="입력 4 3 2" xfId="1191"/>
    <cellStyle name="입력 4 3 2 2" xfId="2089"/>
    <cellStyle name="입력 4 3 2 2 2" xfId="15395"/>
    <cellStyle name="입력 4 3 2 2 2 2" xfId="32536"/>
    <cellStyle name="입력 4 3 2 2 3" xfId="19232"/>
    <cellStyle name="입력 4 3 2 3" xfId="14499"/>
    <cellStyle name="입력 4 3 2 3 2" xfId="31640"/>
    <cellStyle name="입력 4 3 2 4" xfId="18334"/>
    <cellStyle name="입력 4 3 3" xfId="1694"/>
    <cellStyle name="입력 4 3 3 2" xfId="15000"/>
    <cellStyle name="입력 4 3 3 2 2" xfId="32141"/>
    <cellStyle name="입력 4 3 3 3" xfId="18837"/>
    <cellStyle name="입력 4 3 4" xfId="14095"/>
    <cellStyle name="입력 4 3 4 2" xfId="31236"/>
    <cellStyle name="입력 4 3 5" xfId="17881"/>
    <cellStyle name="입력 4 4" xfId="993"/>
    <cellStyle name="입력 4 4 2" xfId="1393"/>
    <cellStyle name="입력 4 4 2 2" xfId="2291"/>
    <cellStyle name="입력 4 4 2 2 2" xfId="15597"/>
    <cellStyle name="입력 4 4 2 2 2 2" xfId="32738"/>
    <cellStyle name="입력 4 4 2 2 3" xfId="19434"/>
    <cellStyle name="입력 4 4 2 3" xfId="14701"/>
    <cellStyle name="입력 4 4 2 3 2" xfId="31842"/>
    <cellStyle name="입력 4 4 2 4" xfId="18536"/>
    <cellStyle name="입력 4 4 3" xfId="1900"/>
    <cellStyle name="입력 4 4 3 2" xfId="15206"/>
    <cellStyle name="입력 4 4 3 2 2" xfId="32347"/>
    <cellStyle name="입력 4 4 3 3" xfId="19043"/>
    <cellStyle name="입력 4 4 4" xfId="14301"/>
    <cellStyle name="입력 4 4 4 2" xfId="31442"/>
    <cellStyle name="입력 4 4 5" xfId="18136"/>
    <cellStyle name="입력 4 5" xfId="1094"/>
    <cellStyle name="입력 4 5 2" xfId="1997"/>
    <cellStyle name="입력 4 5 2 2" xfId="15303"/>
    <cellStyle name="입력 4 5 2 2 2" xfId="32444"/>
    <cellStyle name="입력 4 5 2 3" xfId="19140"/>
    <cellStyle name="입력 4 5 3" xfId="14402"/>
    <cellStyle name="입력 4 5 3 2" xfId="31543"/>
    <cellStyle name="입력 4 5 4" xfId="18237"/>
    <cellStyle name="입력 4 6" xfId="1490"/>
    <cellStyle name="입력 4 6 2" xfId="2387"/>
    <cellStyle name="입력 4 6 2 2" xfId="15693"/>
    <cellStyle name="입력 4 6 2 2 2" xfId="32834"/>
    <cellStyle name="입력 4 6 2 3" xfId="19530"/>
    <cellStyle name="입력 4 6 3" xfId="14797"/>
    <cellStyle name="입력 4 6 3 2" xfId="31938"/>
    <cellStyle name="입력 4 6 4" xfId="18633"/>
    <cellStyle name="입력 4 7" xfId="618"/>
    <cellStyle name="입력 4 7 2" xfId="13994"/>
    <cellStyle name="입력 4 7 2 2" xfId="31135"/>
    <cellStyle name="입력 4 7 3" xfId="17761"/>
    <cellStyle name="입력 4 8" xfId="1591"/>
    <cellStyle name="입력 4 8 2" xfId="14897"/>
    <cellStyle name="입력 4 8 2 2" xfId="32038"/>
    <cellStyle name="입력 4 8 3" xfId="18734"/>
    <cellStyle name="입력 4 9" xfId="12862"/>
    <cellStyle name="입력 4 9 2" xfId="16220"/>
    <cellStyle name="입력 4 9 2 2" xfId="33361"/>
    <cellStyle name="입력 4 9 3" xfId="30003"/>
    <cellStyle name="입력 5" xfId="415"/>
    <cellStyle name="입력 5 10" xfId="13015"/>
    <cellStyle name="입력 5 10 2" xfId="16366"/>
    <cellStyle name="입력 5 10 2 2" xfId="33507"/>
    <cellStyle name="입력 5 10 3" xfId="30156"/>
    <cellStyle name="입력 5 11" xfId="13103"/>
    <cellStyle name="입력 5 11 2" xfId="16454"/>
    <cellStyle name="입력 5 11 2 2" xfId="33595"/>
    <cellStyle name="입력 5 11 3" xfId="30244"/>
    <cellStyle name="입력 5 12" xfId="13188"/>
    <cellStyle name="입력 5 12 2" xfId="16539"/>
    <cellStyle name="입력 5 12 2 2" xfId="33680"/>
    <cellStyle name="입력 5 12 3" xfId="30329"/>
    <cellStyle name="입력 5 13" xfId="12981"/>
    <cellStyle name="입력 5 13 2" xfId="16332"/>
    <cellStyle name="입력 5 13 2 2" xfId="33473"/>
    <cellStyle name="입력 5 13 3" xfId="30122"/>
    <cellStyle name="입력 5 14" xfId="13369"/>
    <cellStyle name="입력 5 14 2" xfId="16720"/>
    <cellStyle name="입력 5 14 2 2" xfId="33861"/>
    <cellStyle name="입력 5 14 3" xfId="30510"/>
    <cellStyle name="입력 5 15" xfId="13443"/>
    <cellStyle name="입력 5 15 2" xfId="16794"/>
    <cellStyle name="입력 5 15 2 2" xfId="33935"/>
    <cellStyle name="입력 5 15 3" xfId="30584"/>
    <cellStyle name="입력 5 16" xfId="13508"/>
    <cellStyle name="입력 5 16 2" xfId="16859"/>
    <cellStyle name="입력 5 16 2 2" xfId="34000"/>
    <cellStyle name="입력 5 16 3" xfId="30649"/>
    <cellStyle name="입력 5 17" xfId="13578"/>
    <cellStyle name="입력 5 17 2" xfId="16929"/>
    <cellStyle name="입력 5 17 2 2" xfId="34070"/>
    <cellStyle name="입력 5 17 3" xfId="30719"/>
    <cellStyle name="입력 5 18" xfId="13641"/>
    <cellStyle name="입력 5 18 2" xfId="16992"/>
    <cellStyle name="입력 5 18 2 2" xfId="34133"/>
    <cellStyle name="입력 5 18 3" xfId="30782"/>
    <cellStyle name="입력 5 19" xfId="13712"/>
    <cellStyle name="입력 5 19 2" xfId="17063"/>
    <cellStyle name="입력 5 19 2 2" xfId="34204"/>
    <cellStyle name="입력 5 19 3" xfId="30853"/>
    <cellStyle name="입력 5 2" xfId="899"/>
    <cellStyle name="입력 5 2 2" xfId="1314"/>
    <cellStyle name="입력 5 2 2 2" xfId="2212"/>
    <cellStyle name="입력 5 2 2 2 2" xfId="15518"/>
    <cellStyle name="입력 5 2 2 2 2 2" xfId="32659"/>
    <cellStyle name="입력 5 2 2 2 3" xfId="19355"/>
    <cellStyle name="입력 5 2 2 3" xfId="14622"/>
    <cellStyle name="입력 5 2 2 3 2" xfId="31763"/>
    <cellStyle name="입력 5 2 2 4" xfId="18457"/>
    <cellStyle name="입력 5 2 3" xfId="1817"/>
    <cellStyle name="입력 5 2 3 2" xfId="15123"/>
    <cellStyle name="입력 5 2 3 2 2" xfId="32264"/>
    <cellStyle name="입력 5 2 3 3" xfId="18960"/>
    <cellStyle name="입력 5 2 4" xfId="14218"/>
    <cellStyle name="입력 5 2 4 2" xfId="31359"/>
    <cellStyle name="입력 5 2 5" xfId="18042"/>
    <cellStyle name="입력 5 20" xfId="13904"/>
    <cellStyle name="입력 5 20 2" xfId="31045"/>
    <cellStyle name="입력 5 21" xfId="17558"/>
    <cellStyle name="입력 5 3" xfId="757"/>
    <cellStyle name="입력 5 3 2" xfId="1210"/>
    <cellStyle name="입력 5 3 2 2" xfId="2108"/>
    <cellStyle name="입력 5 3 2 2 2" xfId="15414"/>
    <cellStyle name="입력 5 3 2 2 2 2" xfId="32555"/>
    <cellStyle name="입력 5 3 2 2 3" xfId="19251"/>
    <cellStyle name="입력 5 3 2 3" xfId="14518"/>
    <cellStyle name="입력 5 3 2 3 2" xfId="31659"/>
    <cellStyle name="입력 5 3 2 4" xfId="18353"/>
    <cellStyle name="입력 5 3 3" xfId="1713"/>
    <cellStyle name="입력 5 3 3 2" xfId="15019"/>
    <cellStyle name="입력 5 3 3 2 2" xfId="32160"/>
    <cellStyle name="입력 5 3 3 3" xfId="18856"/>
    <cellStyle name="입력 5 3 4" xfId="14114"/>
    <cellStyle name="입력 5 3 4 2" xfId="31255"/>
    <cellStyle name="입력 5 3 5" xfId="17900"/>
    <cellStyle name="입력 5 4" xfId="1014"/>
    <cellStyle name="입력 5 4 2" xfId="1412"/>
    <cellStyle name="입력 5 4 2 2" xfId="2310"/>
    <cellStyle name="입력 5 4 2 2 2" xfId="15616"/>
    <cellStyle name="입력 5 4 2 2 2 2" xfId="32757"/>
    <cellStyle name="입력 5 4 2 2 3" xfId="19453"/>
    <cellStyle name="입력 5 4 2 3" xfId="14720"/>
    <cellStyle name="입력 5 4 2 3 2" xfId="31861"/>
    <cellStyle name="입력 5 4 2 4" xfId="18555"/>
    <cellStyle name="입력 5 4 3" xfId="1921"/>
    <cellStyle name="입력 5 4 3 2" xfId="15227"/>
    <cellStyle name="입력 5 4 3 2 2" xfId="32368"/>
    <cellStyle name="입력 5 4 3 3" xfId="19064"/>
    <cellStyle name="입력 5 4 4" xfId="14322"/>
    <cellStyle name="입력 5 4 4 2" xfId="31463"/>
    <cellStyle name="입력 5 4 5" xfId="18157"/>
    <cellStyle name="입력 5 5" xfId="1113"/>
    <cellStyle name="입력 5 5 2" xfId="2015"/>
    <cellStyle name="입력 5 5 2 2" xfId="15321"/>
    <cellStyle name="입력 5 5 2 2 2" xfId="32462"/>
    <cellStyle name="입력 5 5 2 3" xfId="19158"/>
    <cellStyle name="입력 5 5 3" xfId="14421"/>
    <cellStyle name="입력 5 5 3 2" xfId="31562"/>
    <cellStyle name="입력 5 5 4" xfId="18256"/>
    <cellStyle name="입력 5 6" xfId="1508"/>
    <cellStyle name="입력 5 6 2" xfId="2405"/>
    <cellStyle name="입력 5 6 2 2" xfId="15711"/>
    <cellStyle name="입력 5 6 2 2 2" xfId="32852"/>
    <cellStyle name="입력 5 6 2 3" xfId="19548"/>
    <cellStyle name="입력 5 6 3" xfId="14815"/>
    <cellStyle name="입력 5 6 3 2" xfId="31956"/>
    <cellStyle name="입력 5 6 4" xfId="18651"/>
    <cellStyle name="입력 5 7" xfId="647"/>
    <cellStyle name="입력 5 7 2" xfId="14015"/>
    <cellStyle name="입력 5 7 2 2" xfId="31156"/>
    <cellStyle name="입력 5 7 3" xfId="17790"/>
    <cellStyle name="입력 5 8" xfId="1612"/>
    <cellStyle name="입력 5 8 2" xfId="14918"/>
    <cellStyle name="입력 5 8 2 2" xfId="32059"/>
    <cellStyle name="입력 5 8 3" xfId="18755"/>
    <cellStyle name="입력 5 9" xfId="12905"/>
    <cellStyle name="입력 5 9 2" xfId="16263"/>
    <cellStyle name="입력 5 9 2 2" xfId="33404"/>
    <cellStyle name="입력 5 9 3" xfId="30046"/>
    <cellStyle name="입력 6" xfId="357"/>
    <cellStyle name="입력 6 10" xfId="12727"/>
    <cellStyle name="입력 6 10 2" xfId="16090"/>
    <cellStyle name="입력 6 10 2 2" xfId="33231"/>
    <cellStyle name="입력 6 10 3" xfId="29868"/>
    <cellStyle name="입력 6 11" xfId="12779"/>
    <cellStyle name="입력 6 11 2" xfId="16142"/>
    <cellStyle name="입력 6 11 2 2" xfId="33283"/>
    <cellStyle name="입력 6 11 3" xfId="29920"/>
    <cellStyle name="입력 6 12" xfId="12588"/>
    <cellStyle name="입력 6 12 2" xfId="15951"/>
    <cellStyle name="입력 6 12 2 2" xfId="33092"/>
    <cellStyle name="입력 6 12 3" xfId="29729"/>
    <cellStyle name="입력 6 13" xfId="13183"/>
    <cellStyle name="입력 6 13 2" xfId="16534"/>
    <cellStyle name="입력 6 13 2 2" xfId="33675"/>
    <cellStyle name="입력 6 13 3" xfId="30324"/>
    <cellStyle name="입력 6 14" xfId="13056"/>
    <cellStyle name="입력 6 14 2" xfId="16407"/>
    <cellStyle name="입력 6 14 2 2" xfId="33548"/>
    <cellStyle name="입력 6 14 3" xfId="30197"/>
    <cellStyle name="입력 6 15" xfId="13088"/>
    <cellStyle name="입력 6 15 2" xfId="16439"/>
    <cellStyle name="입력 6 15 2 2" xfId="33580"/>
    <cellStyle name="입력 6 15 3" xfId="30229"/>
    <cellStyle name="입력 6 16" xfId="13271"/>
    <cellStyle name="입력 6 16 2" xfId="16622"/>
    <cellStyle name="입력 6 16 2 2" xfId="33763"/>
    <cellStyle name="입력 6 16 3" xfId="30412"/>
    <cellStyle name="입력 6 17" xfId="13477"/>
    <cellStyle name="입력 6 17 2" xfId="16828"/>
    <cellStyle name="입력 6 17 2 2" xfId="33969"/>
    <cellStyle name="입력 6 17 3" xfId="30618"/>
    <cellStyle name="입력 6 18" xfId="12676"/>
    <cellStyle name="입력 6 18 2" xfId="16039"/>
    <cellStyle name="입력 6 18 2 2" xfId="33180"/>
    <cellStyle name="입력 6 18 3" xfId="29817"/>
    <cellStyle name="입력 6 19" xfId="13786"/>
    <cellStyle name="입력 6 19 2" xfId="17132"/>
    <cellStyle name="입력 6 19 2 2" xfId="34273"/>
    <cellStyle name="입력 6 19 3" xfId="30927"/>
    <cellStyle name="입력 6 2" xfId="863"/>
    <cellStyle name="입력 6 2 2" xfId="1287"/>
    <cellStyle name="입력 6 2 2 2" xfId="2185"/>
    <cellStyle name="입력 6 2 2 2 2" xfId="15491"/>
    <cellStyle name="입력 6 2 2 2 2 2" xfId="32632"/>
    <cellStyle name="입력 6 2 2 2 3" xfId="19328"/>
    <cellStyle name="입력 6 2 2 3" xfId="14595"/>
    <cellStyle name="입력 6 2 2 3 2" xfId="31736"/>
    <cellStyle name="입력 6 2 2 4" xfId="18430"/>
    <cellStyle name="입력 6 2 3" xfId="1790"/>
    <cellStyle name="입력 6 2 3 2" xfId="15096"/>
    <cellStyle name="입력 6 2 3 2 2" xfId="32237"/>
    <cellStyle name="입력 6 2 3 3" xfId="18933"/>
    <cellStyle name="입력 6 2 4" xfId="14191"/>
    <cellStyle name="입력 6 2 4 2" xfId="31332"/>
    <cellStyle name="입력 6 2 5" xfId="18006"/>
    <cellStyle name="입력 6 20" xfId="13877"/>
    <cellStyle name="입력 6 20 2" xfId="31018"/>
    <cellStyle name="입력 6 21" xfId="17500"/>
    <cellStyle name="입력 6 3" xfId="734"/>
    <cellStyle name="입력 6 3 2" xfId="1187"/>
    <cellStyle name="입력 6 3 2 2" xfId="2085"/>
    <cellStyle name="입력 6 3 2 2 2" xfId="15391"/>
    <cellStyle name="입력 6 3 2 2 2 2" xfId="32532"/>
    <cellStyle name="입력 6 3 2 2 3" xfId="19228"/>
    <cellStyle name="입력 6 3 2 3" xfId="14495"/>
    <cellStyle name="입력 6 3 2 3 2" xfId="31636"/>
    <cellStyle name="입력 6 3 2 4" xfId="18330"/>
    <cellStyle name="입력 6 3 3" xfId="1690"/>
    <cellStyle name="입력 6 3 3 2" xfId="14996"/>
    <cellStyle name="입력 6 3 3 2 2" xfId="32137"/>
    <cellStyle name="입력 6 3 3 3" xfId="18833"/>
    <cellStyle name="입력 6 3 4" xfId="14091"/>
    <cellStyle name="입력 6 3 4 2" xfId="31232"/>
    <cellStyle name="입력 6 3 5" xfId="17877"/>
    <cellStyle name="입력 6 4" xfId="987"/>
    <cellStyle name="입력 6 4 2" xfId="1389"/>
    <cellStyle name="입력 6 4 2 2" xfId="2287"/>
    <cellStyle name="입력 6 4 2 2 2" xfId="15593"/>
    <cellStyle name="입력 6 4 2 2 2 2" xfId="32734"/>
    <cellStyle name="입력 6 4 2 2 3" xfId="19430"/>
    <cellStyle name="입력 6 4 2 3" xfId="14697"/>
    <cellStyle name="입력 6 4 2 3 2" xfId="31838"/>
    <cellStyle name="입력 6 4 2 4" xfId="18532"/>
    <cellStyle name="입력 6 4 3" xfId="1894"/>
    <cellStyle name="입력 6 4 3 2" xfId="15200"/>
    <cellStyle name="입력 6 4 3 2 2" xfId="32341"/>
    <cellStyle name="입력 6 4 3 3" xfId="19037"/>
    <cellStyle name="입력 6 4 4" xfId="14295"/>
    <cellStyle name="입력 6 4 4 2" xfId="31436"/>
    <cellStyle name="입력 6 4 5" xfId="18130"/>
    <cellStyle name="입력 6 5" xfId="1090"/>
    <cellStyle name="입력 6 5 2" xfId="1993"/>
    <cellStyle name="입력 6 5 2 2" xfId="15299"/>
    <cellStyle name="입력 6 5 2 2 2" xfId="32440"/>
    <cellStyle name="입력 6 5 2 3" xfId="19136"/>
    <cellStyle name="입력 6 5 3" xfId="14398"/>
    <cellStyle name="입력 6 5 3 2" xfId="31539"/>
    <cellStyle name="입력 6 5 4" xfId="18233"/>
    <cellStyle name="입력 6 6" xfId="1486"/>
    <cellStyle name="입력 6 6 2" xfId="2383"/>
    <cellStyle name="입력 6 6 2 2" xfId="15689"/>
    <cellStyle name="입력 6 6 2 2 2" xfId="32830"/>
    <cellStyle name="입력 6 6 2 3" xfId="19526"/>
    <cellStyle name="입력 6 6 3" xfId="14793"/>
    <cellStyle name="입력 6 6 3 2" xfId="31934"/>
    <cellStyle name="입력 6 6 4" xfId="18629"/>
    <cellStyle name="입력 6 7" xfId="611"/>
    <cellStyle name="입력 6 7 2" xfId="13988"/>
    <cellStyle name="입력 6 7 2 2" xfId="31129"/>
    <cellStyle name="입력 6 7 3" xfId="17754"/>
    <cellStyle name="입력 6 8" xfId="1585"/>
    <cellStyle name="입력 6 8 2" xfId="14891"/>
    <cellStyle name="입력 6 8 2 2" xfId="32032"/>
    <cellStyle name="입력 6 8 3" xfId="18728"/>
    <cellStyle name="입력 6 9" xfId="12853"/>
    <cellStyle name="입력 6 9 2" xfId="16211"/>
    <cellStyle name="입력 6 9 2 2" xfId="33352"/>
    <cellStyle name="입력 6 9 3" xfId="29994"/>
    <cellStyle name="입력 7" xfId="451"/>
    <cellStyle name="입력 7 10" xfId="13050"/>
    <cellStyle name="입력 7 10 2" xfId="16401"/>
    <cellStyle name="입력 7 10 2 2" xfId="33542"/>
    <cellStyle name="입력 7 10 3" xfId="30191"/>
    <cellStyle name="입력 7 11" xfId="13133"/>
    <cellStyle name="입력 7 11 2" xfId="16484"/>
    <cellStyle name="입력 7 11 2 2" xfId="33625"/>
    <cellStyle name="입력 7 11 3" xfId="30274"/>
    <cellStyle name="입력 7 12" xfId="13221"/>
    <cellStyle name="입력 7 12 2" xfId="16572"/>
    <cellStyle name="입력 7 12 2 2" xfId="33713"/>
    <cellStyle name="입력 7 12 3" xfId="30362"/>
    <cellStyle name="입력 7 13" xfId="12738"/>
    <cellStyle name="입력 7 13 2" xfId="16101"/>
    <cellStyle name="입력 7 13 2 2" xfId="33242"/>
    <cellStyle name="입력 7 13 3" xfId="29879"/>
    <cellStyle name="입력 7 14" xfId="13398"/>
    <cellStyle name="입력 7 14 2" xfId="16749"/>
    <cellStyle name="입력 7 14 2 2" xfId="33890"/>
    <cellStyle name="입력 7 14 3" xfId="30539"/>
    <cellStyle name="입력 7 15" xfId="13474"/>
    <cellStyle name="입력 7 15 2" xfId="16825"/>
    <cellStyle name="입력 7 15 2 2" xfId="33966"/>
    <cellStyle name="입력 7 15 3" xfId="30615"/>
    <cellStyle name="입력 7 16" xfId="13535"/>
    <cellStyle name="입력 7 16 2" xfId="16886"/>
    <cellStyle name="입력 7 16 2 2" xfId="34027"/>
    <cellStyle name="입력 7 16 3" xfId="30676"/>
    <cellStyle name="입력 7 17" xfId="13603"/>
    <cellStyle name="입력 7 17 2" xfId="16954"/>
    <cellStyle name="입력 7 17 2 2" xfId="34095"/>
    <cellStyle name="입력 7 17 3" xfId="30744"/>
    <cellStyle name="입력 7 18" xfId="13666"/>
    <cellStyle name="입력 7 18 2" xfId="17017"/>
    <cellStyle name="입력 7 18 2 2" xfId="34158"/>
    <cellStyle name="입력 7 18 3" xfId="30807"/>
    <cellStyle name="입력 7 19" xfId="13743"/>
    <cellStyle name="입력 7 19 2" xfId="17094"/>
    <cellStyle name="입력 7 19 2 2" xfId="34235"/>
    <cellStyle name="입력 7 19 3" xfId="30884"/>
    <cellStyle name="입력 7 2" xfId="927"/>
    <cellStyle name="입력 7 2 2" xfId="1339"/>
    <cellStyle name="입력 7 2 2 2" xfId="2237"/>
    <cellStyle name="입력 7 2 2 2 2" xfId="15543"/>
    <cellStyle name="입력 7 2 2 2 2 2" xfId="32684"/>
    <cellStyle name="입력 7 2 2 2 3" xfId="19380"/>
    <cellStyle name="입력 7 2 2 3" xfId="14647"/>
    <cellStyle name="입력 7 2 2 3 2" xfId="31788"/>
    <cellStyle name="입력 7 2 2 4" xfId="18482"/>
    <cellStyle name="입력 7 2 3" xfId="1842"/>
    <cellStyle name="입력 7 2 3 2" xfId="15148"/>
    <cellStyle name="입력 7 2 3 2 2" xfId="32289"/>
    <cellStyle name="입력 7 2 3 3" xfId="18985"/>
    <cellStyle name="입력 7 2 4" xfId="14243"/>
    <cellStyle name="입력 7 2 4 2" xfId="31384"/>
    <cellStyle name="입력 7 2 5" xfId="18070"/>
    <cellStyle name="입력 7 20" xfId="13929"/>
    <cellStyle name="입력 7 20 2" xfId="31070"/>
    <cellStyle name="입력 7 21" xfId="17594"/>
    <cellStyle name="입력 7 3" xfId="780"/>
    <cellStyle name="입력 7 3 2" xfId="1233"/>
    <cellStyle name="입력 7 3 2 2" xfId="2131"/>
    <cellStyle name="입력 7 3 2 2 2" xfId="15437"/>
    <cellStyle name="입력 7 3 2 2 2 2" xfId="32578"/>
    <cellStyle name="입력 7 3 2 2 3" xfId="19274"/>
    <cellStyle name="입력 7 3 2 3" xfId="14541"/>
    <cellStyle name="입력 7 3 2 3 2" xfId="31682"/>
    <cellStyle name="입력 7 3 2 4" xfId="18376"/>
    <cellStyle name="입력 7 3 3" xfId="1736"/>
    <cellStyle name="입력 7 3 3 2" xfId="15042"/>
    <cellStyle name="입력 7 3 3 2 2" xfId="32183"/>
    <cellStyle name="입력 7 3 3 3" xfId="18879"/>
    <cellStyle name="입력 7 3 4" xfId="14137"/>
    <cellStyle name="입력 7 3 4 2" xfId="31278"/>
    <cellStyle name="입력 7 3 5" xfId="17923"/>
    <cellStyle name="입력 7 4" xfId="1039"/>
    <cellStyle name="입력 7 4 2" xfId="1435"/>
    <cellStyle name="입력 7 4 2 2" xfId="2333"/>
    <cellStyle name="입력 7 4 2 2 2" xfId="15639"/>
    <cellStyle name="입력 7 4 2 2 2 2" xfId="32780"/>
    <cellStyle name="입력 7 4 2 2 3" xfId="19476"/>
    <cellStyle name="입력 7 4 2 3" xfId="14743"/>
    <cellStyle name="입력 7 4 2 3 2" xfId="31884"/>
    <cellStyle name="입력 7 4 2 4" xfId="18578"/>
    <cellStyle name="입력 7 4 3" xfId="1946"/>
    <cellStyle name="입력 7 4 3 2" xfId="15252"/>
    <cellStyle name="입력 7 4 3 2 2" xfId="32393"/>
    <cellStyle name="입력 7 4 3 3" xfId="19089"/>
    <cellStyle name="입력 7 4 4" xfId="14347"/>
    <cellStyle name="입력 7 4 4 2" xfId="31488"/>
    <cellStyle name="입력 7 4 5" xfId="18182"/>
    <cellStyle name="입력 7 5" xfId="1136"/>
    <cellStyle name="입력 7 5 2" xfId="2038"/>
    <cellStyle name="입력 7 5 2 2" xfId="15344"/>
    <cellStyle name="입력 7 5 2 2 2" xfId="32485"/>
    <cellStyle name="입력 7 5 2 3" xfId="19181"/>
    <cellStyle name="입력 7 5 3" xfId="14444"/>
    <cellStyle name="입력 7 5 3 2" xfId="31585"/>
    <cellStyle name="입력 7 5 4" xfId="18279"/>
    <cellStyle name="입력 7 6" xfId="1531"/>
    <cellStyle name="입력 7 6 2" xfId="2428"/>
    <cellStyle name="입력 7 6 2 2" xfId="15734"/>
    <cellStyle name="입력 7 6 2 2 2" xfId="32875"/>
    <cellStyle name="입력 7 6 2 3" xfId="19571"/>
    <cellStyle name="입력 7 6 3" xfId="14838"/>
    <cellStyle name="입력 7 6 3 2" xfId="31979"/>
    <cellStyle name="입력 7 6 4" xfId="18674"/>
    <cellStyle name="입력 7 7" xfId="675"/>
    <cellStyle name="입력 7 7 2" xfId="14040"/>
    <cellStyle name="입력 7 7 2 2" xfId="31181"/>
    <cellStyle name="입력 7 7 3" xfId="17818"/>
    <cellStyle name="입력 7 8" xfId="1637"/>
    <cellStyle name="입력 7 8 2" xfId="14943"/>
    <cellStyle name="입력 7 8 2 2" xfId="32084"/>
    <cellStyle name="입력 7 8 3" xfId="18780"/>
    <cellStyle name="입력 7 9" xfId="12937"/>
    <cellStyle name="입력 7 9 2" xfId="16295"/>
    <cellStyle name="입력 7 9 2 2" xfId="33436"/>
    <cellStyle name="입력 7 9 3" xfId="30078"/>
    <cellStyle name="입력 8" xfId="409"/>
    <cellStyle name="입력 8 10" xfId="13010"/>
    <cellStyle name="입력 8 10 2" xfId="16361"/>
    <cellStyle name="입력 8 10 2 2" xfId="33502"/>
    <cellStyle name="입력 8 10 3" xfId="30151"/>
    <cellStyle name="입력 8 11" xfId="13097"/>
    <cellStyle name="입력 8 11 2" xfId="16448"/>
    <cellStyle name="입력 8 11 2 2" xfId="33589"/>
    <cellStyle name="입력 8 11 3" xfId="30238"/>
    <cellStyle name="입력 8 12" xfId="13182"/>
    <cellStyle name="입력 8 12 2" xfId="16533"/>
    <cellStyle name="입력 8 12 2 2" xfId="33674"/>
    <cellStyle name="입력 8 12 3" xfId="30323"/>
    <cellStyle name="입력 8 13" xfId="12801"/>
    <cellStyle name="입력 8 13 2" xfId="16162"/>
    <cellStyle name="입력 8 13 2 2" xfId="33303"/>
    <cellStyle name="입력 8 13 3" xfId="29942"/>
    <cellStyle name="입력 8 14" xfId="13364"/>
    <cellStyle name="입력 8 14 2" xfId="16715"/>
    <cellStyle name="입력 8 14 2 2" xfId="33856"/>
    <cellStyle name="입력 8 14 3" xfId="30505"/>
    <cellStyle name="입력 8 15" xfId="13439"/>
    <cellStyle name="입력 8 15 2" xfId="16790"/>
    <cellStyle name="입력 8 15 2 2" xfId="33931"/>
    <cellStyle name="입력 8 15 3" xfId="30580"/>
    <cellStyle name="입력 8 16" xfId="13319"/>
    <cellStyle name="입력 8 16 2" xfId="16670"/>
    <cellStyle name="입력 8 16 2 2" xfId="33811"/>
    <cellStyle name="입력 8 16 3" xfId="30460"/>
    <cellStyle name="입력 8 17" xfId="13573"/>
    <cellStyle name="입력 8 17 2" xfId="16924"/>
    <cellStyle name="입력 8 17 2 2" xfId="34065"/>
    <cellStyle name="입력 8 17 3" xfId="30714"/>
    <cellStyle name="입력 8 18" xfId="13636"/>
    <cellStyle name="입력 8 18 2" xfId="16987"/>
    <cellStyle name="입력 8 18 2 2" xfId="34128"/>
    <cellStyle name="입력 8 18 3" xfId="30777"/>
    <cellStyle name="입력 8 19" xfId="13731"/>
    <cellStyle name="입력 8 19 2" xfId="17082"/>
    <cellStyle name="입력 8 19 2 2" xfId="34223"/>
    <cellStyle name="입력 8 19 3" xfId="30872"/>
    <cellStyle name="입력 8 2" xfId="894"/>
    <cellStyle name="입력 8 2 2" xfId="1309"/>
    <cellStyle name="입력 8 2 2 2" xfId="2207"/>
    <cellStyle name="입력 8 2 2 2 2" xfId="15513"/>
    <cellStyle name="입력 8 2 2 2 2 2" xfId="32654"/>
    <cellStyle name="입력 8 2 2 2 3" xfId="19350"/>
    <cellStyle name="입력 8 2 2 3" xfId="14617"/>
    <cellStyle name="입력 8 2 2 3 2" xfId="31758"/>
    <cellStyle name="입력 8 2 2 4" xfId="18452"/>
    <cellStyle name="입력 8 2 3" xfId="1812"/>
    <cellStyle name="입력 8 2 3 2" xfId="15118"/>
    <cellStyle name="입력 8 2 3 2 2" xfId="32259"/>
    <cellStyle name="입력 8 2 3 3" xfId="18955"/>
    <cellStyle name="입력 8 2 4" xfId="14213"/>
    <cellStyle name="입력 8 2 4 2" xfId="31354"/>
    <cellStyle name="입력 8 2 5" xfId="18037"/>
    <cellStyle name="입력 8 20" xfId="13899"/>
    <cellStyle name="입력 8 20 2" xfId="31040"/>
    <cellStyle name="입력 8 21" xfId="17552"/>
    <cellStyle name="입력 8 3" xfId="752"/>
    <cellStyle name="입력 8 3 2" xfId="1205"/>
    <cellStyle name="입력 8 3 2 2" xfId="2103"/>
    <cellStyle name="입력 8 3 2 2 2" xfId="15409"/>
    <cellStyle name="입력 8 3 2 2 2 2" xfId="32550"/>
    <cellStyle name="입력 8 3 2 2 3" xfId="19246"/>
    <cellStyle name="입력 8 3 2 3" xfId="14513"/>
    <cellStyle name="입력 8 3 2 3 2" xfId="31654"/>
    <cellStyle name="입력 8 3 2 4" xfId="18348"/>
    <cellStyle name="입력 8 3 3" xfId="1708"/>
    <cellStyle name="입력 8 3 3 2" xfId="15014"/>
    <cellStyle name="입력 8 3 3 2 2" xfId="32155"/>
    <cellStyle name="입력 8 3 3 3" xfId="18851"/>
    <cellStyle name="입력 8 3 4" xfId="14109"/>
    <cellStyle name="입력 8 3 4 2" xfId="31250"/>
    <cellStyle name="입력 8 3 5" xfId="17895"/>
    <cellStyle name="입력 8 4" xfId="1009"/>
    <cellStyle name="입력 8 4 2" xfId="1407"/>
    <cellStyle name="입력 8 4 2 2" xfId="2305"/>
    <cellStyle name="입력 8 4 2 2 2" xfId="15611"/>
    <cellStyle name="입력 8 4 2 2 2 2" xfId="32752"/>
    <cellStyle name="입력 8 4 2 2 3" xfId="19448"/>
    <cellStyle name="입력 8 4 2 3" xfId="14715"/>
    <cellStyle name="입력 8 4 2 3 2" xfId="31856"/>
    <cellStyle name="입력 8 4 2 4" xfId="18550"/>
    <cellStyle name="입력 8 4 3" xfId="1916"/>
    <cellStyle name="입력 8 4 3 2" xfId="15222"/>
    <cellStyle name="입력 8 4 3 2 2" xfId="32363"/>
    <cellStyle name="입력 8 4 3 3" xfId="19059"/>
    <cellStyle name="입력 8 4 4" xfId="14317"/>
    <cellStyle name="입력 8 4 4 2" xfId="31458"/>
    <cellStyle name="입력 8 4 5" xfId="18152"/>
    <cellStyle name="입력 8 5" xfId="1108"/>
    <cellStyle name="입력 8 5 2" xfId="2010"/>
    <cellStyle name="입력 8 5 2 2" xfId="15316"/>
    <cellStyle name="입력 8 5 2 2 2" xfId="32457"/>
    <cellStyle name="입력 8 5 2 3" xfId="19153"/>
    <cellStyle name="입력 8 5 3" xfId="14416"/>
    <cellStyle name="입력 8 5 3 2" xfId="31557"/>
    <cellStyle name="입력 8 5 4" xfId="18251"/>
    <cellStyle name="입력 8 6" xfId="1503"/>
    <cellStyle name="입력 8 6 2" xfId="2400"/>
    <cellStyle name="입력 8 6 2 2" xfId="15706"/>
    <cellStyle name="입력 8 6 2 2 2" xfId="32847"/>
    <cellStyle name="입력 8 6 2 3" xfId="19543"/>
    <cellStyle name="입력 8 6 3" xfId="14810"/>
    <cellStyle name="입력 8 6 3 2" xfId="31951"/>
    <cellStyle name="입력 8 6 4" xfId="18646"/>
    <cellStyle name="입력 8 7" xfId="642"/>
    <cellStyle name="입력 8 7 2" xfId="14010"/>
    <cellStyle name="입력 8 7 2 2" xfId="31151"/>
    <cellStyle name="입력 8 7 3" xfId="17785"/>
    <cellStyle name="입력 8 8" xfId="1607"/>
    <cellStyle name="입력 8 8 2" xfId="14913"/>
    <cellStyle name="입력 8 8 2 2" xfId="32054"/>
    <cellStyle name="입력 8 8 3" xfId="18750"/>
    <cellStyle name="입력 8 9" xfId="12900"/>
    <cellStyle name="입력 8 9 2" xfId="16258"/>
    <cellStyle name="입력 8 9 2 2" xfId="33399"/>
    <cellStyle name="입력 8 9 3" xfId="30041"/>
    <cellStyle name="입력 9" xfId="324"/>
    <cellStyle name="입력 9 10" xfId="12641"/>
    <cellStyle name="입력 9 10 2" xfId="16004"/>
    <cellStyle name="입력 9 10 2 2" xfId="33145"/>
    <cellStyle name="입력 9 10 3" xfId="29782"/>
    <cellStyle name="입력 9 11" xfId="12796"/>
    <cellStyle name="입력 9 11 2" xfId="16157"/>
    <cellStyle name="입력 9 11 2 2" xfId="33298"/>
    <cellStyle name="입력 9 11 3" xfId="29937"/>
    <cellStyle name="입력 9 12" xfId="12996"/>
    <cellStyle name="입력 9 12 2" xfId="16347"/>
    <cellStyle name="입력 9 12 2 2" xfId="33488"/>
    <cellStyle name="입력 9 12 3" xfId="30137"/>
    <cellStyle name="입력 9 13" xfId="12758"/>
    <cellStyle name="입력 9 13 2" xfId="16121"/>
    <cellStyle name="입력 9 13 2 2" xfId="33262"/>
    <cellStyle name="입력 9 13 3" xfId="29899"/>
    <cellStyle name="입력 9 14" xfId="13042"/>
    <cellStyle name="입력 9 14 2" xfId="16393"/>
    <cellStyle name="입력 9 14 2 2" xfId="33534"/>
    <cellStyle name="입력 9 14 3" xfId="30183"/>
    <cellStyle name="입력 9 15" xfId="12624"/>
    <cellStyle name="입력 9 15 2" xfId="15987"/>
    <cellStyle name="입력 9 15 2 2" xfId="33128"/>
    <cellStyle name="입력 9 15 3" xfId="29765"/>
    <cellStyle name="입력 9 16" xfId="13316"/>
    <cellStyle name="입력 9 16 2" xfId="16667"/>
    <cellStyle name="입력 9 16 2 2" xfId="33808"/>
    <cellStyle name="입력 9 16 3" xfId="30457"/>
    <cellStyle name="입력 9 17" xfId="12764"/>
    <cellStyle name="입력 9 17 2" xfId="16127"/>
    <cellStyle name="입력 9 17 2 2" xfId="33268"/>
    <cellStyle name="입력 9 17 3" xfId="29905"/>
    <cellStyle name="입력 9 18" xfId="12786"/>
    <cellStyle name="입력 9 18 2" xfId="16148"/>
    <cellStyle name="입력 9 18 2 2" xfId="33289"/>
    <cellStyle name="입력 9 18 3" xfId="29927"/>
    <cellStyle name="입력 9 19" xfId="13811"/>
    <cellStyle name="입력 9 19 2" xfId="17157"/>
    <cellStyle name="입력 9 19 2 2" xfId="34298"/>
    <cellStyle name="입력 9 19 3" xfId="30952"/>
    <cellStyle name="입력 9 2" xfId="835"/>
    <cellStyle name="입력 9 2 2" xfId="1267"/>
    <cellStyle name="입력 9 2 2 2" xfId="2165"/>
    <cellStyle name="입력 9 2 2 2 2" xfId="15471"/>
    <cellStyle name="입력 9 2 2 2 2 2" xfId="32612"/>
    <cellStyle name="입력 9 2 2 2 3" xfId="19308"/>
    <cellStyle name="입력 9 2 2 3" xfId="14575"/>
    <cellStyle name="입력 9 2 2 3 2" xfId="31716"/>
    <cellStyle name="입력 9 2 2 4" xfId="18410"/>
    <cellStyle name="입력 9 2 3" xfId="1770"/>
    <cellStyle name="입력 9 2 3 2" xfId="15076"/>
    <cellStyle name="입력 9 2 3 2 2" xfId="32217"/>
    <cellStyle name="입력 9 2 3 3" xfId="18913"/>
    <cellStyle name="입력 9 2 4" xfId="14171"/>
    <cellStyle name="입력 9 2 4 2" xfId="31312"/>
    <cellStyle name="입력 9 2 5" xfId="17978"/>
    <cellStyle name="입력 9 20" xfId="13857"/>
    <cellStyle name="입력 9 20 2" xfId="30998"/>
    <cellStyle name="입력 9 21" xfId="17467"/>
    <cellStyle name="입력 9 3" xfId="719"/>
    <cellStyle name="입력 9 3 2" xfId="1172"/>
    <cellStyle name="입력 9 3 2 2" xfId="2070"/>
    <cellStyle name="입력 9 3 2 2 2" xfId="15376"/>
    <cellStyle name="입력 9 3 2 2 2 2" xfId="32517"/>
    <cellStyle name="입력 9 3 2 2 3" xfId="19213"/>
    <cellStyle name="입력 9 3 2 3" xfId="14480"/>
    <cellStyle name="입력 9 3 2 3 2" xfId="31621"/>
    <cellStyle name="입력 9 3 2 4" xfId="18315"/>
    <cellStyle name="입력 9 3 3" xfId="1675"/>
    <cellStyle name="입력 9 3 3 2" xfId="14981"/>
    <cellStyle name="입력 9 3 3 2 2" xfId="32122"/>
    <cellStyle name="입력 9 3 3 3" xfId="18818"/>
    <cellStyle name="입력 9 3 4" xfId="14076"/>
    <cellStyle name="입력 9 3 4 2" xfId="31217"/>
    <cellStyle name="입력 9 3 5" xfId="17862"/>
    <cellStyle name="입력 9 4" xfId="971"/>
    <cellStyle name="입력 9 4 2" xfId="1374"/>
    <cellStyle name="입력 9 4 2 2" xfId="2272"/>
    <cellStyle name="입력 9 4 2 2 2" xfId="15578"/>
    <cellStyle name="입력 9 4 2 2 2 2" xfId="32719"/>
    <cellStyle name="입력 9 4 2 2 3" xfId="19415"/>
    <cellStyle name="입력 9 4 2 3" xfId="14682"/>
    <cellStyle name="입력 9 4 2 3 2" xfId="31823"/>
    <cellStyle name="입력 9 4 2 4" xfId="18517"/>
    <cellStyle name="입력 9 4 3" xfId="1878"/>
    <cellStyle name="입력 9 4 3 2" xfId="15184"/>
    <cellStyle name="입력 9 4 3 2 2" xfId="32325"/>
    <cellStyle name="입력 9 4 3 3" xfId="19021"/>
    <cellStyle name="입력 9 4 4" xfId="14279"/>
    <cellStyle name="입력 9 4 4 2" xfId="31420"/>
    <cellStyle name="입력 9 4 5" xfId="18114"/>
    <cellStyle name="입력 9 5" xfId="1071"/>
    <cellStyle name="입력 9 5 2" xfId="1978"/>
    <cellStyle name="입력 9 5 2 2" xfId="15284"/>
    <cellStyle name="입력 9 5 2 2 2" xfId="32425"/>
    <cellStyle name="입력 9 5 2 3" xfId="19121"/>
    <cellStyle name="입력 9 5 3" xfId="14379"/>
    <cellStyle name="입력 9 5 3 2" xfId="31520"/>
    <cellStyle name="입력 9 5 4" xfId="18214"/>
    <cellStyle name="입력 9 6" xfId="1471"/>
    <cellStyle name="입력 9 6 2" xfId="2368"/>
    <cellStyle name="입력 9 6 2 2" xfId="15674"/>
    <cellStyle name="입력 9 6 2 2 2" xfId="32815"/>
    <cellStyle name="입력 9 6 2 3" xfId="19511"/>
    <cellStyle name="입력 9 6 3" xfId="14778"/>
    <cellStyle name="입력 9 6 3 2" xfId="31919"/>
    <cellStyle name="입력 9 6 4" xfId="18614"/>
    <cellStyle name="입력 9 7" xfId="583"/>
    <cellStyle name="입력 9 7 2" xfId="13968"/>
    <cellStyle name="입력 9 7 2 2" xfId="31109"/>
    <cellStyle name="입력 9 7 3" xfId="17726"/>
    <cellStyle name="입력 9 8" xfId="1565"/>
    <cellStyle name="입력 9 8 2" xfId="14871"/>
    <cellStyle name="입력 9 8 2 2" xfId="32012"/>
    <cellStyle name="입력 9 8 3" xfId="18708"/>
    <cellStyle name="입력 9 9" xfId="12824"/>
    <cellStyle name="입력 9 9 2" xfId="16182"/>
    <cellStyle name="입력 9 9 2 2" xfId="33323"/>
    <cellStyle name="입력 9 9 3" xfId="29965"/>
    <cellStyle name="자리수" xfId="61"/>
    <cellStyle name="자리수 2" xfId="233"/>
    <cellStyle name="자리수 2 2" xfId="17376"/>
    <cellStyle name="자리수 3" xfId="17233"/>
    <cellStyle name="자리수 4" xfId="35684"/>
    <cellStyle name="자리수0" xfId="62"/>
    <cellStyle name="자리수0 2" xfId="234"/>
    <cellStyle name="자리수0 2 2" xfId="17377"/>
    <cellStyle name="자리수0 3" xfId="17234"/>
    <cellStyle name="자리수0 4" xfId="35685"/>
    <cellStyle name="제목 1 2" xfId="236"/>
    <cellStyle name="제목 1 2 2" xfId="17379"/>
    <cellStyle name="제목 1 2 3" xfId="35686"/>
    <cellStyle name="제목 1 3" xfId="545"/>
    <cellStyle name="제목 1 3 2" xfId="17688"/>
    <cellStyle name="제목 1 3 3" xfId="35687"/>
    <cellStyle name="제목 1 4" xfId="9748"/>
    <cellStyle name="제목 1 4 2" xfId="26889"/>
    <cellStyle name="제목 1 4 3" xfId="35688"/>
    <cellStyle name="제목 1 5" xfId="64"/>
    <cellStyle name="제목 1 5 2" xfId="17236"/>
    <cellStyle name="제목 2 2" xfId="237"/>
    <cellStyle name="제목 2 2 2" xfId="17380"/>
    <cellStyle name="제목 2 2 3" xfId="35689"/>
    <cellStyle name="제목 2 3" xfId="546"/>
    <cellStyle name="제목 2 3 2" xfId="17689"/>
    <cellStyle name="제목 2 3 3" xfId="35690"/>
    <cellStyle name="제목 2 4" xfId="9749"/>
    <cellStyle name="제목 2 4 2" xfId="26890"/>
    <cellStyle name="제목 2 4 3" xfId="35691"/>
    <cellStyle name="제목 2 5" xfId="65"/>
    <cellStyle name="제목 2 5 2" xfId="17237"/>
    <cellStyle name="제목 3 10" xfId="453"/>
    <cellStyle name="제목 3 10 2" xfId="17596"/>
    <cellStyle name="제목 3 11" xfId="547"/>
    <cellStyle name="제목 3 11 2" xfId="17690"/>
    <cellStyle name="제목 3 12" xfId="66"/>
    <cellStyle name="제목 3 12 2" xfId="17238"/>
    <cellStyle name="제목 3 2" xfId="238"/>
    <cellStyle name="제목 3 2 2" xfId="816"/>
    <cellStyle name="제목 3 2 2 2" xfId="17959"/>
    <cellStyle name="제목 3 2 3" xfId="564"/>
    <cellStyle name="제목 3 2 3 2" xfId="17707"/>
    <cellStyle name="제목 3 2 4" xfId="17381"/>
    <cellStyle name="제목 3 2 5" xfId="35692"/>
    <cellStyle name="제목 3 3" xfId="339"/>
    <cellStyle name="제목 3 3 2" xfId="848"/>
    <cellStyle name="제목 3 3 2 2" xfId="17991"/>
    <cellStyle name="제목 3 3 3" xfId="596"/>
    <cellStyle name="제목 3 3 3 2" xfId="17739"/>
    <cellStyle name="제목 3 3 4" xfId="17482"/>
    <cellStyle name="제목 3 3 5" xfId="35693"/>
    <cellStyle name="제목 3 4" xfId="361"/>
    <cellStyle name="제목 3 4 2" xfId="866"/>
    <cellStyle name="제목 3 4 2 2" xfId="18009"/>
    <cellStyle name="제목 3 4 3" xfId="614"/>
    <cellStyle name="제목 3 4 3 2" xfId="17757"/>
    <cellStyle name="제목 3 4 4" xfId="17504"/>
    <cellStyle name="제목 3 4 5" xfId="35694"/>
    <cellStyle name="제목 3 5" xfId="400"/>
    <cellStyle name="제목 3 5 2" xfId="888"/>
    <cellStyle name="제목 3 5 2 2" xfId="18031"/>
    <cellStyle name="제목 3 5 3" xfId="636"/>
    <cellStyle name="제목 3 5 3 2" xfId="17779"/>
    <cellStyle name="제목 3 5 4" xfId="17543"/>
    <cellStyle name="제목 3 6" xfId="300"/>
    <cellStyle name="제목 3 6 2" xfId="826"/>
    <cellStyle name="제목 3 6 2 2" xfId="17969"/>
    <cellStyle name="제목 3 6 3" xfId="574"/>
    <cellStyle name="제목 3 6 3 2" xfId="17717"/>
    <cellStyle name="제목 3 6 4" xfId="17443"/>
    <cellStyle name="제목 3 7" xfId="290"/>
    <cellStyle name="제목 3 7 2" xfId="825"/>
    <cellStyle name="제목 3 7 2 2" xfId="17968"/>
    <cellStyle name="제목 3 7 3" xfId="573"/>
    <cellStyle name="제목 3 7 3 2" xfId="17716"/>
    <cellStyle name="제목 3 7 4" xfId="17433"/>
    <cellStyle name="제목 3 8" xfId="186"/>
    <cellStyle name="제목 3 8 2" xfId="807"/>
    <cellStyle name="제목 3 8 2 2" xfId="17950"/>
    <cellStyle name="제목 3 8 3" xfId="555"/>
    <cellStyle name="제목 3 8 3 2" xfId="17698"/>
    <cellStyle name="제목 3 8 4" xfId="17329"/>
    <cellStyle name="제목 3 9" xfId="355"/>
    <cellStyle name="제목 3 9 2" xfId="862"/>
    <cellStyle name="제목 3 9 2 2" xfId="18005"/>
    <cellStyle name="제목 3 9 3" xfId="610"/>
    <cellStyle name="제목 3 9 3 2" xfId="17753"/>
    <cellStyle name="제목 3 9 4" xfId="17498"/>
    <cellStyle name="제목 4 2" xfId="239"/>
    <cellStyle name="제목 4 2 2" xfId="17382"/>
    <cellStyle name="제목 4 2 3" xfId="35695"/>
    <cellStyle name="제목 4 3" xfId="548"/>
    <cellStyle name="제목 4 3 2" xfId="17691"/>
    <cellStyle name="제목 4 3 3" xfId="35696"/>
    <cellStyle name="제목 4 4" xfId="9750"/>
    <cellStyle name="제목 4 4 2" xfId="26891"/>
    <cellStyle name="제목 4 4 3" xfId="35697"/>
    <cellStyle name="제목 4 5" xfId="67"/>
    <cellStyle name="제목 4 5 2" xfId="17239"/>
    <cellStyle name="제목 5" xfId="235"/>
    <cellStyle name="제목 5 2" xfId="17378"/>
    <cellStyle name="제목 5 3" xfId="35698"/>
    <cellStyle name="제목 6" xfId="544"/>
    <cellStyle name="제목 6 2" xfId="17687"/>
    <cellStyle name="제목 6 3" xfId="35699"/>
    <cellStyle name="제목 7" xfId="9751"/>
    <cellStyle name="제목 7 2" xfId="26892"/>
    <cellStyle name="제목 7 3" xfId="35700"/>
    <cellStyle name="제목 8" xfId="63"/>
    <cellStyle name="제목 8 2" xfId="17235"/>
    <cellStyle name="제목1" xfId="36886"/>
    <cellStyle name="제목2" xfId="36887"/>
    <cellStyle name="좋음 2" xfId="240"/>
    <cellStyle name="좋음 2 2" xfId="17383"/>
    <cellStyle name="좋음 2 3" xfId="35701"/>
    <cellStyle name="좋음 3" xfId="492"/>
    <cellStyle name="좋음 3 2" xfId="17635"/>
    <cellStyle name="좋음 3 3" xfId="35702"/>
    <cellStyle name="좋음 4" xfId="549"/>
    <cellStyle name="좋음 4 2" xfId="17692"/>
    <cellStyle name="좋음 4 3" xfId="35703"/>
    <cellStyle name="좋음 5" xfId="9752"/>
    <cellStyle name="좋음 5 2" xfId="26893"/>
    <cellStyle name="좋음 6" xfId="68"/>
    <cellStyle name="좋음 6 2" xfId="17240"/>
    <cellStyle name="죏徹㤀㔀" xfId="36888"/>
    <cellStyle name="주의항목" xfId="36889"/>
    <cellStyle name="지정되지 않음" xfId="69"/>
    <cellStyle name="지정되지 않음 2" xfId="241"/>
    <cellStyle name="지정되지 않음 2 2" xfId="17384"/>
    <cellStyle name="지정되지 않음 3" xfId="17241"/>
    <cellStyle name="지정되지 않음 4" xfId="35704"/>
    <cellStyle name="千分位[0]_PERSONAL" xfId="36890"/>
    <cellStyle name="千分位_PERSONAL" xfId="36891"/>
    <cellStyle name="추(1)" xfId="70"/>
    <cellStyle name="추(1) 2" xfId="242"/>
    <cellStyle name="추(1) 2 2" xfId="17385"/>
    <cellStyle name="추(1) 3" xfId="17242"/>
    <cellStyle name="출력 10" xfId="326"/>
    <cellStyle name="출력 10 10" xfId="12639"/>
    <cellStyle name="출력 10 10 2" xfId="16002"/>
    <cellStyle name="출력 10 10 2 2" xfId="33143"/>
    <cellStyle name="출력 10 10 3" xfId="29780"/>
    <cellStyle name="출력 10 11" xfId="12808"/>
    <cellStyle name="출력 10 11 2" xfId="16169"/>
    <cellStyle name="출력 10 11 2 2" xfId="33310"/>
    <cellStyle name="출력 10 11 3" xfId="29949"/>
    <cellStyle name="출력 10 12" xfId="12623"/>
    <cellStyle name="출력 10 12 2" xfId="15986"/>
    <cellStyle name="출력 10 12 2 2" xfId="33127"/>
    <cellStyle name="출력 10 12 3" xfId="29764"/>
    <cellStyle name="출력 10 13" xfId="13297"/>
    <cellStyle name="출력 10 13 2" xfId="16648"/>
    <cellStyle name="출력 10 13 2 2" xfId="33789"/>
    <cellStyle name="출력 10 13 3" xfId="30438"/>
    <cellStyle name="출력 10 14" xfId="12794"/>
    <cellStyle name="출력 10 14 2" xfId="16155"/>
    <cellStyle name="출력 10 14 2 2" xfId="33296"/>
    <cellStyle name="출력 10 14 3" xfId="29935"/>
    <cellStyle name="출력 10 15" xfId="13291"/>
    <cellStyle name="출력 10 15 2" xfId="16642"/>
    <cellStyle name="출력 10 15 2 2" xfId="33783"/>
    <cellStyle name="출력 10 15 3" xfId="30432"/>
    <cellStyle name="출력 10 16" xfId="12763"/>
    <cellStyle name="출력 10 16 2" xfId="16126"/>
    <cellStyle name="출력 10 16 2 2" xfId="33267"/>
    <cellStyle name="출력 10 16 3" xfId="29904"/>
    <cellStyle name="출력 10 17" xfId="13448"/>
    <cellStyle name="출력 10 17 2" xfId="16799"/>
    <cellStyle name="출력 10 17 2 2" xfId="33940"/>
    <cellStyle name="출력 10 17 3" xfId="30589"/>
    <cellStyle name="출력 10 18" xfId="13478"/>
    <cellStyle name="출력 10 18 2" xfId="16829"/>
    <cellStyle name="출력 10 18 2 2" xfId="33970"/>
    <cellStyle name="출력 10 18 3" xfId="30619"/>
    <cellStyle name="출력 10 19" xfId="13810"/>
    <cellStyle name="출력 10 19 2" xfId="17156"/>
    <cellStyle name="출력 10 19 2 2" xfId="34297"/>
    <cellStyle name="출력 10 19 3" xfId="30951"/>
    <cellStyle name="출력 10 2" xfId="836"/>
    <cellStyle name="출력 10 2 2" xfId="1268"/>
    <cellStyle name="출력 10 2 2 2" xfId="2166"/>
    <cellStyle name="출력 10 2 2 2 2" xfId="15472"/>
    <cellStyle name="출력 10 2 2 2 2 2" xfId="32613"/>
    <cellStyle name="출력 10 2 2 2 3" xfId="19309"/>
    <cellStyle name="출력 10 2 2 3" xfId="14576"/>
    <cellStyle name="출력 10 2 2 3 2" xfId="31717"/>
    <cellStyle name="출력 10 2 2 4" xfId="18411"/>
    <cellStyle name="출력 10 2 3" xfId="1771"/>
    <cellStyle name="출력 10 2 3 2" xfId="15077"/>
    <cellStyle name="출력 10 2 3 2 2" xfId="32218"/>
    <cellStyle name="출력 10 2 3 3" xfId="18914"/>
    <cellStyle name="출력 10 2 4" xfId="14172"/>
    <cellStyle name="출력 10 2 4 2" xfId="31313"/>
    <cellStyle name="출력 10 2 5" xfId="17979"/>
    <cellStyle name="출력 10 20" xfId="13858"/>
    <cellStyle name="출력 10 20 2" xfId="30999"/>
    <cellStyle name="출력 10 21" xfId="17469"/>
    <cellStyle name="출력 10 3" xfId="720"/>
    <cellStyle name="출력 10 3 2" xfId="1173"/>
    <cellStyle name="출력 10 3 2 2" xfId="2071"/>
    <cellStyle name="출력 10 3 2 2 2" xfId="15377"/>
    <cellStyle name="출력 10 3 2 2 2 2" xfId="32518"/>
    <cellStyle name="출력 10 3 2 2 3" xfId="19214"/>
    <cellStyle name="출력 10 3 2 3" xfId="14481"/>
    <cellStyle name="출력 10 3 2 3 2" xfId="31622"/>
    <cellStyle name="출력 10 3 2 4" xfId="18316"/>
    <cellStyle name="출력 10 3 3" xfId="1676"/>
    <cellStyle name="출력 10 3 3 2" xfId="14982"/>
    <cellStyle name="출력 10 3 3 2 2" xfId="32123"/>
    <cellStyle name="출력 10 3 3 3" xfId="18819"/>
    <cellStyle name="출력 10 3 4" xfId="14077"/>
    <cellStyle name="출력 10 3 4 2" xfId="31218"/>
    <cellStyle name="출력 10 3 5" xfId="17863"/>
    <cellStyle name="출력 10 4" xfId="972"/>
    <cellStyle name="출력 10 4 2" xfId="1375"/>
    <cellStyle name="출력 10 4 2 2" xfId="2273"/>
    <cellStyle name="출력 10 4 2 2 2" xfId="15579"/>
    <cellStyle name="출력 10 4 2 2 2 2" xfId="32720"/>
    <cellStyle name="출력 10 4 2 2 3" xfId="19416"/>
    <cellStyle name="출력 10 4 2 3" xfId="14683"/>
    <cellStyle name="출력 10 4 2 3 2" xfId="31824"/>
    <cellStyle name="출력 10 4 2 4" xfId="18518"/>
    <cellStyle name="출력 10 4 3" xfId="1879"/>
    <cellStyle name="출력 10 4 3 2" xfId="15185"/>
    <cellStyle name="출력 10 4 3 2 2" xfId="32326"/>
    <cellStyle name="출력 10 4 3 3" xfId="19022"/>
    <cellStyle name="출력 10 4 4" xfId="14280"/>
    <cellStyle name="출력 10 4 4 2" xfId="31421"/>
    <cellStyle name="출력 10 4 5" xfId="18115"/>
    <cellStyle name="출력 10 5" xfId="1072"/>
    <cellStyle name="출력 10 5 2" xfId="1979"/>
    <cellStyle name="출력 10 5 2 2" xfId="15285"/>
    <cellStyle name="출력 10 5 2 2 2" xfId="32426"/>
    <cellStyle name="출력 10 5 2 3" xfId="19122"/>
    <cellStyle name="출력 10 5 3" xfId="14380"/>
    <cellStyle name="출력 10 5 3 2" xfId="31521"/>
    <cellStyle name="출력 10 5 4" xfId="18215"/>
    <cellStyle name="출력 10 6" xfId="1472"/>
    <cellStyle name="출력 10 6 2" xfId="2369"/>
    <cellStyle name="출력 10 6 2 2" xfId="15675"/>
    <cellStyle name="출력 10 6 2 2 2" xfId="32816"/>
    <cellStyle name="출력 10 6 2 3" xfId="19512"/>
    <cellStyle name="출력 10 6 3" xfId="14779"/>
    <cellStyle name="출력 10 6 3 2" xfId="31920"/>
    <cellStyle name="출력 10 6 4" xfId="18615"/>
    <cellStyle name="출력 10 7" xfId="584"/>
    <cellStyle name="출력 10 7 2" xfId="13969"/>
    <cellStyle name="출력 10 7 2 2" xfId="31110"/>
    <cellStyle name="출력 10 7 3" xfId="17727"/>
    <cellStyle name="출력 10 8" xfId="1566"/>
    <cellStyle name="출력 10 8 2" xfId="14872"/>
    <cellStyle name="출력 10 8 2 2" xfId="32013"/>
    <cellStyle name="출력 10 8 3" xfId="18709"/>
    <cellStyle name="출력 10 9" xfId="12826"/>
    <cellStyle name="출력 10 9 2" xfId="16184"/>
    <cellStyle name="출력 10 9 2 2" xfId="33325"/>
    <cellStyle name="출력 10 9 3" xfId="29967"/>
    <cellStyle name="출력 11" xfId="445"/>
    <cellStyle name="출력 11 10" xfId="13044"/>
    <cellStyle name="출력 11 10 2" xfId="16395"/>
    <cellStyle name="출력 11 10 2 2" xfId="33536"/>
    <cellStyle name="출력 11 10 3" xfId="30185"/>
    <cellStyle name="출력 11 11" xfId="13127"/>
    <cellStyle name="출력 11 11 2" xfId="16478"/>
    <cellStyle name="출력 11 11 2 2" xfId="33619"/>
    <cellStyle name="출력 11 11 3" xfId="30268"/>
    <cellStyle name="출력 11 12" xfId="13215"/>
    <cellStyle name="출력 11 12 2" xfId="16566"/>
    <cellStyle name="출력 11 12 2 2" xfId="33707"/>
    <cellStyle name="출력 11 12 3" xfId="30356"/>
    <cellStyle name="출력 11 13" xfId="13129"/>
    <cellStyle name="출력 11 13 2" xfId="16480"/>
    <cellStyle name="출력 11 13 2 2" xfId="33621"/>
    <cellStyle name="출력 11 13 3" xfId="30270"/>
    <cellStyle name="출력 11 14" xfId="13392"/>
    <cellStyle name="출력 11 14 2" xfId="16743"/>
    <cellStyle name="출력 11 14 2 2" xfId="33884"/>
    <cellStyle name="출력 11 14 3" xfId="30533"/>
    <cellStyle name="출력 11 15" xfId="13468"/>
    <cellStyle name="출력 11 15 2" xfId="16819"/>
    <cellStyle name="출력 11 15 2 2" xfId="33960"/>
    <cellStyle name="출력 11 15 3" xfId="30609"/>
    <cellStyle name="출력 11 16" xfId="13529"/>
    <cellStyle name="출력 11 16 2" xfId="16880"/>
    <cellStyle name="출력 11 16 2 2" xfId="34021"/>
    <cellStyle name="출력 11 16 3" xfId="30670"/>
    <cellStyle name="출력 11 17" xfId="13598"/>
    <cellStyle name="출력 11 17 2" xfId="16949"/>
    <cellStyle name="출력 11 17 2 2" xfId="34090"/>
    <cellStyle name="출력 11 17 3" xfId="30739"/>
    <cellStyle name="출력 11 18" xfId="13661"/>
    <cellStyle name="출력 11 18 2" xfId="17012"/>
    <cellStyle name="출력 11 18 2 2" xfId="34153"/>
    <cellStyle name="출력 11 18 3" xfId="30802"/>
    <cellStyle name="출력 11 19" xfId="13745"/>
    <cellStyle name="출력 11 19 2" xfId="17096"/>
    <cellStyle name="출력 11 19 2 2" xfId="34237"/>
    <cellStyle name="출력 11 19 3" xfId="30886"/>
    <cellStyle name="출력 11 2" xfId="921"/>
    <cellStyle name="출력 11 2 2" xfId="1334"/>
    <cellStyle name="출력 11 2 2 2" xfId="2232"/>
    <cellStyle name="출력 11 2 2 2 2" xfId="15538"/>
    <cellStyle name="출력 11 2 2 2 2 2" xfId="32679"/>
    <cellStyle name="출력 11 2 2 2 3" xfId="19375"/>
    <cellStyle name="출력 11 2 2 3" xfId="14642"/>
    <cellStyle name="출력 11 2 2 3 2" xfId="31783"/>
    <cellStyle name="출력 11 2 2 4" xfId="18477"/>
    <cellStyle name="출력 11 2 3" xfId="1837"/>
    <cellStyle name="출력 11 2 3 2" xfId="15143"/>
    <cellStyle name="출력 11 2 3 2 2" xfId="32284"/>
    <cellStyle name="출력 11 2 3 3" xfId="18980"/>
    <cellStyle name="출력 11 2 4" xfId="14238"/>
    <cellStyle name="출력 11 2 4 2" xfId="31379"/>
    <cellStyle name="출력 11 2 5" xfId="18064"/>
    <cellStyle name="출력 11 20" xfId="13924"/>
    <cellStyle name="출력 11 20 2" xfId="31065"/>
    <cellStyle name="출력 11 21" xfId="17588"/>
    <cellStyle name="출력 11 3" xfId="775"/>
    <cellStyle name="출력 11 3 2" xfId="1228"/>
    <cellStyle name="출력 11 3 2 2" xfId="2126"/>
    <cellStyle name="출력 11 3 2 2 2" xfId="15432"/>
    <cellStyle name="출력 11 3 2 2 2 2" xfId="32573"/>
    <cellStyle name="출력 11 3 2 2 3" xfId="19269"/>
    <cellStyle name="출력 11 3 2 3" xfId="14536"/>
    <cellStyle name="출력 11 3 2 3 2" xfId="31677"/>
    <cellStyle name="출력 11 3 2 4" xfId="18371"/>
    <cellStyle name="출력 11 3 3" xfId="1731"/>
    <cellStyle name="출력 11 3 3 2" xfId="15037"/>
    <cellStyle name="출력 11 3 3 2 2" xfId="32178"/>
    <cellStyle name="출력 11 3 3 3" xfId="18874"/>
    <cellStyle name="출력 11 3 4" xfId="14132"/>
    <cellStyle name="출력 11 3 4 2" xfId="31273"/>
    <cellStyle name="출력 11 3 5" xfId="17918"/>
    <cellStyle name="출력 11 4" xfId="1034"/>
    <cellStyle name="출력 11 4 2" xfId="1430"/>
    <cellStyle name="출력 11 4 2 2" xfId="2328"/>
    <cellStyle name="출력 11 4 2 2 2" xfId="15634"/>
    <cellStyle name="출력 11 4 2 2 2 2" xfId="32775"/>
    <cellStyle name="출력 11 4 2 2 3" xfId="19471"/>
    <cellStyle name="출력 11 4 2 3" xfId="14738"/>
    <cellStyle name="출력 11 4 2 3 2" xfId="31879"/>
    <cellStyle name="출력 11 4 2 4" xfId="18573"/>
    <cellStyle name="출력 11 4 3" xfId="1941"/>
    <cellStyle name="출력 11 4 3 2" xfId="15247"/>
    <cellStyle name="출력 11 4 3 2 2" xfId="32388"/>
    <cellStyle name="출력 11 4 3 3" xfId="19084"/>
    <cellStyle name="출력 11 4 4" xfId="14342"/>
    <cellStyle name="출력 11 4 4 2" xfId="31483"/>
    <cellStyle name="출력 11 4 5" xfId="18177"/>
    <cellStyle name="출력 11 5" xfId="1131"/>
    <cellStyle name="출력 11 5 2" xfId="2033"/>
    <cellStyle name="출력 11 5 2 2" xfId="15339"/>
    <cellStyle name="출력 11 5 2 2 2" xfId="32480"/>
    <cellStyle name="출력 11 5 2 3" xfId="19176"/>
    <cellStyle name="출력 11 5 3" xfId="14439"/>
    <cellStyle name="출력 11 5 3 2" xfId="31580"/>
    <cellStyle name="출력 11 5 4" xfId="18274"/>
    <cellStyle name="출력 11 6" xfId="1526"/>
    <cellStyle name="출력 11 6 2" xfId="2423"/>
    <cellStyle name="출력 11 6 2 2" xfId="15729"/>
    <cellStyle name="출력 11 6 2 2 2" xfId="32870"/>
    <cellStyle name="출력 11 6 2 3" xfId="19566"/>
    <cellStyle name="출력 11 6 3" xfId="14833"/>
    <cellStyle name="출력 11 6 3 2" xfId="31974"/>
    <cellStyle name="출력 11 6 4" xfId="18669"/>
    <cellStyle name="출력 11 7" xfId="669"/>
    <cellStyle name="출력 11 7 2" xfId="14035"/>
    <cellStyle name="출력 11 7 2 2" xfId="31176"/>
    <cellStyle name="출력 11 7 3" xfId="17812"/>
    <cellStyle name="출력 11 8" xfId="1632"/>
    <cellStyle name="출력 11 8 2" xfId="14938"/>
    <cellStyle name="출력 11 8 2 2" xfId="32079"/>
    <cellStyle name="출력 11 8 3" xfId="18775"/>
    <cellStyle name="출력 11 9" xfId="12932"/>
    <cellStyle name="출력 11 9 2" xfId="16290"/>
    <cellStyle name="출력 11 9 2 2" xfId="33431"/>
    <cellStyle name="출력 11 9 3" xfId="30073"/>
    <cellStyle name="출력 12" xfId="414"/>
    <cellStyle name="출력 12 10" xfId="13014"/>
    <cellStyle name="출력 12 10 2" xfId="16365"/>
    <cellStyle name="출력 12 10 2 2" xfId="33506"/>
    <cellStyle name="출력 12 10 3" xfId="30155"/>
    <cellStyle name="출력 12 11" xfId="13102"/>
    <cellStyle name="출력 12 11 2" xfId="16453"/>
    <cellStyle name="출력 12 11 2 2" xfId="33594"/>
    <cellStyle name="출력 12 11 3" xfId="30243"/>
    <cellStyle name="출력 12 12" xfId="13187"/>
    <cellStyle name="출력 12 12 2" xfId="16538"/>
    <cellStyle name="출력 12 12 2 2" xfId="33679"/>
    <cellStyle name="출력 12 12 3" xfId="30328"/>
    <cellStyle name="출력 12 13" xfId="12798"/>
    <cellStyle name="출력 12 13 2" xfId="16159"/>
    <cellStyle name="출력 12 13 2 2" xfId="33300"/>
    <cellStyle name="출력 12 13 3" xfId="29939"/>
    <cellStyle name="출력 12 14" xfId="13368"/>
    <cellStyle name="출력 12 14 2" xfId="16719"/>
    <cellStyle name="출력 12 14 2 2" xfId="33860"/>
    <cellStyle name="출력 12 14 3" xfId="30509"/>
    <cellStyle name="출력 12 15" xfId="13442"/>
    <cellStyle name="출력 12 15 2" xfId="16793"/>
    <cellStyle name="출력 12 15 2 2" xfId="33934"/>
    <cellStyle name="출력 12 15 3" xfId="30583"/>
    <cellStyle name="출력 12 16" xfId="13507"/>
    <cellStyle name="출력 12 16 2" xfId="16858"/>
    <cellStyle name="출력 12 16 2 2" xfId="33999"/>
    <cellStyle name="출력 12 16 3" xfId="30648"/>
    <cellStyle name="출력 12 17" xfId="13577"/>
    <cellStyle name="출력 12 17 2" xfId="16928"/>
    <cellStyle name="출력 12 17 2 2" xfId="34069"/>
    <cellStyle name="출력 12 17 3" xfId="30718"/>
    <cellStyle name="출력 12 18" xfId="13640"/>
    <cellStyle name="출력 12 18 2" xfId="16991"/>
    <cellStyle name="출력 12 18 2 2" xfId="34132"/>
    <cellStyle name="출력 12 18 3" xfId="30781"/>
    <cellStyle name="출력 12 19" xfId="13737"/>
    <cellStyle name="출력 12 19 2" xfId="17088"/>
    <cellStyle name="출력 12 19 2 2" xfId="34229"/>
    <cellStyle name="출력 12 19 3" xfId="30878"/>
    <cellStyle name="출력 12 2" xfId="898"/>
    <cellStyle name="출력 12 2 2" xfId="1313"/>
    <cellStyle name="출력 12 2 2 2" xfId="2211"/>
    <cellStyle name="출력 12 2 2 2 2" xfId="15517"/>
    <cellStyle name="출력 12 2 2 2 2 2" xfId="32658"/>
    <cellStyle name="출력 12 2 2 2 3" xfId="19354"/>
    <cellStyle name="출력 12 2 2 3" xfId="14621"/>
    <cellStyle name="출력 12 2 2 3 2" xfId="31762"/>
    <cellStyle name="출력 12 2 2 4" xfId="18456"/>
    <cellStyle name="출력 12 2 3" xfId="1816"/>
    <cellStyle name="출력 12 2 3 2" xfId="15122"/>
    <cellStyle name="출력 12 2 3 2 2" xfId="32263"/>
    <cellStyle name="출력 12 2 3 3" xfId="18959"/>
    <cellStyle name="출력 12 2 4" xfId="14217"/>
    <cellStyle name="출력 12 2 4 2" xfId="31358"/>
    <cellStyle name="출력 12 2 5" xfId="18041"/>
    <cellStyle name="출력 12 20" xfId="13903"/>
    <cellStyle name="출력 12 20 2" xfId="31044"/>
    <cellStyle name="출력 12 21" xfId="17557"/>
    <cellStyle name="출력 12 3" xfId="756"/>
    <cellStyle name="출력 12 3 2" xfId="1209"/>
    <cellStyle name="출력 12 3 2 2" xfId="2107"/>
    <cellStyle name="출력 12 3 2 2 2" xfId="15413"/>
    <cellStyle name="출력 12 3 2 2 2 2" xfId="32554"/>
    <cellStyle name="출력 12 3 2 2 3" xfId="19250"/>
    <cellStyle name="출력 12 3 2 3" xfId="14517"/>
    <cellStyle name="출력 12 3 2 3 2" xfId="31658"/>
    <cellStyle name="출력 12 3 2 4" xfId="18352"/>
    <cellStyle name="출력 12 3 3" xfId="1712"/>
    <cellStyle name="출력 12 3 3 2" xfId="15018"/>
    <cellStyle name="출력 12 3 3 2 2" xfId="32159"/>
    <cellStyle name="출력 12 3 3 3" xfId="18855"/>
    <cellStyle name="출력 12 3 4" xfId="14113"/>
    <cellStyle name="출력 12 3 4 2" xfId="31254"/>
    <cellStyle name="출력 12 3 5" xfId="17899"/>
    <cellStyle name="출력 12 4" xfId="1013"/>
    <cellStyle name="출력 12 4 2" xfId="1411"/>
    <cellStyle name="출력 12 4 2 2" xfId="2309"/>
    <cellStyle name="출력 12 4 2 2 2" xfId="15615"/>
    <cellStyle name="출력 12 4 2 2 2 2" xfId="32756"/>
    <cellStyle name="출력 12 4 2 2 3" xfId="19452"/>
    <cellStyle name="출력 12 4 2 3" xfId="14719"/>
    <cellStyle name="출력 12 4 2 3 2" xfId="31860"/>
    <cellStyle name="출력 12 4 2 4" xfId="18554"/>
    <cellStyle name="출력 12 4 3" xfId="1920"/>
    <cellStyle name="출력 12 4 3 2" xfId="15226"/>
    <cellStyle name="출력 12 4 3 2 2" xfId="32367"/>
    <cellStyle name="출력 12 4 3 3" xfId="19063"/>
    <cellStyle name="출력 12 4 4" xfId="14321"/>
    <cellStyle name="출력 12 4 4 2" xfId="31462"/>
    <cellStyle name="출력 12 4 5" xfId="18156"/>
    <cellStyle name="출력 12 5" xfId="1112"/>
    <cellStyle name="출력 12 5 2" xfId="2014"/>
    <cellStyle name="출력 12 5 2 2" xfId="15320"/>
    <cellStyle name="출력 12 5 2 2 2" xfId="32461"/>
    <cellStyle name="출력 12 5 2 3" xfId="19157"/>
    <cellStyle name="출력 12 5 3" xfId="14420"/>
    <cellStyle name="출력 12 5 3 2" xfId="31561"/>
    <cellStyle name="출력 12 5 4" xfId="18255"/>
    <cellStyle name="출력 12 6" xfId="1507"/>
    <cellStyle name="출력 12 6 2" xfId="2404"/>
    <cellStyle name="출력 12 6 2 2" xfId="15710"/>
    <cellStyle name="출력 12 6 2 2 2" xfId="32851"/>
    <cellStyle name="출력 12 6 2 3" xfId="19547"/>
    <cellStyle name="출력 12 6 3" xfId="14814"/>
    <cellStyle name="출력 12 6 3 2" xfId="31955"/>
    <cellStyle name="출력 12 6 4" xfId="18650"/>
    <cellStyle name="출력 12 7" xfId="646"/>
    <cellStyle name="출력 12 7 2" xfId="14014"/>
    <cellStyle name="출력 12 7 2 2" xfId="31155"/>
    <cellStyle name="출력 12 7 3" xfId="17789"/>
    <cellStyle name="출력 12 8" xfId="1611"/>
    <cellStyle name="출력 12 8 2" xfId="14917"/>
    <cellStyle name="출력 12 8 2 2" xfId="32058"/>
    <cellStyle name="출력 12 8 3" xfId="18754"/>
    <cellStyle name="출력 12 9" xfId="12904"/>
    <cellStyle name="출력 12 9 2" xfId="16262"/>
    <cellStyle name="출력 12 9 2 2" xfId="33403"/>
    <cellStyle name="출력 12 9 3" xfId="30045"/>
    <cellStyle name="출력 13" xfId="402"/>
    <cellStyle name="출력 13 10" xfId="13004"/>
    <cellStyle name="출력 13 10 2" xfId="16355"/>
    <cellStyle name="출력 13 10 2 2" xfId="33496"/>
    <cellStyle name="출력 13 10 3" xfId="30145"/>
    <cellStyle name="출력 13 11" xfId="13092"/>
    <cellStyle name="출력 13 11 2" xfId="16443"/>
    <cellStyle name="출력 13 11 2 2" xfId="33584"/>
    <cellStyle name="출력 13 11 3" xfId="30233"/>
    <cellStyle name="출력 13 12" xfId="13175"/>
    <cellStyle name="출력 13 12 2" xfId="16526"/>
    <cellStyle name="출력 13 12 2 2" xfId="33667"/>
    <cellStyle name="출력 13 12 3" xfId="30316"/>
    <cellStyle name="출력 13 13" xfId="12597"/>
    <cellStyle name="출력 13 13 2" xfId="15960"/>
    <cellStyle name="출력 13 13 2 2" xfId="33101"/>
    <cellStyle name="출력 13 13 3" xfId="29738"/>
    <cellStyle name="출력 13 14" xfId="13357"/>
    <cellStyle name="출력 13 14 2" xfId="16708"/>
    <cellStyle name="출력 13 14 2 2" xfId="33849"/>
    <cellStyle name="출력 13 14 3" xfId="30498"/>
    <cellStyle name="출력 13 15" xfId="13433"/>
    <cellStyle name="출력 13 15 2" xfId="16784"/>
    <cellStyle name="출력 13 15 2 2" xfId="33925"/>
    <cellStyle name="출력 13 15 3" xfId="30574"/>
    <cellStyle name="출력 13 16" xfId="13415"/>
    <cellStyle name="출력 13 16 2" xfId="16766"/>
    <cellStyle name="출력 13 16 2 2" xfId="33907"/>
    <cellStyle name="출력 13 16 3" xfId="30556"/>
    <cellStyle name="출력 13 17" xfId="13567"/>
    <cellStyle name="출력 13 17 2" xfId="16918"/>
    <cellStyle name="출력 13 17 2 2" xfId="34059"/>
    <cellStyle name="출력 13 17 3" xfId="30708"/>
    <cellStyle name="출력 13 18" xfId="13631"/>
    <cellStyle name="출력 13 18 2" xfId="16982"/>
    <cellStyle name="출력 13 18 2 2" xfId="34123"/>
    <cellStyle name="출력 13 18 3" xfId="30772"/>
    <cellStyle name="출력 13 19" xfId="13719"/>
    <cellStyle name="출력 13 19 2" xfId="17070"/>
    <cellStyle name="출력 13 19 2 2" xfId="34211"/>
    <cellStyle name="출력 13 19 3" xfId="30860"/>
    <cellStyle name="출력 13 2" xfId="889"/>
    <cellStyle name="출력 13 2 2" xfId="1304"/>
    <cellStyle name="출력 13 2 2 2" xfId="2202"/>
    <cellStyle name="출력 13 2 2 2 2" xfId="15508"/>
    <cellStyle name="출력 13 2 2 2 2 2" xfId="32649"/>
    <cellStyle name="출력 13 2 2 2 3" xfId="19345"/>
    <cellStyle name="출력 13 2 2 3" xfId="14612"/>
    <cellStyle name="출력 13 2 2 3 2" xfId="31753"/>
    <cellStyle name="출력 13 2 2 4" xfId="18447"/>
    <cellStyle name="출력 13 2 3" xfId="1807"/>
    <cellStyle name="출력 13 2 3 2" xfId="15113"/>
    <cellStyle name="출력 13 2 3 2 2" xfId="32254"/>
    <cellStyle name="출력 13 2 3 3" xfId="18950"/>
    <cellStyle name="출력 13 2 4" xfId="14208"/>
    <cellStyle name="출력 13 2 4 2" xfId="31349"/>
    <cellStyle name="출력 13 2 5" xfId="18032"/>
    <cellStyle name="출력 13 20" xfId="13894"/>
    <cellStyle name="출력 13 20 2" xfId="31035"/>
    <cellStyle name="출력 13 21" xfId="17545"/>
    <cellStyle name="출력 13 3" xfId="748"/>
    <cellStyle name="출력 13 3 2" xfId="1201"/>
    <cellStyle name="출력 13 3 2 2" xfId="2099"/>
    <cellStyle name="출력 13 3 2 2 2" xfId="15405"/>
    <cellStyle name="출력 13 3 2 2 2 2" xfId="32546"/>
    <cellStyle name="출력 13 3 2 2 3" xfId="19242"/>
    <cellStyle name="출력 13 3 2 3" xfId="14509"/>
    <cellStyle name="출력 13 3 2 3 2" xfId="31650"/>
    <cellStyle name="출력 13 3 2 4" xfId="18344"/>
    <cellStyle name="출력 13 3 3" xfId="1704"/>
    <cellStyle name="출력 13 3 3 2" xfId="15010"/>
    <cellStyle name="출력 13 3 3 2 2" xfId="32151"/>
    <cellStyle name="출력 13 3 3 3" xfId="18847"/>
    <cellStyle name="출력 13 3 4" xfId="14105"/>
    <cellStyle name="출력 13 3 4 2" xfId="31246"/>
    <cellStyle name="출력 13 3 5" xfId="17891"/>
    <cellStyle name="출력 13 4" xfId="1004"/>
    <cellStyle name="출력 13 4 2" xfId="1403"/>
    <cellStyle name="출력 13 4 2 2" xfId="2301"/>
    <cellStyle name="출력 13 4 2 2 2" xfId="15607"/>
    <cellStyle name="출력 13 4 2 2 2 2" xfId="32748"/>
    <cellStyle name="출력 13 4 2 2 3" xfId="19444"/>
    <cellStyle name="출력 13 4 2 3" xfId="14711"/>
    <cellStyle name="출력 13 4 2 3 2" xfId="31852"/>
    <cellStyle name="출력 13 4 2 4" xfId="18546"/>
    <cellStyle name="출력 13 4 3" xfId="1911"/>
    <cellStyle name="출력 13 4 3 2" xfId="15217"/>
    <cellStyle name="출력 13 4 3 2 2" xfId="32358"/>
    <cellStyle name="출력 13 4 3 3" xfId="19054"/>
    <cellStyle name="출력 13 4 4" xfId="14312"/>
    <cellStyle name="출력 13 4 4 2" xfId="31453"/>
    <cellStyle name="출력 13 4 5" xfId="18147"/>
    <cellStyle name="출력 13 5" xfId="1104"/>
    <cellStyle name="출력 13 5 2" xfId="2006"/>
    <cellStyle name="출력 13 5 2 2" xfId="15312"/>
    <cellStyle name="출력 13 5 2 2 2" xfId="32453"/>
    <cellStyle name="출력 13 5 2 3" xfId="19149"/>
    <cellStyle name="출력 13 5 3" xfId="14412"/>
    <cellStyle name="출력 13 5 3 2" xfId="31553"/>
    <cellStyle name="출력 13 5 4" xfId="18247"/>
    <cellStyle name="출력 13 6" xfId="1499"/>
    <cellStyle name="출력 13 6 2" xfId="2396"/>
    <cellStyle name="출력 13 6 2 2" xfId="15702"/>
    <cellStyle name="출력 13 6 2 2 2" xfId="32843"/>
    <cellStyle name="출력 13 6 2 3" xfId="19539"/>
    <cellStyle name="출력 13 6 3" xfId="14806"/>
    <cellStyle name="출력 13 6 3 2" xfId="31947"/>
    <cellStyle name="출력 13 6 4" xfId="18642"/>
    <cellStyle name="출력 13 7" xfId="637"/>
    <cellStyle name="출력 13 7 2" xfId="14005"/>
    <cellStyle name="출력 13 7 2 2" xfId="31146"/>
    <cellStyle name="출력 13 7 3" xfId="17780"/>
    <cellStyle name="출력 13 8" xfId="1602"/>
    <cellStyle name="출력 13 8 2" xfId="14908"/>
    <cellStyle name="출력 13 8 2 2" xfId="32049"/>
    <cellStyle name="출력 13 8 3" xfId="18745"/>
    <cellStyle name="출력 13 9" xfId="12893"/>
    <cellStyle name="출력 13 9 2" xfId="16251"/>
    <cellStyle name="출력 13 9 2 2" xfId="33392"/>
    <cellStyle name="출력 13 9 3" xfId="30034"/>
    <cellStyle name="출력 14" xfId="550"/>
    <cellStyle name="출력 14 2" xfId="9753"/>
    <cellStyle name="출력 14 2 2" xfId="15922"/>
    <cellStyle name="출력 14 2 2 2" xfId="33063"/>
    <cellStyle name="출력 14 2 3" xfId="26894"/>
    <cellStyle name="출력 14 3" xfId="17693"/>
    <cellStyle name="출력 15" xfId="9754"/>
    <cellStyle name="출력 15 2" xfId="9755"/>
    <cellStyle name="출력 15 2 2" xfId="15924"/>
    <cellStyle name="출력 15 2 2 2" xfId="33065"/>
    <cellStyle name="출력 15 2 3" xfId="26896"/>
    <cellStyle name="출력 15 3" xfId="15923"/>
    <cellStyle name="출력 15 3 2" xfId="33064"/>
    <cellStyle name="출력 15 4" xfId="26895"/>
    <cellStyle name="출력 16" xfId="9756"/>
    <cellStyle name="출력 16 2" xfId="9757"/>
    <cellStyle name="출력 16 2 2" xfId="15926"/>
    <cellStyle name="출력 16 2 2 2" xfId="33067"/>
    <cellStyle name="출력 16 2 3" xfId="26898"/>
    <cellStyle name="출력 16 3" xfId="15925"/>
    <cellStyle name="출력 16 3 2" xfId="33066"/>
    <cellStyle name="출력 16 4" xfId="26897"/>
    <cellStyle name="출력 17" xfId="9758"/>
    <cellStyle name="출력 17 2" xfId="9759"/>
    <cellStyle name="출력 17 2 2" xfId="15928"/>
    <cellStyle name="출력 17 2 2 2" xfId="33069"/>
    <cellStyle name="출력 17 2 3" xfId="26900"/>
    <cellStyle name="출력 17 3" xfId="15927"/>
    <cellStyle name="출력 17 3 2" xfId="33068"/>
    <cellStyle name="출력 17 4" xfId="26899"/>
    <cellStyle name="출력 18" xfId="9760"/>
    <cellStyle name="출력 18 2" xfId="9761"/>
    <cellStyle name="출력 18 2 2" xfId="15930"/>
    <cellStyle name="출력 18 2 2 2" xfId="33071"/>
    <cellStyle name="출력 18 2 3" xfId="26902"/>
    <cellStyle name="출력 18 3" xfId="15929"/>
    <cellStyle name="출력 18 3 2" xfId="33070"/>
    <cellStyle name="출력 18 4" xfId="26901"/>
    <cellStyle name="출력 19" xfId="9762"/>
    <cellStyle name="출력 19 2" xfId="9763"/>
    <cellStyle name="출력 19 2 2" xfId="15932"/>
    <cellStyle name="출력 19 2 2 2" xfId="33073"/>
    <cellStyle name="출력 19 2 3" xfId="26904"/>
    <cellStyle name="출력 19 3" xfId="15931"/>
    <cellStyle name="출력 19 3 2" xfId="33072"/>
    <cellStyle name="출력 19 4" xfId="26903"/>
    <cellStyle name="출력 2" xfId="243"/>
    <cellStyle name="출력 2 10" xfId="12695"/>
    <cellStyle name="출력 2 10 2" xfId="16058"/>
    <cellStyle name="출력 2 10 2 2" xfId="33199"/>
    <cellStyle name="출력 2 10 3" xfId="29836"/>
    <cellStyle name="출력 2 11" xfId="12589"/>
    <cellStyle name="출력 2 11 2" xfId="15952"/>
    <cellStyle name="출력 2 11 2 2" xfId="33093"/>
    <cellStyle name="출력 2 11 3" xfId="29730"/>
    <cellStyle name="출력 2 12" xfId="12739"/>
    <cellStyle name="출력 2 12 2" xfId="16102"/>
    <cellStyle name="출력 2 12 2 2" xfId="33243"/>
    <cellStyle name="출력 2 12 3" xfId="29880"/>
    <cellStyle name="출력 2 13" xfId="12939"/>
    <cellStyle name="출력 2 13 2" xfId="16297"/>
    <cellStyle name="출력 2 13 2 2" xfId="33438"/>
    <cellStyle name="출력 2 13 3" xfId="30080"/>
    <cellStyle name="출력 2 14" xfId="12642"/>
    <cellStyle name="출력 2 14 2" xfId="16005"/>
    <cellStyle name="출력 2 14 2 2" xfId="33146"/>
    <cellStyle name="출력 2 14 3" xfId="29783"/>
    <cellStyle name="출력 2 15" xfId="12891"/>
    <cellStyle name="출력 2 15 2" xfId="16249"/>
    <cellStyle name="출력 2 15 2 2" xfId="33390"/>
    <cellStyle name="출력 2 15 3" xfId="30032"/>
    <cellStyle name="출력 2 16" xfId="12973"/>
    <cellStyle name="출력 2 16 2" xfId="16330"/>
    <cellStyle name="출력 2 16 2 2" xfId="33471"/>
    <cellStyle name="출력 2 16 3" xfId="30114"/>
    <cellStyle name="출력 2 17" xfId="12651"/>
    <cellStyle name="출력 2 17 2" xfId="16014"/>
    <cellStyle name="출력 2 17 2 2" xfId="33155"/>
    <cellStyle name="출력 2 17 3" xfId="29792"/>
    <cellStyle name="출력 2 18" xfId="13314"/>
    <cellStyle name="출력 2 18 2" xfId="16665"/>
    <cellStyle name="출력 2 18 2 2" xfId="33806"/>
    <cellStyle name="출력 2 18 3" xfId="30455"/>
    <cellStyle name="출력 2 19" xfId="13343"/>
    <cellStyle name="출력 2 19 2" xfId="16694"/>
    <cellStyle name="출력 2 19 2 2" xfId="33835"/>
    <cellStyle name="출력 2 19 3" xfId="30484"/>
    <cellStyle name="출력 2 2" xfId="817"/>
    <cellStyle name="출력 2 2 2" xfId="1259"/>
    <cellStyle name="출력 2 2 2 2" xfId="2157"/>
    <cellStyle name="출력 2 2 2 2 2" xfId="15463"/>
    <cellStyle name="출력 2 2 2 2 2 2" xfId="32604"/>
    <cellStyle name="출력 2 2 2 2 3" xfId="19300"/>
    <cellStyle name="출력 2 2 2 3" xfId="14567"/>
    <cellStyle name="출력 2 2 2 3 2" xfId="31708"/>
    <cellStyle name="출력 2 2 2 4" xfId="18402"/>
    <cellStyle name="출력 2 2 3" xfId="1762"/>
    <cellStyle name="출력 2 2 3 2" xfId="15068"/>
    <cellStyle name="출력 2 2 3 2 2" xfId="32209"/>
    <cellStyle name="출력 2 2 3 3" xfId="18905"/>
    <cellStyle name="출력 2 2 4" xfId="14163"/>
    <cellStyle name="출력 2 2 4 2" xfId="31304"/>
    <cellStyle name="출력 2 2 5" xfId="17960"/>
    <cellStyle name="출력 2 20" xfId="13754"/>
    <cellStyle name="출력 2 20 2" xfId="17105"/>
    <cellStyle name="출력 2 20 2 2" xfId="34246"/>
    <cellStyle name="출력 2 20 3" xfId="30895"/>
    <cellStyle name="출력 2 21" xfId="13727"/>
    <cellStyle name="출력 2 21 2" xfId="17078"/>
    <cellStyle name="출력 2 21 2 2" xfId="34219"/>
    <cellStyle name="출력 2 21 3" xfId="30868"/>
    <cellStyle name="출력 2 22" xfId="13849"/>
    <cellStyle name="출력 2 22 2" xfId="30990"/>
    <cellStyle name="출력 2 23" xfId="17386"/>
    <cellStyle name="출력 2 24" xfId="35705"/>
    <cellStyle name="출력 2 3" xfId="712"/>
    <cellStyle name="출력 2 3 2" xfId="1165"/>
    <cellStyle name="출력 2 3 2 2" xfId="2064"/>
    <cellStyle name="출력 2 3 2 2 2" xfId="15370"/>
    <cellStyle name="출력 2 3 2 2 2 2" xfId="32511"/>
    <cellStyle name="출력 2 3 2 2 3" xfId="19207"/>
    <cellStyle name="출력 2 3 2 3" xfId="14473"/>
    <cellStyle name="출력 2 3 2 3 2" xfId="31614"/>
    <cellStyle name="출력 2 3 2 4" xfId="18308"/>
    <cellStyle name="출력 2 3 3" xfId="1668"/>
    <cellStyle name="출력 2 3 3 2" xfId="14974"/>
    <cellStyle name="출력 2 3 3 2 2" xfId="32115"/>
    <cellStyle name="출력 2 3 3 3" xfId="18811"/>
    <cellStyle name="출력 2 3 4" xfId="14069"/>
    <cellStyle name="출력 2 3 4 2" xfId="31210"/>
    <cellStyle name="출력 2 3 5" xfId="17855"/>
    <cellStyle name="출력 2 4" xfId="965"/>
    <cellStyle name="출력 2 4 2" xfId="1369"/>
    <cellStyle name="출력 2 4 2 2" xfId="2267"/>
    <cellStyle name="출력 2 4 2 2 2" xfId="15573"/>
    <cellStyle name="출력 2 4 2 2 2 2" xfId="32714"/>
    <cellStyle name="출력 2 4 2 2 3" xfId="19410"/>
    <cellStyle name="출력 2 4 2 3" xfId="14677"/>
    <cellStyle name="출력 2 4 2 3 2" xfId="31818"/>
    <cellStyle name="출력 2 4 2 4" xfId="18512"/>
    <cellStyle name="출력 2 4 3" xfId="1872"/>
    <cellStyle name="출력 2 4 3 2" xfId="15178"/>
    <cellStyle name="출력 2 4 3 2 2" xfId="32319"/>
    <cellStyle name="출력 2 4 3 3" xfId="19015"/>
    <cellStyle name="출력 2 4 4" xfId="14273"/>
    <cellStyle name="출력 2 4 4 2" xfId="31414"/>
    <cellStyle name="출력 2 4 5" xfId="18108"/>
    <cellStyle name="출력 2 5" xfId="1066"/>
    <cellStyle name="출력 2 5 2" xfId="1973"/>
    <cellStyle name="출력 2 5 2 2" xfId="15279"/>
    <cellStyle name="출력 2 5 2 2 2" xfId="32420"/>
    <cellStyle name="출력 2 5 2 3" xfId="19116"/>
    <cellStyle name="출력 2 5 3" xfId="14374"/>
    <cellStyle name="출력 2 5 3 2" xfId="31515"/>
    <cellStyle name="출력 2 5 4" xfId="18209"/>
    <cellStyle name="출력 2 6" xfId="1466"/>
    <cellStyle name="출력 2 6 2" xfId="2363"/>
    <cellStyle name="출력 2 6 2 2" xfId="15669"/>
    <cellStyle name="출력 2 6 2 2 2" xfId="32810"/>
    <cellStyle name="출력 2 6 2 3" xfId="19506"/>
    <cellStyle name="출력 2 6 3" xfId="14773"/>
    <cellStyle name="출력 2 6 3 2" xfId="31914"/>
    <cellStyle name="출력 2 6 4" xfId="18609"/>
    <cellStyle name="출력 2 7" xfId="565"/>
    <cellStyle name="출력 2 7 2" xfId="13960"/>
    <cellStyle name="출력 2 7 2 2" xfId="31101"/>
    <cellStyle name="출력 2 7 3" xfId="17708"/>
    <cellStyle name="출력 2 8" xfId="1558"/>
    <cellStyle name="출력 2 8 2" xfId="14864"/>
    <cellStyle name="출력 2 8 2 2" xfId="32005"/>
    <cellStyle name="출력 2 8 3" xfId="18701"/>
    <cellStyle name="출력 2 9" xfId="12762"/>
    <cellStyle name="출력 2 9 2" xfId="16125"/>
    <cellStyle name="출력 2 9 2 2" xfId="33266"/>
    <cellStyle name="출력 2 9 3" xfId="29903"/>
    <cellStyle name="출력 20" xfId="9764"/>
    <cellStyle name="출력 20 2" xfId="9765"/>
    <cellStyle name="출력 20 2 2" xfId="15934"/>
    <cellStyle name="출력 20 2 2 2" xfId="33075"/>
    <cellStyle name="출력 20 2 3" xfId="26906"/>
    <cellStyle name="출력 20 3" xfId="15933"/>
    <cellStyle name="출력 20 3 2" xfId="33074"/>
    <cellStyle name="출력 20 4" xfId="26905"/>
    <cellStyle name="출력 21" xfId="9766"/>
    <cellStyle name="출력 21 2" xfId="9767"/>
    <cellStyle name="출력 21 2 2" xfId="15936"/>
    <cellStyle name="출력 21 2 2 2" xfId="33077"/>
    <cellStyle name="출력 21 2 3" xfId="26908"/>
    <cellStyle name="출력 21 3" xfId="15935"/>
    <cellStyle name="출력 21 3 2" xfId="33076"/>
    <cellStyle name="출력 21 4" xfId="26907"/>
    <cellStyle name="출력 22" xfId="9768"/>
    <cellStyle name="출력 22 2" xfId="9769"/>
    <cellStyle name="출력 22 2 2" xfId="15938"/>
    <cellStyle name="출력 22 2 2 2" xfId="33079"/>
    <cellStyle name="출력 22 2 3" xfId="26910"/>
    <cellStyle name="출력 22 3" xfId="15937"/>
    <cellStyle name="출력 22 3 2" xfId="33078"/>
    <cellStyle name="출력 22 4" xfId="26909"/>
    <cellStyle name="출력 23" xfId="9770"/>
    <cellStyle name="출력 23 2" xfId="9771"/>
    <cellStyle name="출력 23 2 2" xfId="15940"/>
    <cellStyle name="출력 23 2 2 2" xfId="33081"/>
    <cellStyle name="출력 23 2 3" xfId="26912"/>
    <cellStyle name="출력 23 3" xfId="15939"/>
    <cellStyle name="출력 23 3 2" xfId="33080"/>
    <cellStyle name="출력 23 4" xfId="26911"/>
    <cellStyle name="출력 24" xfId="9772"/>
    <cellStyle name="출력 24 2" xfId="9773"/>
    <cellStyle name="출력 24 2 2" xfId="15942"/>
    <cellStyle name="출력 24 2 2 2" xfId="33083"/>
    <cellStyle name="출력 24 2 3" xfId="26914"/>
    <cellStyle name="출력 24 3" xfId="15941"/>
    <cellStyle name="출력 24 3 2" xfId="33082"/>
    <cellStyle name="출력 24 4" xfId="26913"/>
    <cellStyle name="출력 25" xfId="9774"/>
    <cellStyle name="출력 25 2" xfId="15943"/>
    <cellStyle name="출력 25 2 2" xfId="33084"/>
    <cellStyle name="출력 25 3" xfId="26915"/>
    <cellStyle name="출력 26" xfId="9775"/>
    <cellStyle name="출력 26 2" xfId="15944"/>
    <cellStyle name="출력 26 2 2" xfId="33085"/>
    <cellStyle name="출력 26 3" xfId="26916"/>
    <cellStyle name="출력 27" xfId="71"/>
    <cellStyle name="출력 27 2" xfId="17243"/>
    <cellStyle name="출력 3" xfId="342"/>
    <cellStyle name="출력 3 10" xfId="12592"/>
    <cellStyle name="출력 3 10 2" xfId="15955"/>
    <cellStyle name="출력 3 10 2 2" xfId="33096"/>
    <cellStyle name="출력 3 10 3" xfId="29733"/>
    <cellStyle name="출력 3 11" xfId="12878"/>
    <cellStyle name="출력 3 11 2" xfId="16236"/>
    <cellStyle name="출력 3 11 2 2" xfId="33377"/>
    <cellStyle name="출력 3 11 3" xfId="30019"/>
    <cellStyle name="출력 3 12" xfId="12848"/>
    <cellStyle name="출력 3 12 2" xfId="16206"/>
    <cellStyle name="출력 3 12 2 2" xfId="33347"/>
    <cellStyle name="출력 3 12 3" xfId="29989"/>
    <cellStyle name="출력 3 13" xfId="12790"/>
    <cellStyle name="출력 3 13 2" xfId="16152"/>
    <cellStyle name="출력 3 13 2 2" xfId="33293"/>
    <cellStyle name="출력 3 13 3" xfId="29931"/>
    <cellStyle name="출력 3 14" xfId="12889"/>
    <cellStyle name="출력 3 14 2" xfId="16247"/>
    <cellStyle name="출력 3 14 2 2" xfId="33388"/>
    <cellStyle name="출력 3 14 3" xfId="30030"/>
    <cellStyle name="출력 3 15" xfId="12632"/>
    <cellStyle name="출력 3 15 2" xfId="15995"/>
    <cellStyle name="출력 3 15 2 2" xfId="33136"/>
    <cellStyle name="출력 3 15 3" xfId="29773"/>
    <cellStyle name="출력 3 16" xfId="13038"/>
    <cellStyle name="출력 3 16 2" xfId="16389"/>
    <cellStyle name="출력 3 16 2 2" xfId="33530"/>
    <cellStyle name="출력 3 16 3" xfId="30179"/>
    <cellStyle name="출력 3 17" xfId="12959"/>
    <cellStyle name="출력 3 17 2" xfId="16317"/>
    <cellStyle name="출력 3 17 2 2" xfId="33458"/>
    <cellStyle name="출력 3 17 3" xfId="30100"/>
    <cellStyle name="출력 3 18" xfId="13289"/>
    <cellStyle name="출력 3 18 2" xfId="16640"/>
    <cellStyle name="출력 3 18 2 2" xfId="33781"/>
    <cellStyle name="출력 3 18 3" xfId="30430"/>
    <cellStyle name="출력 3 19" xfId="13029"/>
    <cellStyle name="출력 3 19 2" xfId="16380"/>
    <cellStyle name="출력 3 19 2 2" xfId="33521"/>
    <cellStyle name="출력 3 19 3" xfId="30170"/>
    <cellStyle name="출력 3 2" xfId="851"/>
    <cellStyle name="출력 3 2 2" xfId="1277"/>
    <cellStyle name="출력 3 2 2 2" xfId="2175"/>
    <cellStyle name="출력 3 2 2 2 2" xfId="15481"/>
    <cellStyle name="출력 3 2 2 2 2 2" xfId="32622"/>
    <cellStyle name="출력 3 2 2 2 3" xfId="19318"/>
    <cellStyle name="출력 3 2 2 3" xfId="14585"/>
    <cellStyle name="출력 3 2 2 3 2" xfId="31726"/>
    <cellStyle name="출력 3 2 2 4" xfId="18420"/>
    <cellStyle name="출력 3 2 3" xfId="1780"/>
    <cellStyle name="출력 3 2 3 2" xfId="15086"/>
    <cellStyle name="출력 3 2 3 2 2" xfId="32227"/>
    <cellStyle name="출력 3 2 3 3" xfId="18923"/>
    <cellStyle name="출력 3 2 4" xfId="14181"/>
    <cellStyle name="출력 3 2 4 2" xfId="31322"/>
    <cellStyle name="출력 3 2 5" xfId="17994"/>
    <cellStyle name="출력 3 20" xfId="13781"/>
    <cellStyle name="출력 3 20 2" xfId="17127"/>
    <cellStyle name="출력 3 20 2 2" xfId="34268"/>
    <cellStyle name="출력 3 20 3" xfId="30922"/>
    <cellStyle name="출력 3 21" xfId="13738"/>
    <cellStyle name="출력 3 21 2" xfId="17089"/>
    <cellStyle name="출력 3 21 2 2" xfId="34230"/>
    <cellStyle name="출력 3 21 3" xfId="30879"/>
    <cellStyle name="출력 3 22" xfId="13867"/>
    <cellStyle name="출력 3 22 2" xfId="31008"/>
    <cellStyle name="출력 3 23" xfId="17485"/>
    <cellStyle name="출력 3 24" xfId="35706"/>
    <cellStyle name="출력 3 3" xfId="727"/>
    <cellStyle name="출력 3 3 2" xfId="1180"/>
    <cellStyle name="출력 3 3 2 2" xfId="2078"/>
    <cellStyle name="출력 3 3 2 2 2" xfId="15384"/>
    <cellStyle name="출력 3 3 2 2 2 2" xfId="32525"/>
    <cellStyle name="출력 3 3 2 2 3" xfId="19221"/>
    <cellStyle name="출력 3 3 2 3" xfId="14488"/>
    <cellStyle name="출력 3 3 2 3 2" xfId="31629"/>
    <cellStyle name="출력 3 3 2 4" xfId="18323"/>
    <cellStyle name="출력 3 3 3" xfId="1683"/>
    <cellStyle name="출력 3 3 3 2" xfId="14989"/>
    <cellStyle name="출력 3 3 3 2 2" xfId="32130"/>
    <cellStyle name="출력 3 3 3 3" xfId="18826"/>
    <cellStyle name="출력 3 3 4" xfId="14084"/>
    <cellStyle name="출력 3 3 4 2" xfId="31225"/>
    <cellStyle name="출력 3 3 5" xfId="17870"/>
    <cellStyle name="출력 3 4" xfId="980"/>
    <cellStyle name="출력 3 4 2" xfId="1382"/>
    <cellStyle name="출력 3 4 2 2" xfId="2280"/>
    <cellStyle name="출력 3 4 2 2 2" xfId="15586"/>
    <cellStyle name="출력 3 4 2 2 2 2" xfId="32727"/>
    <cellStyle name="출력 3 4 2 2 3" xfId="19423"/>
    <cellStyle name="출력 3 4 2 3" xfId="14690"/>
    <cellStyle name="출력 3 4 2 3 2" xfId="31831"/>
    <cellStyle name="출력 3 4 2 4" xfId="18525"/>
    <cellStyle name="출력 3 4 3" xfId="1887"/>
    <cellStyle name="출력 3 4 3 2" xfId="15193"/>
    <cellStyle name="출력 3 4 3 2 2" xfId="32334"/>
    <cellStyle name="출력 3 4 3 3" xfId="19030"/>
    <cellStyle name="출력 3 4 4" xfId="14288"/>
    <cellStyle name="출력 3 4 4 2" xfId="31429"/>
    <cellStyle name="출력 3 4 5" xfId="18123"/>
    <cellStyle name="출력 3 5" xfId="1080"/>
    <cellStyle name="출력 3 5 2" xfId="1986"/>
    <cellStyle name="출력 3 5 2 2" xfId="15292"/>
    <cellStyle name="출력 3 5 2 2 2" xfId="32433"/>
    <cellStyle name="출력 3 5 2 3" xfId="19129"/>
    <cellStyle name="출력 3 5 3" xfId="14388"/>
    <cellStyle name="출력 3 5 3 2" xfId="31529"/>
    <cellStyle name="출력 3 5 4" xfId="18223"/>
    <cellStyle name="출력 3 6" xfId="1479"/>
    <cellStyle name="출력 3 6 2" xfId="2376"/>
    <cellStyle name="출력 3 6 2 2" xfId="15682"/>
    <cellStyle name="출력 3 6 2 2 2" xfId="32823"/>
    <cellStyle name="출력 3 6 2 3" xfId="19519"/>
    <cellStyle name="출력 3 6 3" xfId="14786"/>
    <cellStyle name="출력 3 6 3 2" xfId="31927"/>
    <cellStyle name="출력 3 6 4" xfId="18622"/>
    <cellStyle name="출력 3 7" xfId="599"/>
    <cellStyle name="출력 3 7 2" xfId="13978"/>
    <cellStyle name="출력 3 7 2 2" xfId="31119"/>
    <cellStyle name="출력 3 7 3" xfId="17742"/>
    <cellStyle name="출력 3 8" xfId="1575"/>
    <cellStyle name="출력 3 8 2" xfId="14881"/>
    <cellStyle name="출력 3 8 2 2" xfId="32022"/>
    <cellStyle name="출력 3 8 3" xfId="18718"/>
    <cellStyle name="출력 3 9" xfId="12841"/>
    <cellStyle name="출력 3 9 2" xfId="16199"/>
    <cellStyle name="출력 3 9 2 2" xfId="33340"/>
    <cellStyle name="출력 3 9 3" xfId="29982"/>
    <cellStyle name="출력 4" xfId="359"/>
    <cellStyle name="출력 4 10" xfId="12726"/>
    <cellStyle name="출력 4 10 2" xfId="16089"/>
    <cellStyle name="출력 4 10 2 2" xfId="33230"/>
    <cellStyle name="출력 4 10 3" xfId="29867"/>
    <cellStyle name="출력 4 11" xfId="12667"/>
    <cellStyle name="출력 4 11 2" xfId="16030"/>
    <cellStyle name="출력 4 11 2 2" xfId="33171"/>
    <cellStyle name="출력 4 11 3" xfId="29808"/>
    <cellStyle name="출력 4 12" xfId="13000"/>
    <cellStyle name="출력 4 12 2" xfId="16351"/>
    <cellStyle name="출력 4 12 2 2" xfId="33492"/>
    <cellStyle name="출력 4 12 3" xfId="30141"/>
    <cellStyle name="출력 4 13" xfId="12972"/>
    <cellStyle name="출력 4 13 2" xfId="16329"/>
    <cellStyle name="출력 4 13 2 2" xfId="33470"/>
    <cellStyle name="출력 4 13 3" xfId="30113"/>
    <cellStyle name="출력 4 14" xfId="13292"/>
    <cellStyle name="출력 4 14 2" xfId="16643"/>
    <cellStyle name="출력 4 14 2 2" xfId="33784"/>
    <cellStyle name="출력 4 14 3" xfId="30433"/>
    <cellStyle name="출력 4 15" xfId="13223"/>
    <cellStyle name="출력 4 15 2" xfId="16574"/>
    <cellStyle name="출력 4 15 2 2" xfId="33715"/>
    <cellStyle name="출력 4 15 3" xfId="30364"/>
    <cellStyle name="출력 4 16" xfId="12892"/>
    <cellStyle name="출력 4 16 2" xfId="16250"/>
    <cellStyle name="출력 4 16 2 2" xfId="33391"/>
    <cellStyle name="출력 4 16 3" xfId="30033"/>
    <cellStyle name="출력 4 17" xfId="13284"/>
    <cellStyle name="출력 4 17 2" xfId="16635"/>
    <cellStyle name="출력 4 17 2 2" xfId="33776"/>
    <cellStyle name="출력 4 17 3" xfId="30425"/>
    <cellStyle name="출력 4 18" xfId="12682"/>
    <cellStyle name="출력 4 18 2" xfId="16045"/>
    <cellStyle name="출력 4 18 2 2" xfId="33186"/>
    <cellStyle name="출력 4 18 3" xfId="29823"/>
    <cellStyle name="출력 4 19" xfId="13792"/>
    <cellStyle name="출력 4 19 2" xfId="17138"/>
    <cellStyle name="출력 4 19 2 2" xfId="34279"/>
    <cellStyle name="출력 4 19 3" xfId="30933"/>
    <cellStyle name="출력 4 2" xfId="865"/>
    <cellStyle name="출력 4 2 2" xfId="1289"/>
    <cellStyle name="출력 4 2 2 2" xfId="2187"/>
    <cellStyle name="출력 4 2 2 2 2" xfId="15493"/>
    <cellStyle name="출력 4 2 2 2 2 2" xfId="32634"/>
    <cellStyle name="출력 4 2 2 2 3" xfId="19330"/>
    <cellStyle name="출력 4 2 2 3" xfId="14597"/>
    <cellStyle name="출력 4 2 2 3 2" xfId="31738"/>
    <cellStyle name="출력 4 2 2 4" xfId="18432"/>
    <cellStyle name="출력 4 2 3" xfId="1792"/>
    <cellStyle name="출력 4 2 3 2" xfId="15098"/>
    <cellStyle name="출력 4 2 3 2 2" xfId="32239"/>
    <cellStyle name="출력 4 2 3 3" xfId="18935"/>
    <cellStyle name="출력 4 2 4" xfId="14193"/>
    <cellStyle name="출력 4 2 4 2" xfId="31334"/>
    <cellStyle name="출력 4 2 5" xfId="18008"/>
    <cellStyle name="출력 4 20" xfId="13879"/>
    <cellStyle name="출력 4 20 2" xfId="31020"/>
    <cellStyle name="출력 4 21" xfId="17502"/>
    <cellStyle name="출력 4 22" xfId="35707"/>
    <cellStyle name="출력 4 3" xfId="736"/>
    <cellStyle name="출력 4 3 2" xfId="1189"/>
    <cellStyle name="출력 4 3 2 2" xfId="2087"/>
    <cellStyle name="출력 4 3 2 2 2" xfId="15393"/>
    <cellStyle name="출력 4 3 2 2 2 2" xfId="32534"/>
    <cellStyle name="출력 4 3 2 2 3" xfId="19230"/>
    <cellStyle name="출력 4 3 2 3" xfId="14497"/>
    <cellStyle name="출력 4 3 2 3 2" xfId="31638"/>
    <cellStyle name="출력 4 3 2 4" xfId="18332"/>
    <cellStyle name="출력 4 3 3" xfId="1692"/>
    <cellStyle name="출력 4 3 3 2" xfId="14998"/>
    <cellStyle name="출력 4 3 3 2 2" xfId="32139"/>
    <cellStyle name="출력 4 3 3 3" xfId="18835"/>
    <cellStyle name="출력 4 3 4" xfId="14093"/>
    <cellStyle name="출력 4 3 4 2" xfId="31234"/>
    <cellStyle name="출력 4 3 5" xfId="17879"/>
    <cellStyle name="출력 4 4" xfId="989"/>
    <cellStyle name="출력 4 4 2" xfId="1391"/>
    <cellStyle name="출력 4 4 2 2" xfId="2289"/>
    <cellStyle name="출력 4 4 2 2 2" xfId="15595"/>
    <cellStyle name="출력 4 4 2 2 2 2" xfId="32736"/>
    <cellStyle name="출력 4 4 2 2 3" xfId="19432"/>
    <cellStyle name="출력 4 4 2 3" xfId="14699"/>
    <cellStyle name="출력 4 4 2 3 2" xfId="31840"/>
    <cellStyle name="출력 4 4 2 4" xfId="18534"/>
    <cellStyle name="출력 4 4 3" xfId="1896"/>
    <cellStyle name="출력 4 4 3 2" xfId="15202"/>
    <cellStyle name="출력 4 4 3 2 2" xfId="32343"/>
    <cellStyle name="출력 4 4 3 3" xfId="19039"/>
    <cellStyle name="출력 4 4 4" xfId="14297"/>
    <cellStyle name="출력 4 4 4 2" xfId="31438"/>
    <cellStyle name="출력 4 4 5" xfId="18132"/>
    <cellStyle name="출력 4 5" xfId="1092"/>
    <cellStyle name="출력 4 5 2" xfId="1995"/>
    <cellStyle name="출력 4 5 2 2" xfId="15301"/>
    <cellStyle name="출력 4 5 2 2 2" xfId="32442"/>
    <cellStyle name="출력 4 5 2 3" xfId="19138"/>
    <cellStyle name="출력 4 5 3" xfId="14400"/>
    <cellStyle name="출력 4 5 3 2" xfId="31541"/>
    <cellStyle name="출력 4 5 4" xfId="18235"/>
    <cellStyle name="출력 4 6" xfId="1488"/>
    <cellStyle name="출력 4 6 2" xfId="2385"/>
    <cellStyle name="출력 4 6 2 2" xfId="15691"/>
    <cellStyle name="출력 4 6 2 2 2" xfId="32832"/>
    <cellStyle name="출력 4 6 2 3" xfId="19528"/>
    <cellStyle name="출력 4 6 3" xfId="14795"/>
    <cellStyle name="출력 4 6 3 2" xfId="31936"/>
    <cellStyle name="출력 4 6 4" xfId="18631"/>
    <cellStyle name="출력 4 7" xfId="613"/>
    <cellStyle name="출력 4 7 2" xfId="13990"/>
    <cellStyle name="출력 4 7 2 2" xfId="31131"/>
    <cellStyle name="출력 4 7 3" xfId="17756"/>
    <cellStyle name="출력 4 8" xfId="1587"/>
    <cellStyle name="출력 4 8 2" xfId="14893"/>
    <cellStyle name="출력 4 8 2 2" xfId="32034"/>
    <cellStyle name="출력 4 8 3" xfId="18730"/>
    <cellStyle name="출력 4 9" xfId="12855"/>
    <cellStyle name="출력 4 9 2" xfId="16213"/>
    <cellStyle name="출력 4 9 2 2" xfId="33354"/>
    <cellStyle name="출력 4 9 3" xfId="29996"/>
    <cellStyle name="출력 5" xfId="407"/>
    <cellStyle name="출력 5 10" xfId="13009"/>
    <cellStyle name="출력 5 10 2" xfId="16360"/>
    <cellStyle name="출력 5 10 2 2" xfId="33501"/>
    <cellStyle name="출력 5 10 3" xfId="30150"/>
    <cellStyle name="출력 5 11" xfId="13096"/>
    <cellStyle name="출력 5 11 2" xfId="16447"/>
    <cellStyle name="출력 5 11 2 2" xfId="33588"/>
    <cellStyle name="출력 5 11 3" xfId="30237"/>
    <cellStyle name="출력 5 12" xfId="13180"/>
    <cellStyle name="출력 5 12 2" xfId="16531"/>
    <cellStyle name="출력 5 12 2 2" xfId="33672"/>
    <cellStyle name="출력 5 12 3" xfId="30321"/>
    <cellStyle name="출력 5 13" xfId="12607"/>
    <cellStyle name="출력 5 13 2" xfId="15970"/>
    <cellStyle name="출력 5 13 2 2" xfId="33111"/>
    <cellStyle name="출력 5 13 3" xfId="29748"/>
    <cellStyle name="출력 5 14" xfId="13362"/>
    <cellStyle name="출력 5 14 2" xfId="16713"/>
    <cellStyle name="출력 5 14 2 2" xfId="33854"/>
    <cellStyle name="출력 5 14 3" xfId="30503"/>
    <cellStyle name="출력 5 15" xfId="13437"/>
    <cellStyle name="출력 5 15 2" xfId="16788"/>
    <cellStyle name="출력 5 15 2 2" xfId="33929"/>
    <cellStyle name="출력 5 15 3" xfId="30578"/>
    <cellStyle name="출력 5 16" xfId="13295"/>
    <cellStyle name="출력 5 16 2" xfId="16646"/>
    <cellStyle name="출력 5 16 2 2" xfId="33787"/>
    <cellStyle name="출력 5 16 3" xfId="30436"/>
    <cellStyle name="출력 5 17" xfId="13572"/>
    <cellStyle name="출력 5 17 2" xfId="16923"/>
    <cellStyle name="출력 5 17 2 2" xfId="34064"/>
    <cellStyle name="출력 5 17 3" xfId="30713"/>
    <cellStyle name="출력 5 18" xfId="13635"/>
    <cellStyle name="출력 5 18 2" xfId="16986"/>
    <cellStyle name="출력 5 18 2 2" xfId="34127"/>
    <cellStyle name="출력 5 18 3" xfId="30776"/>
    <cellStyle name="출력 5 19" xfId="13715"/>
    <cellStyle name="출력 5 19 2" xfId="17066"/>
    <cellStyle name="출력 5 19 2 2" xfId="34207"/>
    <cellStyle name="출력 5 19 3" xfId="30856"/>
    <cellStyle name="출력 5 2" xfId="893"/>
    <cellStyle name="출력 5 2 2" xfId="1308"/>
    <cellStyle name="출력 5 2 2 2" xfId="2206"/>
    <cellStyle name="출력 5 2 2 2 2" xfId="15512"/>
    <cellStyle name="출력 5 2 2 2 2 2" xfId="32653"/>
    <cellStyle name="출력 5 2 2 2 3" xfId="19349"/>
    <cellStyle name="출력 5 2 2 3" xfId="14616"/>
    <cellStyle name="출력 5 2 2 3 2" xfId="31757"/>
    <cellStyle name="출력 5 2 2 4" xfId="18451"/>
    <cellStyle name="출력 5 2 3" xfId="1811"/>
    <cellStyle name="출력 5 2 3 2" xfId="15117"/>
    <cellStyle name="출력 5 2 3 2 2" xfId="32258"/>
    <cellStyle name="출력 5 2 3 3" xfId="18954"/>
    <cellStyle name="출력 5 2 4" xfId="14212"/>
    <cellStyle name="출력 5 2 4 2" xfId="31353"/>
    <cellStyle name="출력 5 2 5" xfId="18036"/>
    <cellStyle name="출력 5 20" xfId="13898"/>
    <cellStyle name="출력 5 20 2" xfId="31039"/>
    <cellStyle name="출력 5 21" xfId="17550"/>
    <cellStyle name="출력 5 3" xfId="751"/>
    <cellStyle name="출력 5 3 2" xfId="1204"/>
    <cellStyle name="출력 5 3 2 2" xfId="2102"/>
    <cellStyle name="출력 5 3 2 2 2" xfId="15408"/>
    <cellStyle name="출력 5 3 2 2 2 2" xfId="32549"/>
    <cellStyle name="출력 5 3 2 2 3" xfId="19245"/>
    <cellStyle name="출력 5 3 2 3" xfId="14512"/>
    <cellStyle name="출력 5 3 2 3 2" xfId="31653"/>
    <cellStyle name="출력 5 3 2 4" xfId="18347"/>
    <cellStyle name="출력 5 3 3" xfId="1707"/>
    <cellStyle name="출력 5 3 3 2" xfId="15013"/>
    <cellStyle name="출력 5 3 3 2 2" xfId="32154"/>
    <cellStyle name="출력 5 3 3 3" xfId="18850"/>
    <cellStyle name="출력 5 3 4" xfId="14108"/>
    <cellStyle name="출력 5 3 4 2" xfId="31249"/>
    <cellStyle name="출력 5 3 5" xfId="17894"/>
    <cellStyle name="출력 5 4" xfId="1008"/>
    <cellStyle name="출력 5 4 2" xfId="1406"/>
    <cellStyle name="출력 5 4 2 2" xfId="2304"/>
    <cellStyle name="출력 5 4 2 2 2" xfId="15610"/>
    <cellStyle name="출력 5 4 2 2 2 2" xfId="32751"/>
    <cellStyle name="출력 5 4 2 2 3" xfId="19447"/>
    <cellStyle name="출력 5 4 2 3" xfId="14714"/>
    <cellStyle name="출력 5 4 2 3 2" xfId="31855"/>
    <cellStyle name="출력 5 4 2 4" xfId="18549"/>
    <cellStyle name="출력 5 4 3" xfId="1915"/>
    <cellStyle name="출력 5 4 3 2" xfId="15221"/>
    <cellStyle name="출력 5 4 3 2 2" xfId="32362"/>
    <cellStyle name="출력 5 4 3 3" xfId="19058"/>
    <cellStyle name="출력 5 4 4" xfId="14316"/>
    <cellStyle name="출력 5 4 4 2" xfId="31457"/>
    <cellStyle name="출력 5 4 5" xfId="18151"/>
    <cellStyle name="출력 5 5" xfId="1107"/>
    <cellStyle name="출력 5 5 2" xfId="2009"/>
    <cellStyle name="출력 5 5 2 2" xfId="15315"/>
    <cellStyle name="출력 5 5 2 2 2" xfId="32456"/>
    <cellStyle name="출력 5 5 2 3" xfId="19152"/>
    <cellStyle name="출력 5 5 3" xfId="14415"/>
    <cellStyle name="출력 5 5 3 2" xfId="31556"/>
    <cellStyle name="출력 5 5 4" xfId="18250"/>
    <cellStyle name="출력 5 6" xfId="1502"/>
    <cellStyle name="출력 5 6 2" xfId="2399"/>
    <cellStyle name="출력 5 6 2 2" xfId="15705"/>
    <cellStyle name="출력 5 6 2 2 2" xfId="32846"/>
    <cellStyle name="출력 5 6 2 3" xfId="19542"/>
    <cellStyle name="출력 5 6 3" xfId="14809"/>
    <cellStyle name="출력 5 6 3 2" xfId="31950"/>
    <cellStyle name="출력 5 6 4" xfId="18645"/>
    <cellStyle name="출력 5 7" xfId="641"/>
    <cellStyle name="출력 5 7 2" xfId="14009"/>
    <cellStyle name="출력 5 7 2 2" xfId="31150"/>
    <cellStyle name="출력 5 7 3" xfId="17784"/>
    <cellStyle name="출력 5 8" xfId="1606"/>
    <cellStyle name="출력 5 8 2" xfId="14912"/>
    <cellStyle name="출력 5 8 2 2" xfId="32053"/>
    <cellStyle name="출력 5 8 3" xfId="18749"/>
    <cellStyle name="출력 5 9" xfId="12898"/>
    <cellStyle name="출력 5 9 2" xfId="16256"/>
    <cellStyle name="출력 5 9 2 2" xfId="33397"/>
    <cellStyle name="출력 5 9 3" xfId="30039"/>
    <cellStyle name="출력 6" xfId="228"/>
    <cellStyle name="출력 6 10" xfId="12662"/>
    <cellStyle name="출력 6 10 2" xfId="16025"/>
    <cellStyle name="출력 6 10 2 2" xfId="33166"/>
    <cellStyle name="출력 6 10 3" xfId="29803"/>
    <cellStyle name="출력 6 11" xfId="12606"/>
    <cellStyle name="출력 6 11 2" xfId="15969"/>
    <cellStyle name="출력 6 11 2 2" xfId="33110"/>
    <cellStyle name="출력 6 11 3" xfId="29747"/>
    <cellStyle name="출력 6 12" xfId="12663"/>
    <cellStyle name="출력 6 12 2" xfId="16026"/>
    <cellStyle name="출력 6 12 2 2" xfId="33167"/>
    <cellStyle name="출력 6 12 3" xfId="29804"/>
    <cellStyle name="출력 6 13" xfId="13278"/>
    <cellStyle name="출력 6 13 2" xfId="16629"/>
    <cellStyle name="출력 6 13 2 2" xfId="33770"/>
    <cellStyle name="출력 6 13 3" xfId="30419"/>
    <cellStyle name="출력 6 14" xfId="13199"/>
    <cellStyle name="출력 6 14 2" xfId="16550"/>
    <cellStyle name="출력 6 14 2 2" xfId="33691"/>
    <cellStyle name="출력 6 14 3" xfId="30340"/>
    <cellStyle name="출력 6 15" xfId="12625"/>
    <cellStyle name="출력 6 15 2" xfId="15988"/>
    <cellStyle name="출력 6 15 2 2" xfId="33129"/>
    <cellStyle name="출력 6 15 3" xfId="29766"/>
    <cellStyle name="출력 6 16" xfId="13430"/>
    <cellStyle name="출력 6 16 2" xfId="16781"/>
    <cellStyle name="출력 6 16 2 2" xfId="33922"/>
    <cellStyle name="출력 6 16 3" xfId="30571"/>
    <cellStyle name="출력 6 17" xfId="12865"/>
    <cellStyle name="출력 6 17 2" xfId="16223"/>
    <cellStyle name="출력 6 17 2 2" xfId="33364"/>
    <cellStyle name="출력 6 17 3" xfId="30006"/>
    <cellStyle name="출력 6 18" xfId="13614"/>
    <cellStyle name="출력 6 18 2" xfId="16965"/>
    <cellStyle name="출력 6 18 2 2" xfId="34106"/>
    <cellStyle name="출력 6 18 3" xfId="30755"/>
    <cellStyle name="출력 6 19" xfId="13788"/>
    <cellStyle name="출력 6 19 2" xfId="17134"/>
    <cellStyle name="출력 6 19 2 2" xfId="34275"/>
    <cellStyle name="출력 6 19 3" xfId="30929"/>
    <cellStyle name="출력 6 2" xfId="812"/>
    <cellStyle name="출력 6 2 2" xfId="1256"/>
    <cellStyle name="출력 6 2 2 2" xfId="2154"/>
    <cellStyle name="출력 6 2 2 2 2" xfId="15460"/>
    <cellStyle name="출력 6 2 2 2 2 2" xfId="32601"/>
    <cellStyle name="출력 6 2 2 2 3" xfId="19297"/>
    <cellStyle name="출력 6 2 2 3" xfId="14564"/>
    <cellStyle name="출력 6 2 2 3 2" xfId="31705"/>
    <cellStyle name="출력 6 2 2 4" xfId="18399"/>
    <cellStyle name="출력 6 2 3" xfId="1759"/>
    <cellStyle name="출력 6 2 3 2" xfId="15065"/>
    <cellStyle name="출력 6 2 3 2 2" xfId="32206"/>
    <cellStyle name="출력 6 2 3 3" xfId="18902"/>
    <cellStyle name="출력 6 2 4" xfId="14160"/>
    <cellStyle name="출력 6 2 4 2" xfId="31301"/>
    <cellStyle name="출력 6 2 5" xfId="17955"/>
    <cellStyle name="출력 6 20" xfId="13846"/>
    <cellStyle name="출력 6 20 2" xfId="30987"/>
    <cellStyle name="출력 6 21" xfId="17371"/>
    <cellStyle name="출력 6 3" xfId="709"/>
    <cellStyle name="출력 6 3 2" xfId="1162"/>
    <cellStyle name="출력 6 3 2 2" xfId="2061"/>
    <cellStyle name="출력 6 3 2 2 2" xfId="15367"/>
    <cellStyle name="출력 6 3 2 2 2 2" xfId="32508"/>
    <cellStyle name="출력 6 3 2 2 3" xfId="19204"/>
    <cellStyle name="출력 6 3 2 3" xfId="14470"/>
    <cellStyle name="출력 6 3 2 3 2" xfId="31611"/>
    <cellStyle name="출력 6 3 2 4" xfId="18305"/>
    <cellStyle name="출력 6 3 3" xfId="1665"/>
    <cellStyle name="출력 6 3 3 2" xfId="14971"/>
    <cellStyle name="출력 6 3 3 2 2" xfId="32112"/>
    <cellStyle name="출력 6 3 3 3" xfId="18808"/>
    <cellStyle name="출력 6 3 4" xfId="14066"/>
    <cellStyle name="출력 6 3 4 2" xfId="31207"/>
    <cellStyle name="출력 6 3 5" xfId="17852"/>
    <cellStyle name="출력 6 4" xfId="962"/>
    <cellStyle name="출력 6 4 2" xfId="1366"/>
    <cellStyle name="출력 6 4 2 2" xfId="2264"/>
    <cellStyle name="출력 6 4 2 2 2" xfId="15570"/>
    <cellStyle name="출력 6 4 2 2 2 2" xfId="32711"/>
    <cellStyle name="출력 6 4 2 2 3" xfId="19407"/>
    <cellStyle name="출력 6 4 2 3" xfId="14674"/>
    <cellStyle name="출력 6 4 2 3 2" xfId="31815"/>
    <cellStyle name="출력 6 4 2 4" xfId="18509"/>
    <cellStyle name="출력 6 4 3" xfId="1869"/>
    <cellStyle name="출력 6 4 3 2" xfId="15175"/>
    <cellStyle name="출력 6 4 3 2 2" xfId="32316"/>
    <cellStyle name="출력 6 4 3 3" xfId="19012"/>
    <cellStyle name="출력 6 4 4" xfId="14270"/>
    <cellStyle name="출력 6 4 4 2" xfId="31411"/>
    <cellStyle name="출력 6 4 5" xfId="18105"/>
    <cellStyle name="출력 6 5" xfId="1063"/>
    <cellStyle name="출력 6 5 2" xfId="1970"/>
    <cellStyle name="출력 6 5 2 2" xfId="15276"/>
    <cellStyle name="출력 6 5 2 2 2" xfId="32417"/>
    <cellStyle name="출력 6 5 2 3" xfId="19113"/>
    <cellStyle name="출력 6 5 3" xfId="14371"/>
    <cellStyle name="출력 6 5 3 2" xfId="31512"/>
    <cellStyle name="출력 6 5 4" xfId="18206"/>
    <cellStyle name="출력 6 6" xfId="1463"/>
    <cellStyle name="출력 6 6 2" xfId="2360"/>
    <cellStyle name="출력 6 6 2 2" xfId="15666"/>
    <cellStyle name="출력 6 6 2 2 2" xfId="32807"/>
    <cellStyle name="출력 6 6 2 3" xfId="19503"/>
    <cellStyle name="출력 6 6 3" xfId="14770"/>
    <cellStyle name="출력 6 6 3 2" xfId="31911"/>
    <cellStyle name="출력 6 6 4" xfId="18606"/>
    <cellStyle name="출력 6 7" xfId="560"/>
    <cellStyle name="출력 6 7 2" xfId="13957"/>
    <cellStyle name="출력 6 7 2 2" xfId="31098"/>
    <cellStyle name="출력 6 7 3" xfId="17703"/>
    <cellStyle name="출력 6 8" xfId="1555"/>
    <cellStyle name="출력 6 8 2" xfId="14861"/>
    <cellStyle name="출력 6 8 2 2" xfId="32002"/>
    <cellStyle name="출력 6 8 3" xfId="18698"/>
    <cellStyle name="출력 6 9" xfId="12751"/>
    <cellStyle name="출력 6 9 2" xfId="16114"/>
    <cellStyle name="출력 6 9 2 2" xfId="33255"/>
    <cellStyle name="출력 6 9 3" xfId="29892"/>
    <cellStyle name="출력 7" xfId="422"/>
    <cellStyle name="출력 7 10" xfId="13022"/>
    <cellStyle name="출력 7 10 2" xfId="16373"/>
    <cellStyle name="출력 7 10 2 2" xfId="33514"/>
    <cellStyle name="출력 7 10 3" xfId="30163"/>
    <cellStyle name="출력 7 11" xfId="13109"/>
    <cellStyle name="출력 7 11 2" xfId="16460"/>
    <cellStyle name="출력 7 11 2 2" xfId="33601"/>
    <cellStyle name="출력 7 11 3" xfId="30250"/>
    <cellStyle name="출력 7 12" xfId="13195"/>
    <cellStyle name="출력 7 12 2" xfId="16546"/>
    <cellStyle name="출력 7 12 2 2" xfId="33687"/>
    <cellStyle name="출력 7 12 3" xfId="30336"/>
    <cellStyle name="출력 7 13" xfId="12766"/>
    <cellStyle name="출력 7 13 2" xfId="16129"/>
    <cellStyle name="출력 7 13 2 2" xfId="33270"/>
    <cellStyle name="출력 7 13 3" xfId="29907"/>
    <cellStyle name="출력 7 14" xfId="13375"/>
    <cellStyle name="출력 7 14 2" xfId="16726"/>
    <cellStyle name="출력 7 14 2 2" xfId="33867"/>
    <cellStyle name="출력 7 14 3" xfId="30516"/>
    <cellStyle name="출력 7 15" xfId="13449"/>
    <cellStyle name="출력 7 15 2" xfId="16800"/>
    <cellStyle name="출력 7 15 2 2" xfId="33941"/>
    <cellStyle name="출력 7 15 3" xfId="30590"/>
    <cellStyle name="출력 7 16" xfId="13515"/>
    <cellStyle name="출력 7 16 2" xfId="16866"/>
    <cellStyle name="출력 7 16 2 2" xfId="34007"/>
    <cellStyle name="출력 7 16 3" xfId="30656"/>
    <cellStyle name="출력 7 17" xfId="13584"/>
    <cellStyle name="출력 7 17 2" xfId="16935"/>
    <cellStyle name="출력 7 17 2 2" xfId="34076"/>
    <cellStyle name="출력 7 17 3" xfId="30725"/>
    <cellStyle name="출력 7 18" xfId="13647"/>
    <cellStyle name="출력 7 18 2" xfId="16998"/>
    <cellStyle name="출력 7 18 2 2" xfId="34139"/>
    <cellStyle name="출력 7 18 3" xfId="30788"/>
    <cellStyle name="출력 7 19" xfId="13729"/>
    <cellStyle name="출력 7 19 2" xfId="17080"/>
    <cellStyle name="출력 7 19 2 2" xfId="34221"/>
    <cellStyle name="출력 7 19 3" xfId="30870"/>
    <cellStyle name="출력 7 2" xfId="906"/>
    <cellStyle name="출력 7 2 2" xfId="1320"/>
    <cellStyle name="출력 7 2 2 2" xfId="2218"/>
    <cellStyle name="출력 7 2 2 2 2" xfId="15524"/>
    <cellStyle name="출력 7 2 2 2 2 2" xfId="32665"/>
    <cellStyle name="출력 7 2 2 2 3" xfId="19361"/>
    <cellStyle name="출력 7 2 2 3" xfId="14628"/>
    <cellStyle name="출력 7 2 2 3 2" xfId="31769"/>
    <cellStyle name="출력 7 2 2 4" xfId="18463"/>
    <cellStyle name="출력 7 2 3" xfId="1823"/>
    <cellStyle name="출력 7 2 3 2" xfId="15129"/>
    <cellStyle name="출력 7 2 3 2 2" xfId="32270"/>
    <cellStyle name="출력 7 2 3 3" xfId="18966"/>
    <cellStyle name="출력 7 2 4" xfId="14224"/>
    <cellStyle name="출력 7 2 4 2" xfId="31365"/>
    <cellStyle name="출력 7 2 5" xfId="18049"/>
    <cellStyle name="출력 7 20" xfId="13910"/>
    <cellStyle name="출력 7 20 2" xfId="31051"/>
    <cellStyle name="출력 7 21" xfId="17565"/>
    <cellStyle name="출력 7 3" xfId="762"/>
    <cellStyle name="출력 7 3 2" xfId="1215"/>
    <cellStyle name="출력 7 3 2 2" xfId="2113"/>
    <cellStyle name="출력 7 3 2 2 2" xfId="15419"/>
    <cellStyle name="출력 7 3 2 2 2 2" xfId="32560"/>
    <cellStyle name="출력 7 3 2 2 3" xfId="19256"/>
    <cellStyle name="출력 7 3 2 3" xfId="14523"/>
    <cellStyle name="출력 7 3 2 3 2" xfId="31664"/>
    <cellStyle name="출력 7 3 2 4" xfId="18358"/>
    <cellStyle name="출력 7 3 3" xfId="1718"/>
    <cellStyle name="출력 7 3 3 2" xfId="15024"/>
    <cellStyle name="출력 7 3 3 2 2" xfId="32165"/>
    <cellStyle name="출력 7 3 3 3" xfId="18861"/>
    <cellStyle name="출력 7 3 4" xfId="14119"/>
    <cellStyle name="출력 7 3 4 2" xfId="31260"/>
    <cellStyle name="출력 7 3 5" xfId="17905"/>
    <cellStyle name="출력 7 4" xfId="1020"/>
    <cellStyle name="출력 7 4 2" xfId="1417"/>
    <cellStyle name="출력 7 4 2 2" xfId="2315"/>
    <cellStyle name="출력 7 4 2 2 2" xfId="15621"/>
    <cellStyle name="출력 7 4 2 2 2 2" xfId="32762"/>
    <cellStyle name="출력 7 4 2 2 3" xfId="19458"/>
    <cellStyle name="출력 7 4 2 3" xfId="14725"/>
    <cellStyle name="출력 7 4 2 3 2" xfId="31866"/>
    <cellStyle name="출력 7 4 2 4" xfId="18560"/>
    <cellStyle name="출력 7 4 3" xfId="1927"/>
    <cellStyle name="출력 7 4 3 2" xfId="15233"/>
    <cellStyle name="출력 7 4 3 2 2" xfId="32374"/>
    <cellStyle name="출력 7 4 3 3" xfId="19070"/>
    <cellStyle name="출력 7 4 4" xfId="14328"/>
    <cellStyle name="출력 7 4 4 2" xfId="31469"/>
    <cellStyle name="출력 7 4 5" xfId="18163"/>
    <cellStyle name="출력 7 5" xfId="1118"/>
    <cellStyle name="출력 7 5 2" xfId="2020"/>
    <cellStyle name="출력 7 5 2 2" xfId="15326"/>
    <cellStyle name="출력 7 5 2 2 2" xfId="32467"/>
    <cellStyle name="출력 7 5 2 3" xfId="19163"/>
    <cellStyle name="출력 7 5 3" xfId="14426"/>
    <cellStyle name="출력 7 5 3 2" xfId="31567"/>
    <cellStyle name="출력 7 5 4" xfId="18261"/>
    <cellStyle name="출력 7 6" xfId="1513"/>
    <cellStyle name="출력 7 6 2" xfId="2410"/>
    <cellStyle name="출력 7 6 2 2" xfId="15716"/>
    <cellStyle name="출력 7 6 2 2 2" xfId="32857"/>
    <cellStyle name="출력 7 6 2 3" xfId="19553"/>
    <cellStyle name="출력 7 6 3" xfId="14820"/>
    <cellStyle name="출력 7 6 3 2" xfId="31961"/>
    <cellStyle name="출력 7 6 4" xfId="18656"/>
    <cellStyle name="출력 7 7" xfId="654"/>
    <cellStyle name="출력 7 7 2" xfId="14021"/>
    <cellStyle name="출력 7 7 2 2" xfId="31162"/>
    <cellStyle name="출력 7 7 3" xfId="17797"/>
    <cellStyle name="출력 7 8" xfId="1618"/>
    <cellStyle name="출력 7 8 2" xfId="14924"/>
    <cellStyle name="출력 7 8 2 2" xfId="32065"/>
    <cellStyle name="출력 7 8 3" xfId="18761"/>
    <cellStyle name="출력 7 9" xfId="12912"/>
    <cellStyle name="출력 7 9 2" xfId="16270"/>
    <cellStyle name="출력 7 9 2 2" xfId="33411"/>
    <cellStyle name="출력 7 9 3" xfId="30053"/>
    <cellStyle name="출력 8" xfId="353"/>
    <cellStyle name="출력 8 10" xfId="12728"/>
    <cellStyle name="출력 8 10 2" xfId="16091"/>
    <cellStyle name="출력 8 10 2 2" xfId="33232"/>
    <cellStyle name="출력 8 10 3" xfId="29869"/>
    <cellStyle name="출력 8 11" xfId="12778"/>
    <cellStyle name="출력 8 11 2" xfId="16141"/>
    <cellStyle name="출력 8 11 2 2" xfId="33282"/>
    <cellStyle name="출력 8 11 3" xfId="29919"/>
    <cellStyle name="출력 8 12" xfId="13003"/>
    <cellStyle name="출력 8 12 2" xfId="16354"/>
    <cellStyle name="출력 8 12 2 2" xfId="33495"/>
    <cellStyle name="출력 8 12 3" xfId="30144"/>
    <cellStyle name="출력 8 13" xfId="12990"/>
    <cellStyle name="출력 8 13 2" xfId="16341"/>
    <cellStyle name="출력 8 13 2 2" xfId="33482"/>
    <cellStyle name="출력 8 13 3" xfId="30131"/>
    <cellStyle name="출력 8 14" xfId="12816"/>
    <cellStyle name="출력 8 14 2" xfId="16177"/>
    <cellStyle name="출력 8 14 2 2" xfId="33318"/>
    <cellStyle name="출력 8 14 3" xfId="29957"/>
    <cellStyle name="출력 8 15" xfId="12737"/>
    <cellStyle name="출력 8 15 2" xfId="16100"/>
    <cellStyle name="출력 8 15 2 2" xfId="33241"/>
    <cellStyle name="출력 8 15 3" xfId="29878"/>
    <cellStyle name="출력 8 16" xfId="13394"/>
    <cellStyle name="출력 8 16 2" xfId="16745"/>
    <cellStyle name="출력 8 16 2 2" xfId="33886"/>
    <cellStyle name="출력 8 16 3" xfId="30535"/>
    <cellStyle name="출력 8 17" xfId="13475"/>
    <cellStyle name="출력 8 17 2" xfId="16826"/>
    <cellStyle name="출력 8 17 2 2" xfId="33967"/>
    <cellStyle name="출력 8 17 3" xfId="30616"/>
    <cellStyle name="출력 8 18" xfId="13332"/>
    <cellStyle name="출력 8 18 2" xfId="16683"/>
    <cellStyle name="출력 8 18 2 2" xfId="33824"/>
    <cellStyle name="출력 8 18 3" xfId="30473"/>
    <cellStyle name="출력 8 19" xfId="13797"/>
    <cellStyle name="출력 8 19 2" xfId="17143"/>
    <cellStyle name="출력 8 19 2 2" xfId="34284"/>
    <cellStyle name="출력 8 19 3" xfId="30938"/>
    <cellStyle name="출력 8 2" xfId="860"/>
    <cellStyle name="출력 8 2 2" xfId="1285"/>
    <cellStyle name="출력 8 2 2 2" xfId="2183"/>
    <cellStyle name="출력 8 2 2 2 2" xfId="15489"/>
    <cellStyle name="출력 8 2 2 2 2 2" xfId="32630"/>
    <cellStyle name="출력 8 2 2 2 3" xfId="19326"/>
    <cellStyle name="출력 8 2 2 3" xfId="14593"/>
    <cellStyle name="출력 8 2 2 3 2" xfId="31734"/>
    <cellStyle name="출력 8 2 2 4" xfId="18428"/>
    <cellStyle name="출력 8 2 3" xfId="1788"/>
    <cellStyle name="출력 8 2 3 2" xfId="15094"/>
    <cellStyle name="출력 8 2 3 2 2" xfId="32235"/>
    <cellStyle name="출력 8 2 3 3" xfId="18931"/>
    <cellStyle name="출력 8 2 4" xfId="14189"/>
    <cellStyle name="출력 8 2 4 2" xfId="31330"/>
    <cellStyle name="출력 8 2 5" xfId="18003"/>
    <cellStyle name="출력 8 20" xfId="13875"/>
    <cellStyle name="출력 8 20 2" xfId="31016"/>
    <cellStyle name="출력 8 21" xfId="17496"/>
    <cellStyle name="출력 8 3" xfId="732"/>
    <cellStyle name="출력 8 3 2" xfId="1185"/>
    <cellStyle name="출력 8 3 2 2" xfId="2083"/>
    <cellStyle name="출력 8 3 2 2 2" xfId="15389"/>
    <cellStyle name="출력 8 3 2 2 2 2" xfId="32530"/>
    <cellStyle name="출력 8 3 2 2 3" xfId="19226"/>
    <cellStyle name="출력 8 3 2 3" xfId="14493"/>
    <cellStyle name="출력 8 3 2 3 2" xfId="31634"/>
    <cellStyle name="출력 8 3 2 4" xfId="18328"/>
    <cellStyle name="출력 8 3 3" xfId="1688"/>
    <cellStyle name="출력 8 3 3 2" xfId="14994"/>
    <cellStyle name="출력 8 3 3 2 2" xfId="32135"/>
    <cellStyle name="출력 8 3 3 3" xfId="18831"/>
    <cellStyle name="출력 8 3 4" xfId="14089"/>
    <cellStyle name="출력 8 3 4 2" xfId="31230"/>
    <cellStyle name="출력 8 3 5" xfId="17875"/>
    <cellStyle name="출력 8 4" xfId="985"/>
    <cellStyle name="출력 8 4 2" xfId="1387"/>
    <cellStyle name="출력 8 4 2 2" xfId="2285"/>
    <cellStyle name="출력 8 4 2 2 2" xfId="15591"/>
    <cellStyle name="출력 8 4 2 2 2 2" xfId="32732"/>
    <cellStyle name="출력 8 4 2 2 3" xfId="19428"/>
    <cellStyle name="출력 8 4 2 3" xfId="14695"/>
    <cellStyle name="출력 8 4 2 3 2" xfId="31836"/>
    <cellStyle name="출력 8 4 2 4" xfId="18530"/>
    <cellStyle name="출력 8 4 3" xfId="1892"/>
    <cellStyle name="출력 8 4 3 2" xfId="15198"/>
    <cellStyle name="출력 8 4 3 2 2" xfId="32339"/>
    <cellStyle name="출력 8 4 3 3" xfId="19035"/>
    <cellStyle name="출력 8 4 4" xfId="14293"/>
    <cellStyle name="출력 8 4 4 2" xfId="31434"/>
    <cellStyle name="출력 8 4 5" xfId="18128"/>
    <cellStyle name="출력 8 5" xfId="1088"/>
    <cellStyle name="출력 8 5 2" xfId="1991"/>
    <cellStyle name="출력 8 5 2 2" xfId="15297"/>
    <cellStyle name="출력 8 5 2 2 2" xfId="32438"/>
    <cellStyle name="출력 8 5 2 3" xfId="19134"/>
    <cellStyle name="출력 8 5 3" xfId="14396"/>
    <cellStyle name="출력 8 5 3 2" xfId="31537"/>
    <cellStyle name="출력 8 5 4" xfId="18231"/>
    <cellStyle name="출력 8 6" xfId="1484"/>
    <cellStyle name="출력 8 6 2" xfId="2381"/>
    <cellStyle name="출력 8 6 2 2" xfId="15687"/>
    <cellStyle name="출력 8 6 2 2 2" xfId="32828"/>
    <cellStyle name="출력 8 6 2 3" xfId="19524"/>
    <cellStyle name="출력 8 6 3" xfId="14791"/>
    <cellStyle name="출력 8 6 3 2" xfId="31932"/>
    <cellStyle name="출력 8 6 4" xfId="18627"/>
    <cellStyle name="출력 8 7" xfId="608"/>
    <cellStyle name="출력 8 7 2" xfId="13986"/>
    <cellStyle name="출력 8 7 2 2" xfId="31127"/>
    <cellStyle name="출력 8 7 3" xfId="17751"/>
    <cellStyle name="출력 8 8" xfId="1583"/>
    <cellStyle name="출력 8 8 2" xfId="14889"/>
    <cellStyle name="출력 8 8 2 2" xfId="32030"/>
    <cellStyle name="출력 8 8 3" xfId="18726"/>
    <cellStyle name="출력 8 9" xfId="12851"/>
    <cellStyle name="출력 8 9 2" xfId="16209"/>
    <cellStyle name="출력 8 9 2 2" xfId="33350"/>
    <cellStyle name="출력 8 9 3" xfId="29992"/>
    <cellStyle name="출력 9" xfId="436"/>
    <cellStyle name="출력 9 10" xfId="13035"/>
    <cellStyle name="출력 9 10 2" xfId="16386"/>
    <cellStyle name="출력 9 10 2 2" xfId="33527"/>
    <cellStyle name="출력 9 10 3" xfId="30176"/>
    <cellStyle name="출력 9 11" xfId="13120"/>
    <cellStyle name="출력 9 11 2" xfId="16471"/>
    <cellStyle name="출력 9 11 2 2" xfId="33612"/>
    <cellStyle name="출력 9 11 3" xfId="30261"/>
    <cellStyle name="출력 9 12" xfId="13208"/>
    <cellStyle name="출력 9 12 2" xfId="16559"/>
    <cellStyle name="출력 9 12 2 2" xfId="33700"/>
    <cellStyle name="출력 9 12 3" xfId="30349"/>
    <cellStyle name="출력 9 13" xfId="12938"/>
    <cellStyle name="출력 9 13 2" xfId="16296"/>
    <cellStyle name="출력 9 13 2 2" xfId="33437"/>
    <cellStyle name="출력 9 13 3" xfId="30079"/>
    <cellStyle name="출력 9 14" xfId="13386"/>
    <cellStyle name="출력 9 14 2" xfId="16737"/>
    <cellStyle name="출력 9 14 2 2" xfId="33878"/>
    <cellStyle name="출력 9 14 3" xfId="30527"/>
    <cellStyle name="출력 9 15" xfId="13461"/>
    <cellStyle name="출력 9 15 2" xfId="16812"/>
    <cellStyle name="출력 9 15 2 2" xfId="33953"/>
    <cellStyle name="출력 9 15 3" xfId="30602"/>
    <cellStyle name="출력 9 16" xfId="13525"/>
    <cellStyle name="출력 9 16 2" xfId="16876"/>
    <cellStyle name="출력 9 16 2 2" xfId="34017"/>
    <cellStyle name="출력 9 16 3" xfId="30666"/>
    <cellStyle name="출력 9 17" xfId="13593"/>
    <cellStyle name="출력 9 17 2" xfId="16944"/>
    <cellStyle name="출력 9 17 2 2" xfId="34085"/>
    <cellStyle name="출력 9 17 3" xfId="30734"/>
    <cellStyle name="출력 9 18" xfId="13656"/>
    <cellStyle name="출력 9 18 2" xfId="17007"/>
    <cellStyle name="출력 9 18 2 2" xfId="34148"/>
    <cellStyle name="출력 9 18 3" xfId="30797"/>
    <cellStyle name="출력 9 19" xfId="13701"/>
    <cellStyle name="출력 9 19 2" xfId="17052"/>
    <cellStyle name="출력 9 19 2 2" xfId="34193"/>
    <cellStyle name="출력 9 19 3" xfId="30842"/>
    <cellStyle name="출력 9 2" xfId="915"/>
    <cellStyle name="출력 9 2 2" xfId="1329"/>
    <cellStyle name="출력 9 2 2 2" xfId="2227"/>
    <cellStyle name="출력 9 2 2 2 2" xfId="15533"/>
    <cellStyle name="출력 9 2 2 2 2 2" xfId="32674"/>
    <cellStyle name="출력 9 2 2 2 3" xfId="19370"/>
    <cellStyle name="출력 9 2 2 3" xfId="14637"/>
    <cellStyle name="출력 9 2 2 3 2" xfId="31778"/>
    <cellStyle name="출력 9 2 2 4" xfId="18472"/>
    <cellStyle name="출력 9 2 3" xfId="1832"/>
    <cellStyle name="출력 9 2 3 2" xfId="15138"/>
    <cellStyle name="출력 9 2 3 2 2" xfId="32279"/>
    <cellStyle name="출력 9 2 3 3" xfId="18975"/>
    <cellStyle name="출력 9 2 4" xfId="14233"/>
    <cellStyle name="출력 9 2 4 2" xfId="31374"/>
    <cellStyle name="출력 9 2 5" xfId="18058"/>
    <cellStyle name="출력 9 20" xfId="13919"/>
    <cellStyle name="출력 9 20 2" xfId="31060"/>
    <cellStyle name="출력 9 21" xfId="17579"/>
    <cellStyle name="출력 9 3" xfId="770"/>
    <cellStyle name="출력 9 3 2" xfId="1223"/>
    <cellStyle name="출력 9 3 2 2" xfId="2121"/>
    <cellStyle name="출력 9 3 2 2 2" xfId="15427"/>
    <cellStyle name="출력 9 3 2 2 2 2" xfId="32568"/>
    <cellStyle name="출력 9 3 2 2 3" xfId="19264"/>
    <cellStyle name="출력 9 3 2 3" xfId="14531"/>
    <cellStyle name="출력 9 3 2 3 2" xfId="31672"/>
    <cellStyle name="출력 9 3 2 4" xfId="18366"/>
    <cellStyle name="출력 9 3 3" xfId="1726"/>
    <cellStyle name="출력 9 3 3 2" xfId="15032"/>
    <cellStyle name="출력 9 3 3 2 2" xfId="32173"/>
    <cellStyle name="출력 9 3 3 3" xfId="18869"/>
    <cellStyle name="출력 9 3 4" xfId="14127"/>
    <cellStyle name="출력 9 3 4 2" xfId="31268"/>
    <cellStyle name="출력 9 3 5" xfId="17913"/>
    <cellStyle name="출력 9 4" xfId="1029"/>
    <cellStyle name="출력 9 4 2" xfId="1425"/>
    <cellStyle name="출력 9 4 2 2" xfId="2323"/>
    <cellStyle name="출력 9 4 2 2 2" xfId="15629"/>
    <cellStyle name="출력 9 4 2 2 2 2" xfId="32770"/>
    <cellStyle name="출력 9 4 2 2 3" xfId="19466"/>
    <cellStyle name="출력 9 4 2 3" xfId="14733"/>
    <cellStyle name="출력 9 4 2 3 2" xfId="31874"/>
    <cellStyle name="출력 9 4 2 4" xfId="18568"/>
    <cellStyle name="출력 9 4 3" xfId="1936"/>
    <cellStyle name="출력 9 4 3 2" xfId="15242"/>
    <cellStyle name="출력 9 4 3 2 2" xfId="32383"/>
    <cellStyle name="출력 9 4 3 3" xfId="19079"/>
    <cellStyle name="출력 9 4 4" xfId="14337"/>
    <cellStyle name="출력 9 4 4 2" xfId="31478"/>
    <cellStyle name="출력 9 4 5" xfId="18172"/>
    <cellStyle name="출력 9 5" xfId="1126"/>
    <cellStyle name="출력 9 5 2" xfId="2028"/>
    <cellStyle name="출력 9 5 2 2" xfId="15334"/>
    <cellStyle name="출력 9 5 2 2 2" xfId="32475"/>
    <cellStyle name="출력 9 5 2 3" xfId="19171"/>
    <cellStyle name="출력 9 5 3" xfId="14434"/>
    <cellStyle name="출력 9 5 3 2" xfId="31575"/>
    <cellStyle name="출력 9 5 4" xfId="18269"/>
    <cellStyle name="출력 9 6" xfId="1521"/>
    <cellStyle name="출력 9 6 2" xfId="2418"/>
    <cellStyle name="출력 9 6 2 2" xfId="15724"/>
    <cellStyle name="출력 9 6 2 2 2" xfId="32865"/>
    <cellStyle name="출력 9 6 2 3" xfId="19561"/>
    <cellStyle name="출력 9 6 3" xfId="14828"/>
    <cellStyle name="출력 9 6 3 2" xfId="31969"/>
    <cellStyle name="출력 9 6 4" xfId="18664"/>
    <cellStyle name="출력 9 7" xfId="663"/>
    <cellStyle name="출력 9 7 2" xfId="14030"/>
    <cellStyle name="출력 9 7 2 2" xfId="31171"/>
    <cellStyle name="출력 9 7 3" xfId="17806"/>
    <cellStyle name="출력 9 8" xfId="1627"/>
    <cellStyle name="출력 9 8 2" xfId="14933"/>
    <cellStyle name="출력 9 8 2 2" xfId="32074"/>
    <cellStyle name="출력 9 8 3" xfId="18770"/>
    <cellStyle name="출력 9 9" xfId="12924"/>
    <cellStyle name="출력 9 9 2" xfId="16282"/>
    <cellStyle name="출력 9 9 2 2" xfId="33423"/>
    <cellStyle name="출력 9 9 3" xfId="30065"/>
    <cellStyle name="콤? [0]" xfId="36892"/>
    <cellStyle name="콤냡?&lt;_x000f_$??:_x0009_`1_1 " xfId="36893"/>
    <cellStyle name="콤마 [0]_  종  합  " xfId="36894"/>
    <cellStyle name="콤마 [0]-총계" xfId="36895"/>
    <cellStyle name="콤마 [0]-합계" xfId="36896"/>
    <cellStyle name="콤마 [0]-합계2" xfId="36897"/>
    <cellStyle name="콤마 [2]" xfId="35708"/>
    <cellStyle name="콤마,_x0005__x0014_" xfId="36898"/>
    <cellStyle name="콤마_  종  합  " xfId="36899"/>
    <cellStyle name="通貨 [0.00]_正式箇所名" xfId="36900"/>
    <cellStyle name="통화 [0] 2" xfId="34803"/>
    <cellStyle name="通貨_正式箇所名" xfId="36901"/>
    <cellStyle name="튡" xfId="36902"/>
    <cellStyle name="퍼센트" xfId="72"/>
    <cellStyle name="퍼센트 2" xfId="244"/>
    <cellStyle name="퍼센트 2 2" xfId="17387"/>
    <cellStyle name="퍼센트 3" xfId="17244"/>
    <cellStyle name="퍼센트 4" xfId="35709"/>
    <cellStyle name="퍼센트[0.00]" xfId="36903"/>
    <cellStyle name="표" xfId="73"/>
    <cellStyle name="표 2" xfId="17245"/>
    <cellStyle name="표 3" xfId="36904"/>
    <cellStyle name="표준" xfId="0" builtinId="0"/>
    <cellStyle name="표준 10" xfId="488"/>
    <cellStyle name="표준 10 2" xfId="17631"/>
    <cellStyle name="표준 10 3" xfId="34326"/>
    <cellStyle name="표준 11" xfId="489"/>
    <cellStyle name="표준 11 10" xfId="34805"/>
    <cellStyle name="표준 11 11" xfId="34806"/>
    <cellStyle name="표준 11 12" xfId="34807"/>
    <cellStyle name="표준 11 13" xfId="34808"/>
    <cellStyle name="표준 11 14" xfId="34809"/>
    <cellStyle name="표준 11 15" xfId="34810"/>
    <cellStyle name="표준 11 16" xfId="34811"/>
    <cellStyle name="표준 11 17" xfId="34812"/>
    <cellStyle name="표준 11 18" xfId="34813"/>
    <cellStyle name="표준 11 19" xfId="34814"/>
    <cellStyle name="표준 11 2" xfId="953"/>
    <cellStyle name="표준 11 2 2" xfId="13841"/>
    <cellStyle name="표준 11 2 2 2" xfId="30982"/>
    <cellStyle name="표준 11 2 3" xfId="18096"/>
    <cellStyle name="표준 11 2 4" xfId="34815"/>
    <cellStyle name="표준 11 20" xfId="34816"/>
    <cellStyle name="표준 11 21" xfId="34817"/>
    <cellStyle name="표준 11 22" xfId="34804"/>
    <cellStyle name="표준 11 3" xfId="699"/>
    <cellStyle name="표준 11 3 2" xfId="13840"/>
    <cellStyle name="표준 11 3 2 2" xfId="30981"/>
    <cellStyle name="표준 11 3 3" xfId="17842"/>
    <cellStyle name="표준 11 3 4" xfId="34818"/>
    <cellStyle name="표준 11 4" xfId="12971"/>
    <cellStyle name="표준 11 4 2" xfId="30112"/>
    <cellStyle name="표준 11 4 3" xfId="34819"/>
    <cellStyle name="표준 11 5" xfId="13812"/>
    <cellStyle name="표준 11 5 2" xfId="30953"/>
    <cellStyle name="표준 11 5 3" xfId="34820"/>
    <cellStyle name="표준 11 6" xfId="17632"/>
    <cellStyle name="표준 11 6 2" xfId="34821"/>
    <cellStyle name="표준 11 7" xfId="34822"/>
    <cellStyle name="표준 11 8" xfId="34823"/>
    <cellStyle name="표준 11 9" xfId="34824"/>
    <cellStyle name="표준 12" xfId="319"/>
    <cellStyle name="표준 12 10" xfId="34826"/>
    <cellStyle name="표준 12 11" xfId="34827"/>
    <cellStyle name="표준 12 12" xfId="34828"/>
    <cellStyle name="표준 12 13" xfId="34829"/>
    <cellStyle name="표준 12 14" xfId="34830"/>
    <cellStyle name="표준 12 15" xfId="34831"/>
    <cellStyle name="표준 12 16" xfId="34832"/>
    <cellStyle name="표준 12 17" xfId="34833"/>
    <cellStyle name="표준 12 18" xfId="34834"/>
    <cellStyle name="표준 12 19" xfId="34835"/>
    <cellStyle name="표준 12 2" xfId="831"/>
    <cellStyle name="표준 12 2 2" xfId="17974"/>
    <cellStyle name="표준 12 2 3" xfId="34836"/>
    <cellStyle name="표준 12 20" xfId="34837"/>
    <cellStyle name="표준 12 21" xfId="34838"/>
    <cellStyle name="표준 12 22" xfId="34825"/>
    <cellStyle name="표준 12 3" xfId="579"/>
    <cellStyle name="표준 12 3 2" xfId="17722"/>
    <cellStyle name="표준 12 3 3" xfId="34839"/>
    <cellStyle name="표준 12 4" xfId="12819"/>
    <cellStyle name="표준 12 4 2" xfId="29960"/>
    <cellStyle name="표준 12 4 3" xfId="34840"/>
    <cellStyle name="표준 12 5" xfId="13774"/>
    <cellStyle name="표준 12 5 2" xfId="30915"/>
    <cellStyle name="표준 12 5 3" xfId="34841"/>
    <cellStyle name="표준 12 6" xfId="17462"/>
    <cellStyle name="표준 12 6 2" xfId="34842"/>
    <cellStyle name="표준 12 7" xfId="34843"/>
    <cellStyle name="표준 12 8" xfId="34844"/>
    <cellStyle name="표준 12 9" xfId="34845"/>
    <cellStyle name="표준 13" xfId="495"/>
    <cellStyle name="표준 13 10" xfId="34847"/>
    <cellStyle name="표준 13 11" xfId="34848"/>
    <cellStyle name="표준 13 12" xfId="34849"/>
    <cellStyle name="표준 13 13" xfId="34850"/>
    <cellStyle name="표준 13 14" xfId="34851"/>
    <cellStyle name="표준 13 15" xfId="34852"/>
    <cellStyle name="표준 13 16" xfId="34853"/>
    <cellStyle name="표준 13 17" xfId="34854"/>
    <cellStyle name="표준 13 18" xfId="34855"/>
    <cellStyle name="표준 13 19" xfId="34856"/>
    <cellStyle name="표준 13 2" xfId="74"/>
    <cellStyle name="표준 13 2 2" xfId="245"/>
    <cellStyle name="표준 13 2 2 2" xfId="17388"/>
    <cellStyle name="표준 13 2 3" xfId="17246"/>
    <cellStyle name="표준 13 2 4" xfId="34857"/>
    <cellStyle name="표준 13 20" xfId="34858"/>
    <cellStyle name="표준 13 21" xfId="34859"/>
    <cellStyle name="표준 13 22" xfId="34846"/>
    <cellStyle name="표준 13 3" xfId="75"/>
    <cellStyle name="표준 13 3 2" xfId="246"/>
    <cellStyle name="표준 13 3 2 2" xfId="17389"/>
    <cellStyle name="표준 13 3 3" xfId="17247"/>
    <cellStyle name="표준 13 3 4" xfId="34860"/>
    <cellStyle name="표준 13 4" xfId="956"/>
    <cellStyle name="표준 13 4 2" xfId="18099"/>
    <cellStyle name="표준 13 4 3" xfId="34861"/>
    <cellStyle name="표준 13 5" xfId="702"/>
    <cellStyle name="표준 13 5 2" xfId="17845"/>
    <cellStyle name="표준 13 5 3" xfId="34862"/>
    <cellStyle name="표준 13 6" xfId="12976"/>
    <cellStyle name="표준 13 6 2" xfId="30117"/>
    <cellStyle name="표준 13 6 3" xfId="34863"/>
    <cellStyle name="표준 13 7" xfId="13815"/>
    <cellStyle name="표준 13 7 2" xfId="30956"/>
    <cellStyle name="표준 13 7 3" xfId="34864"/>
    <cellStyle name="표준 13 8" xfId="17638"/>
    <cellStyle name="표준 13 8 2" xfId="34865"/>
    <cellStyle name="표준 13 9" xfId="34866"/>
    <cellStyle name="표준 14" xfId="497"/>
    <cellStyle name="표준 14 2" xfId="958"/>
    <cellStyle name="표준 14 2 2" xfId="18101"/>
    <cellStyle name="표준 14 3" xfId="704"/>
    <cellStyle name="표준 14 3 2" xfId="17847"/>
    <cellStyle name="표준 14 4" xfId="12581"/>
    <cellStyle name="표준 14 4 2" xfId="29722"/>
    <cellStyle name="표준 14 5" xfId="12978"/>
    <cellStyle name="표준 14 5 2" xfId="30119"/>
    <cellStyle name="표준 14 6" xfId="13817"/>
    <cellStyle name="표준 14 6 2" xfId="30958"/>
    <cellStyle name="표준 14 7" xfId="17640"/>
    <cellStyle name="표준 14 8" xfId="34867"/>
    <cellStyle name="표준 15" xfId="506"/>
    <cellStyle name="표준 15 2" xfId="17649"/>
    <cellStyle name="표준 15 3" xfId="34868"/>
    <cellStyle name="표준 16" xfId="800"/>
    <cellStyle name="표준 16 2" xfId="17943"/>
    <cellStyle name="표준 16 3" xfId="34869"/>
    <cellStyle name="표준 17" xfId="499"/>
    <cellStyle name="표준 17 2" xfId="17642"/>
    <cellStyle name="표준 17 3" xfId="34870"/>
    <cellStyle name="표준 18" xfId="2449"/>
    <cellStyle name="표준 18 2" xfId="76"/>
    <cellStyle name="표준 18 2 2" xfId="247"/>
    <cellStyle name="표준 18 2 2 2" xfId="17390"/>
    <cellStyle name="표준 18 2 3" xfId="17248"/>
    <cellStyle name="표준 18 3" xfId="77"/>
    <cellStyle name="표준 18 3 2" xfId="248"/>
    <cellStyle name="표준 18 3 2 2" xfId="17391"/>
    <cellStyle name="표준 18 3 3" xfId="17249"/>
    <cellStyle name="표준 18 4" xfId="19592"/>
    <cellStyle name="표준 18 5" xfId="34871"/>
    <cellStyle name="표준 19" xfId="7"/>
    <cellStyle name="표준 19 2" xfId="17183"/>
    <cellStyle name="표준 19 3" xfId="34872"/>
    <cellStyle name="표준 2" xfId="132"/>
    <cellStyle name="표준 2 10" xfId="9776"/>
    <cellStyle name="표준 2 10 10" xfId="26917"/>
    <cellStyle name="표준 2 10 11" xfId="34873"/>
    <cellStyle name="표준 2 10 2" xfId="9777"/>
    <cellStyle name="표준 2 10 2 10" xfId="35019"/>
    <cellStyle name="표준 2 10 2 2" xfId="9778"/>
    <cellStyle name="표준 2 10 2 2 2" xfId="9779"/>
    <cellStyle name="표준 2 10 2 2 2 2" xfId="9780"/>
    <cellStyle name="표준 2 10 2 2 2 2 2" xfId="26921"/>
    <cellStyle name="표준 2 10 2 2 2 3" xfId="26920"/>
    <cellStyle name="표준 2 10 2 2 3" xfId="9781"/>
    <cellStyle name="표준 2 10 2 2 3 2" xfId="9782"/>
    <cellStyle name="표준 2 10 2 2 3 2 2" xfId="26923"/>
    <cellStyle name="표준 2 10 2 2 3 3" xfId="26922"/>
    <cellStyle name="표준 2 10 2 2 4" xfId="9783"/>
    <cellStyle name="표준 2 10 2 2 4 2" xfId="9784"/>
    <cellStyle name="표준 2 10 2 2 4 2 2" xfId="26925"/>
    <cellStyle name="표준 2 10 2 2 4 3" xfId="26924"/>
    <cellStyle name="표준 2 10 2 2 5" xfId="9785"/>
    <cellStyle name="표준 2 10 2 2 5 2" xfId="9786"/>
    <cellStyle name="표준 2 10 2 2 5 2 2" xfId="26927"/>
    <cellStyle name="표준 2 10 2 2 5 3" xfId="26926"/>
    <cellStyle name="표준 2 10 2 2 6" xfId="9787"/>
    <cellStyle name="표준 2 10 2 2 6 2" xfId="26928"/>
    <cellStyle name="표준 2 10 2 2 7" xfId="26919"/>
    <cellStyle name="표준 2 10 2 3" xfId="9788"/>
    <cellStyle name="표준 2 10 2 3 2" xfId="9789"/>
    <cellStyle name="표준 2 10 2 3 2 2" xfId="9790"/>
    <cellStyle name="표준 2 10 2 3 2 2 2" xfId="26931"/>
    <cellStyle name="표준 2 10 2 3 2 3" xfId="26930"/>
    <cellStyle name="표준 2 10 2 3 3" xfId="9791"/>
    <cellStyle name="표준 2 10 2 3 3 2" xfId="9792"/>
    <cellStyle name="표준 2 10 2 3 3 2 2" xfId="26933"/>
    <cellStyle name="표준 2 10 2 3 3 3" xfId="26932"/>
    <cellStyle name="표준 2 10 2 3 4" xfId="9793"/>
    <cellStyle name="표준 2 10 2 3 4 2" xfId="9794"/>
    <cellStyle name="표준 2 10 2 3 4 2 2" xfId="26935"/>
    <cellStyle name="표준 2 10 2 3 4 3" xfId="26934"/>
    <cellStyle name="표준 2 10 2 3 5" xfId="9795"/>
    <cellStyle name="표준 2 10 2 3 5 2" xfId="9796"/>
    <cellStyle name="표준 2 10 2 3 5 2 2" xfId="26937"/>
    <cellStyle name="표준 2 10 2 3 5 3" xfId="26936"/>
    <cellStyle name="표준 2 10 2 3 6" xfId="9797"/>
    <cellStyle name="표준 2 10 2 3 6 2" xfId="26938"/>
    <cellStyle name="표준 2 10 2 3 7" xfId="26929"/>
    <cellStyle name="표준 2 10 2 4" xfId="9798"/>
    <cellStyle name="표준 2 10 2 4 2" xfId="9799"/>
    <cellStyle name="표준 2 10 2 4 2 2" xfId="26940"/>
    <cellStyle name="표준 2 10 2 4 3" xfId="26939"/>
    <cellStyle name="표준 2 10 2 5" xfId="9800"/>
    <cellStyle name="표준 2 10 2 5 2" xfId="9801"/>
    <cellStyle name="표준 2 10 2 5 2 2" xfId="26942"/>
    <cellStyle name="표준 2 10 2 5 3" xfId="26941"/>
    <cellStyle name="표준 2 10 2 6" xfId="9802"/>
    <cellStyle name="표준 2 10 2 6 2" xfId="9803"/>
    <cellStyle name="표준 2 10 2 6 2 2" xfId="26944"/>
    <cellStyle name="표준 2 10 2 6 3" xfId="26943"/>
    <cellStyle name="표준 2 10 2 7" xfId="9804"/>
    <cellStyle name="표준 2 10 2 7 2" xfId="9805"/>
    <cellStyle name="표준 2 10 2 7 2 2" xfId="26946"/>
    <cellStyle name="표준 2 10 2 7 3" xfId="26945"/>
    <cellStyle name="표준 2 10 2 8" xfId="9806"/>
    <cellStyle name="표준 2 10 2 8 2" xfId="26947"/>
    <cellStyle name="표준 2 10 2 9" xfId="26918"/>
    <cellStyle name="표준 2 10 3" xfId="9807"/>
    <cellStyle name="표준 2 10 3 2" xfId="9808"/>
    <cellStyle name="표준 2 10 3 2 2" xfId="9809"/>
    <cellStyle name="표준 2 10 3 2 2 2" xfId="26950"/>
    <cellStyle name="표준 2 10 3 2 3" xfId="26949"/>
    <cellStyle name="표준 2 10 3 3" xfId="9810"/>
    <cellStyle name="표준 2 10 3 3 2" xfId="9811"/>
    <cellStyle name="표준 2 10 3 3 2 2" xfId="26952"/>
    <cellStyle name="표준 2 10 3 3 3" xfId="26951"/>
    <cellStyle name="표준 2 10 3 4" xfId="9812"/>
    <cellStyle name="표준 2 10 3 4 2" xfId="9813"/>
    <cellStyle name="표준 2 10 3 4 2 2" xfId="26954"/>
    <cellStyle name="표준 2 10 3 4 3" xfId="26953"/>
    <cellStyle name="표준 2 10 3 5" xfId="9814"/>
    <cellStyle name="표준 2 10 3 5 2" xfId="9815"/>
    <cellStyle name="표준 2 10 3 5 2 2" xfId="26956"/>
    <cellStyle name="표준 2 10 3 5 3" xfId="26955"/>
    <cellStyle name="표준 2 10 3 6" xfId="9816"/>
    <cellStyle name="표준 2 10 3 6 2" xfId="26957"/>
    <cellStyle name="표준 2 10 3 7" xfId="26948"/>
    <cellStyle name="표준 2 10 4" xfId="9817"/>
    <cellStyle name="표준 2 10 4 2" xfId="9818"/>
    <cellStyle name="표준 2 10 4 2 2" xfId="9819"/>
    <cellStyle name="표준 2 10 4 2 2 2" xfId="26960"/>
    <cellStyle name="표준 2 10 4 2 3" xfId="26959"/>
    <cellStyle name="표준 2 10 4 3" xfId="9820"/>
    <cellStyle name="표준 2 10 4 3 2" xfId="9821"/>
    <cellStyle name="표준 2 10 4 3 2 2" xfId="26962"/>
    <cellStyle name="표준 2 10 4 3 3" xfId="26961"/>
    <cellStyle name="표준 2 10 4 4" xfId="9822"/>
    <cellStyle name="표준 2 10 4 4 2" xfId="9823"/>
    <cellStyle name="표준 2 10 4 4 2 2" xfId="26964"/>
    <cellStyle name="표준 2 10 4 4 3" xfId="26963"/>
    <cellStyle name="표준 2 10 4 5" xfId="9824"/>
    <cellStyle name="표준 2 10 4 5 2" xfId="9825"/>
    <cellStyle name="표준 2 10 4 5 2 2" xfId="26966"/>
    <cellStyle name="표준 2 10 4 5 3" xfId="26965"/>
    <cellStyle name="표준 2 10 4 6" xfId="9826"/>
    <cellStyle name="표준 2 10 4 6 2" xfId="26967"/>
    <cellStyle name="표준 2 10 4 7" xfId="26958"/>
    <cellStyle name="표준 2 10 5" xfId="9827"/>
    <cellStyle name="표준 2 10 5 2" xfId="9828"/>
    <cellStyle name="표준 2 10 5 2 2" xfId="26969"/>
    <cellStyle name="표준 2 10 5 3" xfId="26968"/>
    <cellStyle name="표준 2 10 6" xfId="9829"/>
    <cellStyle name="표준 2 10 6 2" xfId="9830"/>
    <cellStyle name="표준 2 10 6 2 2" xfId="26971"/>
    <cellStyle name="표준 2 10 6 3" xfId="26970"/>
    <cellStyle name="표준 2 10 7" xfId="9831"/>
    <cellStyle name="표준 2 10 7 2" xfId="9832"/>
    <cellStyle name="표준 2 10 7 2 2" xfId="26973"/>
    <cellStyle name="표준 2 10 7 3" xfId="26972"/>
    <cellStyle name="표준 2 10 8" xfId="9833"/>
    <cellStyle name="표준 2 10 8 2" xfId="9834"/>
    <cellStyle name="표준 2 10 8 2 2" xfId="26975"/>
    <cellStyle name="표준 2 10 8 3" xfId="26974"/>
    <cellStyle name="표준 2 10 9" xfId="9835"/>
    <cellStyle name="표준 2 10 9 2" xfId="26976"/>
    <cellStyle name="표준 2 11" xfId="9836"/>
    <cellStyle name="표준 2 11 10" xfId="26977"/>
    <cellStyle name="표준 2 11 11" xfId="34874"/>
    <cellStyle name="표준 2 11 2" xfId="9837"/>
    <cellStyle name="표준 2 11 2 2" xfId="9838"/>
    <cellStyle name="표준 2 11 2 2 2" xfId="9839"/>
    <cellStyle name="표준 2 11 2 2 2 2" xfId="9840"/>
    <cellStyle name="표준 2 11 2 2 2 2 2" xfId="26981"/>
    <cellStyle name="표준 2 11 2 2 2 3" xfId="26980"/>
    <cellStyle name="표준 2 11 2 2 3" xfId="9841"/>
    <cellStyle name="표준 2 11 2 2 3 2" xfId="9842"/>
    <cellStyle name="표준 2 11 2 2 3 2 2" xfId="26983"/>
    <cellStyle name="표준 2 11 2 2 3 3" xfId="26982"/>
    <cellStyle name="표준 2 11 2 2 4" xfId="9843"/>
    <cellStyle name="표준 2 11 2 2 4 2" xfId="9844"/>
    <cellStyle name="표준 2 11 2 2 4 2 2" xfId="26985"/>
    <cellStyle name="표준 2 11 2 2 4 3" xfId="26984"/>
    <cellStyle name="표준 2 11 2 2 5" xfId="9845"/>
    <cellStyle name="표준 2 11 2 2 5 2" xfId="9846"/>
    <cellStyle name="표준 2 11 2 2 5 2 2" xfId="26987"/>
    <cellStyle name="표준 2 11 2 2 5 3" xfId="26986"/>
    <cellStyle name="표준 2 11 2 2 6" xfId="9847"/>
    <cellStyle name="표준 2 11 2 2 6 2" xfId="26988"/>
    <cellStyle name="표준 2 11 2 2 7" xfId="26979"/>
    <cellStyle name="표준 2 11 2 3" xfId="9848"/>
    <cellStyle name="표준 2 11 2 3 2" xfId="9849"/>
    <cellStyle name="표준 2 11 2 3 2 2" xfId="9850"/>
    <cellStyle name="표준 2 11 2 3 2 2 2" xfId="26991"/>
    <cellStyle name="표준 2 11 2 3 2 3" xfId="26990"/>
    <cellStyle name="표준 2 11 2 3 3" xfId="9851"/>
    <cellStyle name="표준 2 11 2 3 3 2" xfId="9852"/>
    <cellStyle name="표준 2 11 2 3 3 2 2" xfId="26993"/>
    <cellStyle name="표준 2 11 2 3 3 3" xfId="26992"/>
    <cellStyle name="표준 2 11 2 3 4" xfId="9853"/>
    <cellStyle name="표준 2 11 2 3 4 2" xfId="9854"/>
    <cellStyle name="표준 2 11 2 3 4 2 2" xfId="26995"/>
    <cellStyle name="표준 2 11 2 3 4 3" xfId="26994"/>
    <cellStyle name="표준 2 11 2 3 5" xfId="9855"/>
    <cellStyle name="표준 2 11 2 3 5 2" xfId="9856"/>
    <cellStyle name="표준 2 11 2 3 5 2 2" xfId="26997"/>
    <cellStyle name="표준 2 11 2 3 5 3" xfId="26996"/>
    <cellStyle name="표준 2 11 2 3 6" xfId="9857"/>
    <cellStyle name="표준 2 11 2 3 6 2" xfId="26998"/>
    <cellStyle name="표준 2 11 2 3 7" xfId="26989"/>
    <cellStyle name="표준 2 11 2 4" xfId="9858"/>
    <cellStyle name="표준 2 11 2 4 2" xfId="9859"/>
    <cellStyle name="표준 2 11 2 4 2 2" xfId="27000"/>
    <cellStyle name="표준 2 11 2 4 3" xfId="26999"/>
    <cellStyle name="표준 2 11 2 5" xfId="9860"/>
    <cellStyle name="표준 2 11 2 5 2" xfId="9861"/>
    <cellStyle name="표준 2 11 2 5 2 2" xfId="27002"/>
    <cellStyle name="표준 2 11 2 5 3" xfId="27001"/>
    <cellStyle name="표준 2 11 2 6" xfId="9862"/>
    <cellStyle name="표준 2 11 2 6 2" xfId="9863"/>
    <cellStyle name="표준 2 11 2 6 2 2" xfId="27004"/>
    <cellStyle name="표준 2 11 2 6 3" xfId="27003"/>
    <cellStyle name="표준 2 11 2 7" xfId="9864"/>
    <cellStyle name="표준 2 11 2 7 2" xfId="9865"/>
    <cellStyle name="표준 2 11 2 7 2 2" xfId="27006"/>
    <cellStyle name="표준 2 11 2 7 3" xfId="27005"/>
    <cellStyle name="표준 2 11 2 8" xfId="9866"/>
    <cellStyle name="표준 2 11 2 8 2" xfId="27007"/>
    <cellStyle name="표준 2 11 2 9" xfId="26978"/>
    <cellStyle name="표준 2 11 3" xfId="9867"/>
    <cellStyle name="표준 2 11 3 2" xfId="9868"/>
    <cellStyle name="표준 2 11 3 2 2" xfId="9869"/>
    <cellStyle name="표준 2 11 3 2 2 2" xfId="27010"/>
    <cellStyle name="표준 2 11 3 2 3" xfId="27009"/>
    <cellStyle name="표준 2 11 3 3" xfId="9870"/>
    <cellStyle name="표준 2 11 3 3 2" xfId="9871"/>
    <cellStyle name="표준 2 11 3 3 2 2" xfId="27012"/>
    <cellStyle name="표준 2 11 3 3 3" xfId="27011"/>
    <cellStyle name="표준 2 11 3 4" xfId="9872"/>
    <cellStyle name="표준 2 11 3 4 2" xfId="9873"/>
    <cellStyle name="표준 2 11 3 4 2 2" xfId="27014"/>
    <cellStyle name="표준 2 11 3 4 3" xfId="27013"/>
    <cellStyle name="표준 2 11 3 5" xfId="9874"/>
    <cellStyle name="표준 2 11 3 5 2" xfId="9875"/>
    <cellStyle name="표준 2 11 3 5 2 2" xfId="27016"/>
    <cellStyle name="표준 2 11 3 5 3" xfId="27015"/>
    <cellStyle name="표준 2 11 3 6" xfId="9876"/>
    <cellStyle name="표준 2 11 3 6 2" xfId="27017"/>
    <cellStyle name="표준 2 11 3 7" xfId="27008"/>
    <cellStyle name="표준 2 11 4" xfId="9877"/>
    <cellStyle name="표준 2 11 4 2" xfId="9878"/>
    <cellStyle name="표준 2 11 4 2 2" xfId="9879"/>
    <cellStyle name="표준 2 11 4 2 2 2" xfId="27020"/>
    <cellStyle name="표준 2 11 4 2 3" xfId="27019"/>
    <cellStyle name="표준 2 11 4 3" xfId="9880"/>
    <cellStyle name="표준 2 11 4 3 2" xfId="9881"/>
    <cellStyle name="표준 2 11 4 3 2 2" xfId="27022"/>
    <cellStyle name="표준 2 11 4 3 3" xfId="27021"/>
    <cellStyle name="표준 2 11 4 4" xfId="9882"/>
    <cellStyle name="표준 2 11 4 4 2" xfId="9883"/>
    <cellStyle name="표준 2 11 4 4 2 2" xfId="27024"/>
    <cellStyle name="표준 2 11 4 4 3" xfId="27023"/>
    <cellStyle name="표준 2 11 4 5" xfId="9884"/>
    <cellStyle name="표준 2 11 4 5 2" xfId="9885"/>
    <cellStyle name="표준 2 11 4 5 2 2" xfId="27026"/>
    <cellStyle name="표준 2 11 4 5 3" xfId="27025"/>
    <cellStyle name="표준 2 11 4 6" xfId="9886"/>
    <cellStyle name="표준 2 11 4 6 2" xfId="27027"/>
    <cellStyle name="표준 2 11 4 7" xfId="27018"/>
    <cellStyle name="표준 2 11 5" xfId="9887"/>
    <cellStyle name="표준 2 11 5 2" xfId="9888"/>
    <cellStyle name="표준 2 11 5 2 2" xfId="27029"/>
    <cellStyle name="표준 2 11 5 3" xfId="27028"/>
    <cellStyle name="표준 2 11 6" xfId="9889"/>
    <cellStyle name="표준 2 11 6 2" xfId="9890"/>
    <cellStyle name="표준 2 11 6 2 2" xfId="27031"/>
    <cellStyle name="표준 2 11 6 3" xfId="27030"/>
    <cellStyle name="표준 2 11 7" xfId="9891"/>
    <cellStyle name="표준 2 11 7 2" xfId="9892"/>
    <cellStyle name="표준 2 11 7 2 2" xfId="27033"/>
    <cellStyle name="표준 2 11 7 3" xfId="27032"/>
    <cellStyle name="표준 2 11 8" xfId="9893"/>
    <cellStyle name="표준 2 11 8 2" xfId="9894"/>
    <cellStyle name="표준 2 11 8 2 2" xfId="27035"/>
    <cellStyle name="표준 2 11 8 3" xfId="27034"/>
    <cellStyle name="표준 2 11 9" xfId="9895"/>
    <cellStyle name="표준 2 11 9 2" xfId="27036"/>
    <cellStyle name="표준 2 12" xfId="9896"/>
    <cellStyle name="표준 2 12 10" xfId="27037"/>
    <cellStyle name="표준 2 12 11" xfId="34875"/>
    <cellStyle name="표준 2 12 2" xfId="9897"/>
    <cellStyle name="표준 2 12 2 2" xfId="9898"/>
    <cellStyle name="표준 2 12 2 2 2" xfId="9899"/>
    <cellStyle name="표준 2 12 2 2 2 2" xfId="9900"/>
    <cellStyle name="표준 2 12 2 2 2 2 2" xfId="27041"/>
    <cellStyle name="표준 2 12 2 2 2 3" xfId="27040"/>
    <cellStyle name="표준 2 12 2 2 3" xfId="9901"/>
    <cellStyle name="표준 2 12 2 2 3 2" xfId="9902"/>
    <cellStyle name="표준 2 12 2 2 3 2 2" xfId="27043"/>
    <cellStyle name="표준 2 12 2 2 3 3" xfId="27042"/>
    <cellStyle name="표준 2 12 2 2 4" xfId="9903"/>
    <cellStyle name="표준 2 12 2 2 4 2" xfId="9904"/>
    <cellStyle name="표준 2 12 2 2 4 2 2" xfId="27045"/>
    <cellStyle name="표준 2 12 2 2 4 3" xfId="27044"/>
    <cellStyle name="표준 2 12 2 2 5" xfId="9905"/>
    <cellStyle name="표준 2 12 2 2 5 2" xfId="9906"/>
    <cellStyle name="표준 2 12 2 2 5 2 2" xfId="27047"/>
    <cellStyle name="표준 2 12 2 2 5 3" xfId="27046"/>
    <cellStyle name="표준 2 12 2 2 6" xfId="9907"/>
    <cellStyle name="표준 2 12 2 2 6 2" xfId="27048"/>
    <cellStyle name="표준 2 12 2 2 7" xfId="27039"/>
    <cellStyle name="표준 2 12 2 3" xfId="9908"/>
    <cellStyle name="표준 2 12 2 3 2" xfId="9909"/>
    <cellStyle name="표준 2 12 2 3 2 2" xfId="9910"/>
    <cellStyle name="표준 2 12 2 3 2 2 2" xfId="27051"/>
    <cellStyle name="표준 2 12 2 3 2 3" xfId="27050"/>
    <cellStyle name="표준 2 12 2 3 3" xfId="9911"/>
    <cellStyle name="표준 2 12 2 3 3 2" xfId="9912"/>
    <cellStyle name="표준 2 12 2 3 3 2 2" xfId="27053"/>
    <cellStyle name="표준 2 12 2 3 3 3" xfId="27052"/>
    <cellStyle name="표준 2 12 2 3 4" xfId="9913"/>
    <cellStyle name="표준 2 12 2 3 4 2" xfId="9914"/>
    <cellStyle name="표준 2 12 2 3 4 2 2" xfId="27055"/>
    <cellStyle name="표준 2 12 2 3 4 3" xfId="27054"/>
    <cellStyle name="표준 2 12 2 3 5" xfId="9915"/>
    <cellStyle name="표준 2 12 2 3 5 2" xfId="9916"/>
    <cellStyle name="표준 2 12 2 3 5 2 2" xfId="27057"/>
    <cellStyle name="표준 2 12 2 3 5 3" xfId="27056"/>
    <cellStyle name="표준 2 12 2 3 6" xfId="9917"/>
    <cellStyle name="표준 2 12 2 3 6 2" xfId="27058"/>
    <cellStyle name="표준 2 12 2 3 7" xfId="27049"/>
    <cellStyle name="표준 2 12 2 4" xfId="9918"/>
    <cellStyle name="표준 2 12 2 4 2" xfId="9919"/>
    <cellStyle name="표준 2 12 2 4 2 2" xfId="27060"/>
    <cellStyle name="표준 2 12 2 4 3" xfId="27059"/>
    <cellStyle name="표준 2 12 2 5" xfId="9920"/>
    <cellStyle name="표준 2 12 2 5 2" xfId="9921"/>
    <cellStyle name="표준 2 12 2 5 2 2" xfId="27062"/>
    <cellStyle name="표준 2 12 2 5 3" xfId="27061"/>
    <cellStyle name="표준 2 12 2 6" xfId="9922"/>
    <cellStyle name="표준 2 12 2 6 2" xfId="9923"/>
    <cellStyle name="표준 2 12 2 6 2 2" xfId="27064"/>
    <cellStyle name="표준 2 12 2 6 3" xfId="27063"/>
    <cellStyle name="표준 2 12 2 7" xfId="9924"/>
    <cellStyle name="표준 2 12 2 7 2" xfId="9925"/>
    <cellStyle name="표준 2 12 2 7 2 2" xfId="27066"/>
    <cellStyle name="표준 2 12 2 7 3" xfId="27065"/>
    <cellStyle name="표준 2 12 2 8" xfId="9926"/>
    <cellStyle name="표준 2 12 2 8 2" xfId="27067"/>
    <cellStyle name="표준 2 12 2 9" xfId="27038"/>
    <cellStyle name="표준 2 12 3" xfId="9927"/>
    <cellStyle name="표준 2 12 3 2" xfId="9928"/>
    <cellStyle name="표준 2 12 3 2 2" xfId="9929"/>
    <cellStyle name="표준 2 12 3 2 2 2" xfId="27070"/>
    <cellStyle name="표준 2 12 3 2 3" xfId="27069"/>
    <cellStyle name="표준 2 12 3 3" xfId="9930"/>
    <cellStyle name="표준 2 12 3 3 2" xfId="9931"/>
    <cellStyle name="표준 2 12 3 3 2 2" xfId="27072"/>
    <cellStyle name="표준 2 12 3 3 3" xfId="27071"/>
    <cellStyle name="표준 2 12 3 4" xfId="9932"/>
    <cellStyle name="표준 2 12 3 4 2" xfId="9933"/>
    <cellStyle name="표준 2 12 3 4 2 2" xfId="27074"/>
    <cellStyle name="표준 2 12 3 4 3" xfId="27073"/>
    <cellStyle name="표준 2 12 3 5" xfId="9934"/>
    <cellStyle name="표준 2 12 3 5 2" xfId="9935"/>
    <cellStyle name="표준 2 12 3 5 2 2" xfId="27076"/>
    <cellStyle name="표준 2 12 3 5 3" xfId="27075"/>
    <cellStyle name="표준 2 12 3 6" xfId="9936"/>
    <cellStyle name="표준 2 12 3 6 2" xfId="27077"/>
    <cellStyle name="표준 2 12 3 7" xfId="27068"/>
    <cellStyle name="표준 2 12 4" xfId="9937"/>
    <cellStyle name="표준 2 12 4 2" xfId="9938"/>
    <cellStyle name="표준 2 12 4 2 2" xfId="9939"/>
    <cellStyle name="표준 2 12 4 2 2 2" xfId="27080"/>
    <cellStyle name="표준 2 12 4 2 3" xfId="27079"/>
    <cellStyle name="표준 2 12 4 3" xfId="9940"/>
    <cellStyle name="표준 2 12 4 3 2" xfId="9941"/>
    <cellStyle name="표준 2 12 4 3 2 2" xfId="27082"/>
    <cellStyle name="표준 2 12 4 3 3" xfId="27081"/>
    <cellStyle name="표준 2 12 4 4" xfId="9942"/>
    <cellStyle name="표준 2 12 4 4 2" xfId="9943"/>
    <cellStyle name="표준 2 12 4 4 2 2" xfId="27084"/>
    <cellStyle name="표준 2 12 4 4 3" xfId="27083"/>
    <cellStyle name="표준 2 12 4 5" xfId="9944"/>
    <cellStyle name="표준 2 12 4 5 2" xfId="9945"/>
    <cellStyle name="표준 2 12 4 5 2 2" xfId="27086"/>
    <cellStyle name="표준 2 12 4 5 3" xfId="27085"/>
    <cellStyle name="표준 2 12 4 6" xfId="9946"/>
    <cellStyle name="표준 2 12 4 6 2" xfId="27087"/>
    <cellStyle name="표준 2 12 4 7" xfId="27078"/>
    <cellStyle name="표준 2 12 5" xfId="9947"/>
    <cellStyle name="표준 2 12 5 2" xfId="9948"/>
    <cellStyle name="표준 2 12 5 2 2" xfId="27089"/>
    <cellStyle name="표준 2 12 5 3" xfId="27088"/>
    <cellStyle name="표준 2 12 6" xfId="9949"/>
    <cellStyle name="표준 2 12 6 2" xfId="9950"/>
    <cellStyle name="표준 2 12 6 2 2" xfId="27091"/>
    <cellStyle name="표준 2 12 6 3" xfId="27090"/>
    <cellStyle name="표준 2 12 7" xfId="9951"/>
    <cellStyle name="표준 2 12 7 2" xfId="9952"/>
    <cellStyle name="표준 2 12 7 2 2" xfId="27093"/>
    <cellStyle name="표준 2 12 7 3" xfId="27092"/>
    <cellStyle name="표준 2 12 8" xfId="9953"/>
    <cellStyle name="표준 2 12 8 2" xfId="9954"/>
    <cellStyle name="표준 2 12 8 2 2" xfId="27095"/>
    <cellStyle name="표준 2 12 8 3" xfId="27094"/>
    <cellStyle name="표준 2 12 9" xfId="9955"/>
    <cellStyle name="표준 2 12 9 2" xfId="27096"/>
    <cellStyle name="표준 2 13" xfId="9956"/>
    <cellStyle name="표준 2 13 10" xfId="27097"/>
    <cellStyle name="표준 2 13 11" xfId="34876"/>
    <cellStyle name="표준 2 13 2" xfId="9957"/>
    <cellStyle name="표준 2 13 2 2" xfId="9958"/>
    <cellStyle name="표준 2 13 2 2 2" xfId="9959"/>
    <cellStyle name="표준 2 13 2 2 2 2" xfId="9960"/>
    <cellStyle name="표준 2 13 2 2 2 2 2" xfId="27101"/>
    <cellStyle name="표준 2 13 2 2 2 3" xfId="27100"/>
    <cellStyle name="표준 2 13 2 2 3" xfId="9961"/>
    <cellStyle name="표준 2 13 2 2 3 2" xfId="9962"/>
    <cellStyle name="표준 2 13 2 2 3 2 2" xfId="27103"/>
    <cellStyle name="표준 2 13 2 2 3 3" xfId="27102"/>
    <cellStyle name="표준 2 13 2 2 4" xfId="9963"/>
    <cellStyle name="표준 2 13 2 2 4 2" xfId="9964"/>
    <cellStyle name="표준 2 13 2 2 4 2 2" xfId="27105"/>
    <cellStyle name="표준 2 13 2 2 4 3" xfId="27104"/>
    <cellStyle name="표준 2 13 2 2 5" xfId="9965"/>
    <cellStyle name="표준 2 13 2 2 5 2" xfId="9966"/>
    <cellStyle name="표준 2 13 2 2 5 2 2" xfId="27107"/>
    <cellStyle name="표준 2 13 2 2 5 3" xfId="27106"/>
    <cellStyle name="표준 2 13 2 2 6" xfId="9967"/>
    <cellStyle name="표준 2 13 2 2 6 2" xfId="27108"/>
    <cellStyle name="표준 2 13 2 2 7" xfId="27099"/>
    <cellStyle name="표준 2 13 2 3" xfId="9968"/>
    <cellStyle name="표준 2 13 2 3 2" xfId="9969"/>
    <cellStyle name="표준 2 13 2 3 2 2" xfId="9970"/>
    <cellStyle name="표준 2 13 2 3 2 2 2" xfId="27111"/>
    <cellStyle name="표준 2 13 2 3 2 3" xfId="27110"/>
    <cellStyle name="표준 2 13 2 3 3" xfId="9971"/>
    <cellStyle name="표준 2 13 2 3 3 2" xfId="9972"/>
    <cellStyle name="표준 2 13 2 3 3 2 2" xfId="27113"/>
    <cellStyle name="표준 2 13 2 3 3 3" xfId="27112"/>
    <cellStyle name="표준 2 13 2 3 4" xfId="9973"/>
    <cellStyle name="표준 2 13 2 3 4 2" xfId="9974"/>
    <cellStyle name="표준 2 13 2 3 4 2 2" xfId="27115"/>
    <cellStyle name="표준 2 13 2 3 4 3" xfId="27114"/>
    <cellStyle name="표준 2 13 2 3 5" xfId="9975"/>
    <cellStyle name="표준 2 13 2 3 5 2" xfId="9976"/>
    <cellStyle name="표준 2 13 2 3 5 2 2" xfId="27117"/>
    <cellStyle name="표준 2 13 2 3 5 3" xfId="27116"/>
    <cellStyle name="표준 2 13 2 3 6" xfId="9977"/>
    <cellStyle name="표준 2 13 2 3 6 2" xfId="27118"/>
    <cellStyle name="표준 2 13 2 3 7" xfId="27109"/>
    <cellStyle name="표준 2 13 2 4" xfId="9978"/>
    <cellStyle name="표준 2 13 2 4 2" xfId="9979"/>
    <cellStyle name="표준 2 13 2 4 2 2" xfId="27120"/>
    <cellStyle name="표준 2 13 2 4 3" xfId="27119"/>
    <cellStyle name="표준 2 13 2 5" xfId="9980"/>
    <cellStyle name="표준 2 13 2 5 2" xfId="9981"/>
    <cellStyle name="표준 2 13 2 5 2 2" xfId="27122"/>
    <cellStyle name="표준 2 13 2 5 3" xfId="27121"/>
    <cellStyle name="표준 2 13 2 6" xfId="9982"/>
    <cellStyle name="표준 2 13 2 6 2" xfId="9983"/>
    <cellStyle name="표준 2 13 2 6 2 2" xfId="27124"/>
    <cellStyle name="표준 2 13 2 6 3" xfId="27123"/>
    <cellStyle name="표준 2 13 2 7" xfId="9984"/>
    <cellStyle name="표준 2 13 2 7 2" xfId="9985"/>
    <cellStyle name="표준 2 13 2 7 2 2" xfId="27126"/>
    <cellStyle name="표준 2 13 2 7 3" xfId="27125"/>
    <cellStyle name="표준 2 13 2 8" xfId="9986"/>
    <cellStyle name="표준 2 13 2 8 2" xfId="27127"/>
    <cellStyle name="표준 2 13 2 9" xfId="27098"/>
    <cellStyle name="표준 2 13 3" xfId="9987"/>
    <cellStyle name="표준 2 13 3 2" xfId="9988"/>
    <cellStyle name="표준 2 13 3 2 2" xfId="9989"/>
    <cellStyle name="표준 2 13 3 2 2 2" xfId="27130"/>
    <cellStyle name="표준 2 13 3 2 3" xfId="27129"/>
    <cellStyle name="표준 2 13 3 3" xfId="9990"/>
    <cellStyle name="표준 2 13 3 3 2" xfId="9991"/>
    <cellStyle name="표준 2 13 3 3 2 2" xfId="27132"/>
    <cellStyle name="표준 2 13 3 3 3" xfId="27131"/>
    <cellStyle name="표준 2 13 3 4" xfId="9992"/>
    <cellStyle name="표준 2 13 3 4 2" xfId="9993"/>
    <cellStyle name="표준 2 13 3 4 2 2" xfId="27134"/>
    <cellStyle name="표준 2 13 3 4 3" xfId="27133"/>
    <cellStyle name="표준 2 13 3 5" xfId="9994"/>
    <cellStyle name="표준 2 13 3 5 2" xfId="9995"/>
    <cellStyle name="표준 2 13 3 5 2 2" xfId="27136"/>
    <cellStyle name="표준 2 13 3 5 3" xfId="27135"/>
    <cellStyle name="표준 2 13 3 6" xfId="9996"/>
    <cellStyle name="표준 2 13 3 6 2" xfId="27137"/>
    <cellStyle name="표준 2 13 3 7" xfId="27128"/>
    <cellStyle name="표준 2 13 4" xfId="9997"/>
    <cellStyle name="표준 2 13 4 2" xfId="9998"/>
    <cellStyle name="표준 2 13 4 2 2" xfId="9999"/>
    <cellStyle name="표준 2 13 4 2 2 2" xfId="27140"/>
    <cellStyle name="표준 2 13 4 2 3" xfId="27139"/>
    <cellStyle name="표준 2 13 4 3" xfId="10000"/>
    <cellStyle name="표준 2 13 4 3 2" xfId="10001"/>
    <cellStyle name="표준 2 13 4 3 2 2" xfId="27142"/>
    <cellStyle name="표준 2 13 4 3 3" xfId="27141"/>
    <cellStyle name="표준 2 13 4 4" xfId="10002"/>
    <cellStyle name="표준 2 13 4 4 2" xfId="10003"/>
    <cellStyle name="표준 2 13 4 4 2 2" xfId="27144"/>
    <cellStyle name="표준 2 13 4 4 3" xfId="27143"/>
    <cellStyle name="표준 2 13 4 5" xfId="10004"/>
    <cellStyle name="표준 2 13 4 5 2" xfId="10005"/>
    <cellStyle name="표준 2 13 4 5 2 2" xfId="27146"/>
    <cellStyle name="표준 2 13 4 5 3" xfId="27145"/>
    <cellStyle name="표준 2 13 4 6" xfId="10006"/>
    <cellStyle name="표준 2 13 4 6 2" xfId="27147"/>
    <cellStyle name="표준 2 13 4 7" xfId="27138"/>
    <cellStyle name="표준 2 13 5" xfId="10007"/>
    <cellStyle name="표준 2 13 5 2" xfId="10008"/>
    <cellStyle name="표준 2 13 5 2 2" xfId="27149"/>
    <cellStyle name="표준 2 13 5 3" xfId="27148"/>
    <cellStyle name="표준 2 13 6" xfId="10009"/>
    <cellStyle name="표준 2 13 6 2" xfId="10010"/>
    <cellStyle name="표준 2 13 6 2 2" xfId="27151"/>
    <cellStyle name="표준 2 13 6 3" xfId="27150"/>
    <cellStyle name="표준 2 13 7" xfId="10011"/>
    <cellStyle name="표준 2 13 7 2" xfId="10012"/>
    <cellStyle name="표준 2 13 7 2 2" xfId="27153"/>
    <cellStyle name="표준 2 13 7 3" xfId="27152"/>
    <cellStyle name="표준 2 13 8" xfId="10013"/>
    <cellStyle name="표준 2 13 8 2" xfId="10014"/>
    <cellStyle name="표준 2 13 8 2 2" xfId="27155"/>
    <cellStyle name="표준 2 13 8 3" xfId="27154"/>
    <cellStyle name="표준 2 13 9" xfId="10015"/>
    <cellStyle name="표준 2 13 9 2" xfId="27156"/>
    <cellStyle name="표준 2 133" xfId="179"/>
    <cellStyle name="표준 2 133 2" xfId="17322"/>
    <cellStyle name="표준 2 14" xfId="10016"/>
    <cellStyle name="표준 2 14 10" xfId="27157"/>
    <cellStyle name="표준 2 14 11" xfId="34325"/>
    <cellStyle name="표준 2 14 2" xfId="10017"/>
    <cellStyle name="표준 2 14 2 2" xfId="10018"/>
    <cellStyle name="표준 2 14 2 2 2" xfId="10019"/>
    <cellStyle name="표준 2 14 2 2 2 2" xfId="10020"/>
    <cellStyle name="표준 2 14 2 2 2 2 2" xfId="27161"/>
    <cellStyle name="표준 2 14 2 2 2 3" xfId="27160"/>
    <cellStyle name="표준 2 14 2 2 3" xfId="10021"/>
    <cellStyle name="표준 2 14 2 2 3 2" xfId="10022"/>
    <cellStyle name="표준 2 14 2 2 3 2 2" xfId="27163"/>
    <cellStyle name="표준 2 14 2 2 3 3" xfId="27162"/>
    <cellStyle name="표준 2 14 2 2 4" xfId="10023"/>
    <cellStyle name="표준 2 14 2 2 4 2" xfId="10024"/>
    <cellStyle name="표준 2 14 2 2 4 2 2" xfId="27165"/>
    <cellStyle name="표준 2 14 2 2 4 3" xfId="27164"/>
    <cellStyle name="표준 2 14 2 2 5" xfId="10025"/>
    <cellStyle name="표준 2 14 2 2 5 2" xfId="10026"/>
    <cellStyle name="표준 2 14 2 2 5 2 2" xfId="27167"/>
    <cellStyle name="표준 2 14 2 2 5 3" xfId="27166"/>
    <cellStyle name="표준 2 14 2 2 6" xfId="10027"/>
    <cellStyle name="표준 2 14 2 2 6 2" xfId="27168"/>
    <cellStyle name="표준 2 14 2 2 7" xfId="27159"/>
    <cellStyle name="표준 2 14 2 3" xfId="10028"/>
    <cellStyle name="표준 2 14 2 3 2" xfId="10029"/>
    <cellStyle name="표준 2 14 2 3 2 2" xfId="10030"/>
    <cellStyle name="표준 2 14 2 3 2 2 2" xfId="27171"/>
    <cellStyle name="표준 2 14 2 3 2 3" xfId="27170"/>
    <cellStyle name="표준 2 14 2 3 3" xfId="10031"/>
    <cellStyle name="표준 2 14 2 3 3 2" xfId="10032"/>
    <cellStyle name="표준 2 14 2 3 3 2 2" xfId="27173"/>
    <cellStyle name="표준 2 14 2 3 3 3" xfId="27172"/>
    <cellStyle name="표준 2 14 2 3 4" xfId="10033"/>
    <cellStyle name="표준 2 14 2 3 4 2" xfId="10034"/>
    <cellStyle name="표준 2 14 2 3 4 2 2" xfId="27175"/>
    <cellStyle name="표준 2 14 2 3 4 3" xfId="27174"/>
    <cellStyle name="표준 2 14 2 3 5" xfId="10035"/>
    <cellStyle name="표준 2 14 2 3 5 2" xfId="10036"/>
    <cellStyle name="표준 2 14 2 3 5 2 2" xfId="27177"/>
    <cellStyle name="표준 2 14 2 3 5 3" xfId="27176"/>
    <cellStyle name="표준 2 14 2 3 6" xfId="10037"/>
    <cellStyle name="표준 2 14 2 3 6 2" xfId="27178"/>
    <cellStyle name="표준 2 14 2 3 7" xfId="27169"/>
    <cellStyle name="표준 2 14 2 4" xfId="10038"/>
    <cellStyle name="표준 2 14 2 4 2" xfId="10039"/>
    <cellStyle name="표준 2 14 2 4 2 2" xfId="27180"/>
    <cellStyle name="표준 2 14 2 4 3" xfId="27179"/>
    <cellStyle name="표준 2 14 2 5" xfId="10040"/>
    <cellStyle name="표준 2 14 2 5 2" xfId="10041"/>
    <cellStyle name="표준 2 14 2 5 2 2" xfId="27182"/>
    <cellStyle name="표준 2 14 2 5 3" xfId="27181"/>
    <cellStyle name="표준 2 14 2 6" xfId="10042"/>
    <cellStyle name="표준 2 14 2 6 2" xfId="10043"/>
    <cellStyle name="표준 2 14 2 6 2 2" xfId="27184"/>
    <cellStyle name="표준 2 14 2 6 3" xfId="27183"/>
    <cellStyle name="표준 2 14 2 7" xfId="10044"/>
    <cellStyle name="표준 2 14 2 7 2" xfId="10045"/>
    <cellStyle name="표준 2 14 2 7 2 2" xfId="27186"/>
    <cellStyle name="표준 2 14 2 7 3" xfId="27185"/>
    <cellStyle name="표준 2 14 2 8" xfId="10046"/>
    <cellStyle name="표준 2 14 2 8 2" xfId="27187"/>
    <cellStyle name="표준 2 14 2 9" xfId="27158"/>
    <cellStyle name="표준 2 14 3" xfId="10047"/>
    <cellStyle name="표준 2 14 3 2" xfId="10048"/>
    <cellStyle name="표준 2 14 3 2 2" xfId="10049"/>
    <cellStyle name="표준 2 14 3 2 2 2" xfId="27190"/>
    <cellStyle name="표준 2 14 3 2 3" xfId="27189"/>
    <cellStyle name="표준 2 14 3 3" xfId="10050"/>
    <cellStyle name="표준 2 14 3 3 2" xfId="10051"/>
    <cellStyle name="표준 2 14 3 3 2 2" xfId="27192"/>
    <cellStyle name="표준 2 14 3 3 3" xfId="27191"/>
    <cellStyle name="표준 2 14 3 4" xfId="10052"/>
    <cellStyle name="표준 2 14 3 4 2" xfId="10053"/>
    <cellStyle name="표준 2 14 3 4 2 2" xfId="27194"/>
    <cellStyle name="표준 2 14 3 4 3" xfId="27193"/>
    <cellStyle name="표준 2 14 3 5" xfId="10054"/>
    <cellStyle name="표준 2 14 3 5 2" xfId="10055"/>
    <cellStyle name="표준 2 14 3 5 2 2" xfId="27196"/>
    <cellStyle name="표준 2 14 3 5 3" xfId="27195"/>
    <cellStyle name="표준 2 14 3 6" xfId="10056"/>
    <cellStyle name="표준 2 14 3 6 2" xfId="27197"/>
    <cellStyle name="표준 2 14 3 7" xfId="27188"/>
    <cellStyle name="표준 2 14 4" xfId="10057"/>
    <cellStyle name="표준 2 14 4 2" xfId="10058"/>
    <cellStyle name="표준 2 14 4 2 2" xfId="10059"/>
    <cellStyle name="표준 2 14 4 2 2 2" xfId="27200"/>
    <cellStyle name="표준 2 14 4 2 3" xfId="27199"/>
    <cellStyle name="표준 2 14 4 3" xfId="10060"/>
    <cellStyle name="표준 2 14 4 3 2" xfId="10061"/>
    <cellStyle name="표준 2 14 4 3 2 2" xfId="27202"/>
    <cellStyle name="표준 2 14 4 3 3" xfId="27201"/>
    <cellStyle name="표준 2 14 4 4" xfId="10062"/>
    <cellStyle name="표준 2 14 4 4 2" xfId="10063"/>
    <cellStyle name="표준 2 14 4 4 2 2" xfId="27204"/>
    <cellStyle name="표준 2 14 4 4 3" xfId="27203"/>
    <cellStyle name="표준 2 14 4 5" xfId="10064"/>
    <cellStyle name="표준 2 14 4 5 2" xfId="10065"/>
    <cellStyle name="표준 2 14 4 5 2 2" xfId="27206"/>
    <cellStyle name="표준 2 14 4 5 3" xfId="27205"/>
    <cellStyle name="표준 2 14 4 6" xfId="10066"/>
    <cellStyle name="표준 2 14 4 6 2" xfId="27207"/>
    <cellStyle name="표준 2 14 4 7" xfId="27198"/>
    <cellStyle name="표준 2 14 5" xfId="10067"/>
    <cellStyle name="표준 2 14 5 2" xfId="10068"/>
    <cellStyle name="표준 2 14 5 2 2" xfId="27209"/>
    <cellStyle name="표준 2 14 5 3" xfId="27208"/>
    <cellStyle name="표준 2 14 6" xfId="10069"/>
    <cellStyle name="표준 2 14 6 2" xfId="10070"/>
    <cellStyle name="표준 2 14 6 2 2" xfId="27211"/>
    <cellStyle name="표준 2 14 6 3" xfId="27210"/>
    <cellStyle name="표준 2 14 7" xfId="10071"/>
    <cellStyle name="표준 2 14 7 2" xfId="10072"/>
    <cellStyle name="표준 2 14 7 2 2" xfId="27213"/>
    <cellStyle name="표준 2 14 7 3" xfId="27212"/>
    <cellStyle name="표준 2 14 8" xfId="10073"/>
    <cellStyle name="표준 2 14 8 2" xfId="10074"/>
    <cellStyle name="표준 2 14 8 2 2" xfId="27215"/>
    <cellStyle name="표준 2 14 8 3" xfId="27214"/>
    <cellStyle name="표준 2 14 9" xfId="10075"/>
    <cellStyle name="표준 2 14 9 2" xfId="27216"/>
    <cellStyle name="표준 2 15" xfId="10076"/>
    <cellStyle name="표준 2 15 10" xfId="27217"/>
    <cellStyle name="표준 2 15 11" xfId="35710"/>
    <cellStyle name="표준 2 15 2" xfId="10077"/>
    <cellStyle name="표준 2 15 2 2" xfId="10078"/>
    <cellStyle name="표준 2 15 2 2 2" xfId="10079"/>
    <cellStyle name="표준 2 15 2 2 2 2" xfId="10080"/>
    <cellStyle name="표준 2 15 2 2 2 2 2" xfId="27221"/>
    <cellStyle name="표준 2 15 2 2 2 3" xfId="27220"/>
    <cellStyle name="표준 2 15 2 2 3" xfId="10081"/>
    <cellStyle name="표준 2 15 2 2 3 2" xfId="10082"/>
    <cellStyle name="표준 2 15 2 2 3 2 2" xfId="27223"/>
    <cellStyle name="표준 2 15 2 2 3 3" xfId="27222"/>
    <cellStyle name="표준 2 15 2 2 4" xfId="10083"/>
    <cellStyle name="표준 2 15 2 2 4 2" xfId="10084"/>
    <cellStyle name="표준 2 15 2 2 4 2 2" xfId="27225"/>
    <cellStyle name="표준 2 15 2 2 4 3" xfId="27224"/>
    <cellStyle name="표준 2 15 2 2 5" xfId="10085"/>
    <cellStyle name="표준 2 15 2 2 5 2" xfId="10086"/>
    <cellStyle name="표준 2 15 2 2 5 2 2" xfId="27227"/>
    <cellStyle name="표준 2 15 2 2 5 3" xfId="27226"/>
    <cellStyle name="표준 2 15 2 2 6" xfId="10087"/>
    <cellStyle name="표준 2 15 2 2 6 2" xfId="27228"/>
    <cellStyle name="표준 2 15 2 2 7" xfId="27219"/>
    <cellStyle name="표준 2 15 2 3" xfId="10088"/>
    <cellStyle name="표준 2 15 2 3 2" xfId="10089"/>
    <cellStyle name="표준 2 15 2 3 2 2" xfId="10090"/>
    <cellStyle name="표준 2 15 2 3 2 2 2" xfId="27231"/>
    <cellStyle name="표준 2 15 2 3 2 3" xfId="27230"/>
    <cellStyle name="표준 2 15 2 3 3" xfId="10091"/>
    <cellStyle name="표준 2 15 2 3 3 2" xfId="10092"/>
    <cellStyle name="표준 2 15 2 3 3 2 2" xfId="27233"/>
    <cellStyle name="표준 2 15 2 3 3 3" xfId="27232"/>
    <cellStyle name="표준 2 15 2 3 4" xfId="10093"/>
    <cellStyle name="표준 2 15 2 3 4 2" xfId="10094"/>
    <cellStyle name="표준 2 15 2 3 4 2 2" xfId="27235"/>
    <cellStyle name="표준 2 15 2 3 4 3" xfId="27234"/>
    <cellStyle name="표준 2 15 2 3 5" xfId="10095"/>
    <cellStyle name="표준 2 15 2 3 5 2" xfId="10096"/>
    <cellStyle name="표준 2 15 2 3 5 2 2" xfId="27237"/>
    <cellStyle name="표준 2 15 2 3 5 3" xfId="27236"/>
    <cellStyle name="표준 2 15 2 3 6" xfId="10097"/>
    <cellStyle name="표준 2 15 2 3 6 2" xfId="27238"/>
    <cellStyle name="표준 2 15 2 3 7" xfId="27229"/>
    <cellStyle name="표준 2 15 2 4" xfId="10098"/>
    <cellStyle name="표준 2 15 2 4 2" xfId="10099"/>
    <cellStyle name="표준 2 15 2 4 2 2" xfId="27240"/>
    <cellStyle name="표준 2 15 2 4 3" xfId="27239"/>
    <cellStyle name="표준 2 15 2 5" xfId="10100"/>
    <cellStyle name="표준 2 15 2 5 2" xfId="10101"/>
    <cellStyle name="표준 2 15 2 5 2 2" xfId="27242"/>
    <cellStyle name="표준 2 15 2 5 3" xfId="27241"/>
    <cellStyle name="표준 2 15 2 6" xfId="10102"/>
    <cellStyle name="표준 2 15 2 6 2" xfId="10103"/>
    <cellStyle name="표준 2 15 2 6 2 2" xfId="27244"/>
    <cellStyle name="표준 2 15 2 6 3" xfId="27243"/>
    <cellStyle name="표준 2 15 2 7" xfId="10104"/>
    <cellStyle name="표준 2 15 2 7 2" xfId="10105"/>
    <cellStyle name="표준 2 15 2 7 2 2" xfId="27246"/>
    <cellStyle name="표준 2 15 2 7 3" xfId="27245"/>
    <cellStyle name="표준 2 15 2 8" xfId="10106"/>
    <cellStyle name="표준 2 15 2 8 2" xfId="27247"/>
    <cellStyle name="표준 2 15 2 9" xfId="27218"/>
    <cellStyle name="표준 2 15 3" xfId="10107"/>
    <cellStyle name="표준 2 15 3 2" xfId="10108"/>
    <cellStyle name="표준 2 15 3 2 2" xfId="10109"/>
    <cellStyle name="표준 2 15 3 2 2 2" xfId="27250"/>
    <cellStyle name="표준 2 15 3 2 3" xfId="27249"/>
    <cellStyle name="표준 2 15 3 3" xfId="10110"/>
    <cellStyle name="표준 2 15 3 3 2" xfId="10111"/>
    <cellStyle name="표준 2 15 3 3 2 2" xfId="27252"/>
    <cellStyle name="표준 2 15 3 3 3" xfId="27251"/>
    <cellStyle name="표준 2 15 3 4" xfId="10112"/>
    <cellStyle name="표준 2 15 3 4 2" xfId="10113"/>
    <cellStyle name="표준 2 15 3 4 2 2" xfId="27254"/>
    <cellStyle name="표준 2 15 3 4 3" xfId="27253"/>
    <cellStyle name="표준 2 15 3 5" xfId="10114"/>
    <cellStyle name="표준 2 15 3 5 2" xfId="10115"/>
    <cellStyle name="표준 2 15 3 5 2 2" xfId="27256"/>
    <cellStyle name="표준 2 15 3 5 3" xfId="27255"/>
    <cellStyle name="표준 2 15 3 6" xfId="10116"/>
    <cellStyle name="표준 2 15 3 6 2" xfId="27257"/>
    <cellStyle name="표준 2 15 3 7" xfId="27248"/>
    <cellStyle name="표준 2 15 4" xfId="10117"/>
    <cellStyle name="표준 2 15 4 2" xfId="10118"/>
    <cellStyle name="표준 2 15 4 2 2" xfId="10119"/>
    <cellStyle name="표준 2 15 4 2 2 2" xfId="27260"/>
    <cellStyle name="표준 2 15 4 2 3" xfId="27259"/>
    <cellStyle name="표준 2 15 4 3" xfId="10120"/>
    <cellStyle name="표준 2 15 4 3 2" xfId="10121"/>
    <cellStyle name="표준 2 15 4 3 2 2" xfId="27262"/>
    <cellStyle name="표준 2 15 4 3 3" xfId="27261"/>
    <cellStyle name="표준 2 15 4 4" xfId="10122"/>
    <cellStyle name="표준 2 15 4 4 2" xfId="10123"/>
    <cellStyle name="표준 2 15 4 4 2 2" xfId="27264"/>
    <cellStyle name="표준 2 15 4 4 3" xfId="27263"/>
    <cellStyle name="표준 2 15 4 5" xfId="10124"/>
    <cellStyle name="표준 2 15 4 5 2" xfId="10125"/>
    <cellStyle name="표준 2 15 4 5 2 2" xfId="27266"/>
    <cellStyle name="표준 2 15 4 5 3" xfId="27265"/>
    <cellStyle name="표준 2 15 4 6" xfId="10126"/>
    <cellStyle name="표준 2 15 4 6 2" xfId="27267"/>
    <cellStyle name="표준 2 15 4 7" xfId="27258"/>
    <cellStyle name="표준 2 15 5" xfId="10127"/>
    <cellStyle name="표준 2 15 5 2" xfId="10128"/>
    <cellStyle name="표준 2 15 5 2 2" xfId="27269"/>
    <cellStyle name="표준 2 15 5 3" xfId="27268"/>
    <cellStyle name="표준 2 15 6" xfId="10129"/>
    <cellStyle name="표준 2 15 6 2" xfId="10130"/>
    <cellStyle name="표준 2 15 6 2 2" xfId="27271"/>
    <cellStyle name="표준 2 15 6 3" xfId="27270"/>
    <cellStyle name="표준 2 15 7" xfId="10131"/>
    <cellStyle name="표준 2 15 7 2" xfId="10132"/>
    <cellStyle name="표준 2 15 7 2 2" xfId="27273"/>
    <cellStyle name="표준 2 15 7 3" xfId="27272"/>
    <cellStyle name="표준 2 15 8" xfId="10133"/>
    <cellStyle name="표준 2 15 8 2" xfId="10134"/>
    <cellStyle name="표준 2 15 8 2 2" xfId="27275"/>
    <cellStyle name="표준 2 15 8 3" xfId="27274"/>
    <cellStyle name="표준 2 15 9" xfId="10135"/>
    <cellStyle name="표준 2 15 9 2" xfId="27276"/>
    <cellStyle name="표준 2 16" xfId="10136"/>
    <cellStyle name="표준 2 16 10" xfId="27277"/>
    <cellStyle name="표준 2 16 11" xfId="35711"/>
    <cellStyle name="표준 2 16 2" xfId="10137"/>
    <cellStyle name="표준 2 16 2 2" xfId="10138"/>
    <cellStyle name="표준 2 16 2 2 2" xfId="10139"/>
    <cellStyle name="표준 2 16 2 2 2 2" xfId="10140"/>
    <cellStyle name="표준 2 16 2 2 2 2 2" xfId="27281"/>
    <cellStyle name="표준 2 16 2 2 2 3" xfId="27280"/>
    <cellStyle name="표준 2 16 2 2 3" xfId="10141"/>
    <cellStyle name="표준 2 16 2 2 3 2" xfId="10142"/>
    <cellStyle name="표준 2 16 2 2 3 2 2" xfId="27283"/>
    <cellStyle name="표준 2 16 2 2 3 3" xfId="27282"/>
    <cellStyle name="표준 2 16 2 2 4" xfId="10143"/>
    <cellStyle name="표준 2 16 2 2 4 2" xfId="10144"/>
    <cellStyle name="표준 2 16 2 2 4 2 2" xfId="27285"/>
    <cellStyle name="표준 2 16 2 2 4 3" xfId="27284"/>
    <cellStyle name="표준 2 16 2 2 5" xfId="10145"/>
    <cellStyle name="표준 2 16 2 2 5 2" xfId="10146"/>
    <cellStyle name="표준 2 16 2 2 5 2 2" xfId="27287"/>
    <cellStyle name="표준 2 16 2 2 5 3" xfId="27286"/>
    <cellStyle name="표준 2 16 2 2 6" xfId="10147"/>
    <cellStyle name="표준 2 16 2 2 6 2" xfId="27288"/>
    <cellStyle name="표준 2 16 2 2 7" xfId="27279"/>
    <cellStyle name="표준 2 16 2 3" xfId="10148"/>
    <cellStyle name="표준 2 16 2 3 2" xfId="10149"/>
    <cellStyle name="표준 2 16 2 3 2 2" xfId="10150"/>
    <cellStyle name="표준 2 16 2 3 2 2 2" xfId="27291"/>
    <cellStyle name="표준 2 16 2 3 2 3" xfId="27290"/>
    <cellStyle name="표준 2 16 2 3 3" xfId="10151"/>
    <cellStyle name="표준 2 16 2 3 3 2" xfId="10152"/>
    <cellStyle name="표준 2 16 2 3 3 2 2" xfId="27293"/>
    <cellStyle name="표준 2 16 2 3 3 3" xfId="27292"/>
    <cellStyle name="표준 2 16 2 3 4" xfId="10153"/>
    <cellStyle name="표준 2 16 2 3 4 2" xfId="10154"/>
    <cellStyle name="표준 2 16 2 3 4 2 2" xfId="27295"/>
    <cellStyle name="표준 2 16 2 3 4 3" xfId="27294"/>
    <cellStyle name="표준 2 16 2 3 5" xfId="10155"/>
    <cellStyle name="표준 2 16 2 3 5 2" xfId="10156"/>
    <cellStyle name="표준 2 16 2 3 5 2 2" xfId="27297"/>
    <cellStyle name="표준 2 16 2 3 5 3" xfId="27296"/>
    <cellStyle name="표준 2 16 2 3 6" xfId="10157"/>
    <cellStyle name="표준 2 16 2 3 6 2" xfId="27298"/>
    <cellStyle name="표준 2 16 2 3 7" xfId="27289"/>
    <cellStyle name="표준 2 16 2 4" xfId="10158"/>
    <cellStyle name="표준 2 16 2 4 2" xfId="10159"/>
    <cellStyle name="표준 2 16 2 4 2 2" xfId="27300"/>
    <cellStyle name="표준 2 16 2 4 3" xfId="27299"/>
    <cellStyle name="표준 2 16 2 5" xfId="10160"/>
    <cellStyle name="표준 2 16 2 5 2" xfId="10161"/>
    <cellStyle name="표준 2 16 2 5 2 2" xfId="27302"/>
    <cellStyle name="표준 2 16 2 5 3" xfId="27301"/>
    <cellStyle name="표준 2 16 2 6" xfId="10162"/>
    <cellStyle name="표준 2 16 2 6 2" xfId="10163"/>
    <cellStyle name="표준 2 16 2 6 2 2" xfId="27304"/>
    <cellStyle name="표준 2 16 2 6 3" xfId="27303"/>
    <cellStyle name="표준 2 16 2 7" xfId="10164"/>
    <cellStyle name="표준 2 16 2 7 2" xfId="10165"/>
    <cellStyle name="표준 2 16 2 7 2 2" xfId="27306"/>
    <cellStyle name="표준 2 16 2 7 3" xfId="27305"/>
    <cellStyle name="표준 2 16 2 8" xfId="10166"/>
    <cellStyle name="표준 2 16 2 8 2" xfId="27307"/>
    <cellStyle name="표준 2 16 2 9" xfId="27278"/>
    <cellStyle name="표준 2 16 3" xfId="10167"/>
    <cellStyle name="표준 2 16 3 2" xfId="10168"/>
    <cellStyle name="표준 2 16 3 2 2" xfId="10169"/>
    <cellStyle name="표준 2 16 3 2 2 2" xfId="27310"/>
    <cellStyle name="표준 2 16 3 2 3" xfId="27309"/>
    <cellStyle name="표준 2 16 3 3" xfId="10170"/>
    <cellStyle name="표준 2 16 3 3 2" xfId="10171"/>
    <cellStyle name="표준 2 16 3 3 2 2" xfId="27312"/>
    <cellStyle name="표준 2 16 3 3 3" xfId="27311"/>
    <cellStyle name="표준 2 16 3 4" xfId="10172"/>
    <cellStyle name="표준 2 16 3 4 2" xfId="10173"/>
    <cellStyle name="표준 2 16 3 4 2 2" xfId="27314"/>
    <cellStyle name="표준 2 16 3 4 3" xfId="27313"/>
    <cellStyle name="표준 2 16 3 5" xfId="10174"/>
    <cellStyle name="표준 2 16 3 5 2" xfId="10175"/>
    <cellStyle name="표준 2 16 3 5 2 2" xfId="27316"/>
    <cellStyle name="표준 2 16 3 5 3" xfId="27315"/>
    <cellStyle name="표준 2 16 3 6" xfId="10176"/>
    <cellStyle name="표준 2 16 3 6 2" xfId="27317"/>
    <cellStyle name="표준 2 16 3 7" xfId="27308"/>
    <cellStyle name="표준 2 16 4" xfId="10177"/>
    <cellStyle name="표준 2 16 4 2" xfId="10178"/>
    <cellStyle name="표준 2 16 4 2 2" xfId="10179"/>
    <cellStyle name="표준 2 16 4 2 2 2" xfId="27320"/>
    <cellStyle name="표준 2 16 4 2 3" xfId="27319"/>
    <cellStyle name="표준 2 16 4 3" xfId="10180"/>
    <cellStyle name="표준 2 16 4 3 2" xfId="10181"/>
    <cellStyle name="표준 2 16 4 3 2 2" xfId="27322"/>
    <cellStyle name="표준 2 16 4 3 3" xfId="27321"/>
    <cellStyle name="표준 2 16 4 4" xfId="10182"/>
    <cellStyle name="표준 2 16 4 4 2" xfId="10183"/>
    <cellStyle name="표준 2 16 4 4 2 2" xfId="27324"/>
    <cellStyle name="표준 2 16 4 4 3" xfId="27323"/>
    <cellStyle name="표준 2 16 4 5" xfId="10184"/>
    <cellStyle name="표준 2 16 4 5 2" xfId="10185"/>
    <cellStyle name="표준 2 16 4 5 2 2" xfId="27326"/>
    <cellStyle name="표준 2 16 4 5 3" xfId="27325"/>
    <cellStyle name="표준 2 16 4 6" xfId="10186"/>
    <cellStyle name="표준 2 16 4 6 2" xfId="27327"/>
    <cellStyle name="표준 2 16 4 7" xfId="27318"/>
    <cellStyle name="표준 2 16 5" xfId="10187"/>
    <cellStyle name="표준 2 16 5 2" xfId="10188"/>
    <cellStyle name="표준 2 16 5 2 2" xfId="27329"/>
    <cellStyle name="표준 2 16 5 3" xfId="27328"/>
    <cellStyle name="표준 2 16 6" xfId="10189"/>
    <cellStyle name="표준 2 16 6 2" xfId="10190"/>
    <cellStyle name="표준 2 16 6 2 2" xfId="27331"/>
    <cellStyle name="표준 2 16 6 3" xfId="27330"/>
    <cellStyle name="표준 2 16 7" xfId="10191"/>
    <cellStyle name="표준 2 16 7 2" xfId="10192"/>
    <cellStyle name="표준 2 16 7 2 2" xfId="27333"/>
    <cellStyle name="표준 2 16 7 3" xfId="27332"/>
    <cellStyle name="표준 2 16 8" xfId="10193"/>
    <cellStyle name="표준 2 16 8 2" xfId="10194"/>
    <cellStyle name="표준 2 16 8 2 2" xfId="27335"/>
    <cellStyle name="표준 2 16 8 3" xfId="27334"/>
    <cellStyle name="표준 2 16 9" xfId="10195"/>
    <cellStyle name="표준 2 16 9 2" xfId="27336"/>
    <cellStyle name="표준 2 17" xfId="10196"/>
    <cellStyle name="표준 2 17 10" xfId="27337"/>
    <cellStyle name="표준 2 17 11" xfId="35712"/>
    <cellStyle name="표준 2 17 2" xfId="10197"/>
    <cellStyle name="표준 2 17 2 2" xfId="10198"/>
    <cellStyle name="표준 2 17 2 2 2" xfId="10199"/>
    <cellStyle name="표준 2 17 2 2 2 2" xfId="10200"/>
    <cellStyle name="표준 2 17 2 2 2 2 2" xfId="27341"/>
    <cellStyle name="표준 2 17 2 2 2 3" xfId="27340"/>
    <cellStyle name="표준 2 17 2 2 3" xfId="10201"/>
    <cellStyle name="표준 2 17 2 2 3 2" xfId="10202"/>
    <cellStyle name="표준 2 17 2 2 3 2 2" xfId="27343"/>
    <cellStyle name="표준 2 17 2 2 3 3" xfId="27342"/>
    <cellStyle name="표준 2 17 2 2 4" xfId="10203"/>
    <cellStyle name="표준 2 17 2 2 4 2" xfId="10204"/>
    <cellStyle name="표준 2 17 2 2 4 2 2" xfId="27345"/>
    <cellStyle name="표준 2 17 2 2 4 3" xfId="27344"/>
    <cellStyle name="표준 2 17 2 2 5" xfId="10205"/>
    <cellStyle name="표준 2 17 2 2 5 2" xfId="10206"/>
    <cellStyle name="표준 2 17 2 2 5 2 2" xfId="27347"/>
    <cellStyle name="표준 2 17 2 2 5 3" xfId="27346"/>
    <cellStyle name="표준 2 17 2 2 6" xfId="10207"/>
    <cellStyle name="표준 2 17 2 2 6 2" xfId="27348"/>
    <cellStyle name="표준 2 17 2 2 7" xfId="27339"/>
    <cellStyle name="표준 2 17 2 3" xfId="10208"/>
    <cellStyle name="표준 2 17 2 3 2" xfId="10209"/>
    <cellStyle name="표준 2 17 2 3 2 2" xfId="10210"/>
    <cellStyle name="표준 2 17 2 3 2 2 2" xfId="27351"/>
    <cellStyle name="표준 2 17 2 3 2 3" xfId="27350"/>
    <cellStyle name="표준 2 17 2 3 3" xfId="10211"/>
    <cellStyle name="표준 2 17 2 3 3 2" xfId="10212"/>
    <cellStyle name="표준 2 17 2 3 3 2 2" xfId="27353"/>
    <cellStyle name="표준 2 17 2 3 3 3" xfId="27352"/>
    <cellStyle name="표준 2 17 2 3 4" xfId="10213"/>
    <cellStyle name="표준 2 17 2 3 4 2" xfId="10214"/>
    <cellStyle name="표준 2 17 2 3 4 2 2" xfId="27355"/>
    <cellStyle name="표준 2 17 2 3 4 3" xfId="27354"/>
    <cellStyle name="표준 2 17 2 3 5" xfId="10215"/>
    <cellStyle name="표준 2 17 2 3 5 2" xfId="10216"/>
    <cellStyle name="표준 2 17 2 3 5 2 2" xfId="27357"/>
    <cellStyle name="표준 2 17 2 3 5 3" xfId="27356"/>
    <cellStyle name="표준 2 17 2 3 6" xfId="10217"/>
    <cellStyle name="표준 2 17 2 3 6 2" xfId="27358"/>
    <cellStyle name="표준 2 17 2 3 7" xfId="27349"/>
    <cellStyle name="표준 2 17 2 4" xfId="10218"/>
    <cellStyle name="표준 2 17 2 4 2" xfId="10219"/>
    <cellStyle name="표준 2 17 2 4 2 2" xfId="27360"/>
    <cellStyle name="표준 2 17 2 4 3" xfId="27359"/>
    <cellStyle name="표준 2 17 2 5" xfId="10220"/>
    <cellStyle name="표준 2 17 2 5 2" xfId="10221"/>
    <cellStyle name="표준 2 17 2 5 2 2" xfId="27362"/>
    <cellStyle name="표준 2 17 2 5 3" xfId="27361"/>
    <cellStyle name="표준 2 17 2 6" xfId="10222"/>
    <cellStyle name="표준 2 17 2 6 2" xfId="10223"/>
    <cellStyle name="표준 2 17 2 6 2 2" xfId="27364"/>
    <cellStyle name="표준 2 17 2 6 3" xfId="27363"/>
    <cellStyle name="표준 2 17 2 7" xfId="10224"/>
    <cellStyle name="표준 2 17 2 7 2" xfId="10225"/>
    <cellStyle name="표준 2 17 2 7 2 2" xfId="27366"/>
    <cellStyle name="표준 2 17 2 7 3" xfId="27365"/>
    <cellStyle name="표준 2 17 2 8" xfId="10226"/>
    <cellStyle name="표준 2 17 2 8 2" xfId="27367"/>
    <cellStyle name="표준 2 17 2 9" xfId="27338"/>
    <cellStyle name="표준 2 17 3" xfId="10227"/>
    <cellStyle name="표준 2 17 3 2" xfId="10228"/>
    <cellStyle name="표준 2 17 3 2 2" xfId="10229"/>
    <cellStyle name="표준 2 17 3 2 2 2" xfId="27370"/>
    <cellStyle name="표준 2 17 3 2 3" xfId="27369"/>
    <cellStyle name="표준 2 17 3 3" xfId="10230"/>
    <cellStyle name="표준 2 17 3 3 2" xfId="10231"/>
    <cellStyle name="표준 2 17 3 3 2 2" xfId="27372"/>
    <cellStyle name="표준 2 17 3 3 3" xfId="27371"/>
    <cellStyle name="표준 2 17 3 4" xfId="10232"/>
    <cellStyle name="표준 2 17 3 4 2" xfId="10233"/>
    <cellStyle name="표준 2 17 3 4 2 2" xfId="27374"/>
    <cellStyle name="표준 2 17 3 4 3" xfId="27373"/>
    <cellStyle name="표준 2 17 3 5" xfId="10234"/>
    <cellStyle name="표준 2 17 3 5 2" xfId="10235"/>
    <cellStyle name="표준 2 17 3 5 2 2" xfId="27376"/>
    <cellStyle name="표준 2 17 3 5 3" xfId="27375"/>
    <cellStyle name="표준 2 17 3 6" xfId="10236"/>
    <cellStyle name="표준 2 17 3 6 2" xfId="27377"/>
    <cellStyle name="표준 2 17 3 7" xfId="27368"/>
    <cellStyle name="표준 2 17 4" xfId="10237"/>
    <cellStyle name="표준 2 17 4 2" xfId="10238"/>
    <cellStyle name="표준 2 17 4 2 2" xfId="10239"/>
    <cellStyle name="표준 2 17 4 2 2 2" xfId="27380"/>
    <cellStyle name="표준 2 17 4 2 3" xfId="27379"/>
    <cellStyle name="표준 2 17 4 3" xfId="10240"/>
    <cellStyle name="표준 2 17 4 3 2" xfId="10241"/>
    <cellStyle name="표준 2 17 4 3 2 2" xfId="27382"/>
    <cellStyle name="표준 2 17 4 3 3" xfId="27381"/>
    <cellStyle name="표준 2 17 4 4" xfId="10242"/>
    <cellStyle name="표준 2 17 4 4 2" xfId="10243"/>
    <cellStyle name="표준 2 17 4 4 2 2" xfId="27384"/>
    <cellStyle name="표준 2 17 4 4 3" xfId="27383"/>
    <cellStyle name="표준 2 17 4 5" xfId="10244"/>
    <cellStyle name="표준 2 17 4 5 2" xfId="10245"/>
    <cellStyle name="표준 2 17 4 5 2 2" xfId="27386"/>
    <cellStyle name="표준 2 17 4 5 3" xfId="27385"/>
    <cellStyle name="표준 2 17 4 6" xfId="10246"/>
    <cellStyle name="표준 2 17 4 6 2" xfId="27387"/>
    <cellStyle name="표준 2 17 4 7" xfId="27378"/>
    <cellStyle name="표준 2 17 5" xfId="10247"/>
    <cellStyle name="표준 2 17 5 2" xfId="10248"/>
    <cellStyle name="표준 2 17 5 2 2" xfId="27389"/>
    <cellStyle name="표준 2 17 5 3" xfId="27388"/>
    <cellStyle name="표준 2 17 6" xfId="10249"/>
    <cellStyle name="표준 2 17 6 2" xfId="10250"/>
    <cellStyle name="표준 2 17 6 2 2" xfId="27391"/>
    <cellStyle name="표준 2 17 6 3" xfId="27390"/>
    <cellStyle name="표준 2 17 7" xfId="10251"/>
    <cellStyle name="표준 2 17 7 2" xfId="10252"/>
    <cellStyle name="표준 2 17 7 2 2" xfId="27393"/>
    <cellStyle name="표준 2 17 7 3" xfId="27392"/>
    <cellStyle name="표준 2 17 8" xfId="10253"/>
    <cellStyle name="표준 2 17 8 2" xfId="10254"/>
    <cellStyle name="표준 2 17 8 2 2" xfId="27395"/>
    <cellStyle name="표준 2 17 8 3" xfId="27394"/>
    <cellStyle name="표준 2 17 9" xfId="10255"/>
    <cellStyle name="표준 2 17 9 2" xfId="27396"/>
    <cellStyle name="표준 2 18" xfId="10256"/>
    <cellStyle name="표준 2 18 10" xfId="27397"/>
    <cellStyle name="표준 2 18 11" xfId="35713"/>
    <cellStyle name="표준 2 18 2" xfId="10257"/>
    <cellStyle name="표준 2 18 2 2" xfId="10258"/>
    <cellStyle name="표준 2 18 2 2 2" xfId="10259"/>
    <cellStyle name="표준 2 18 2 2 2 2" xfId="10260"/>
    <cellStyle name="표준 2 18 2 2 2 2 2" xfId="27401"/>
    <cellStyle name="표준 2 18 2 2 2 3" xfId="27400"/>
    <cellStyle name="표준 2 18 2 2 3" xfId="10261"/>
    <cellStyle name="표준 2 18 2 2 3 2" xfId="10262"/>
    <cellStyle name="표준 2 18 2 2 3 2 2" xfId="27403"/>
    <cellStyle name="표준 2 18 2 2 3 3" xfId="27402"/>
    <cellStyle name="표준 2 18 2 2 4" xfId="10263"/>
    <cellStyle name="표준 2 18 2 2 4 2" xfId="10264"/>
    <cellStyle name="표준 2 18 2 2 4 2 2" xfId="27405"/>
    <cellStyle name="표준 2 18 2 2 4 3" xfId="27404"/>
    <cellStyle name="표준 2 18 2 2 5" xfId="10265"/>
    <cellStyle name="표준 2 18 2 2 5 2" xfId="10266"/>
    <cellStyle name="표준 2 18 2 2 5 2 2" xfId="27407"/>
    <cellStyle name="표준 2 18 2 2 5 3" xfId="27406"/>
    <cellStyle name="표준 2 18 2 2 6" xfId="10267"/>
    <cellStyle name="표준 2 18 2 2 6 2" xfId="27408"/>
    <cellStyle name="표준 2 18 2 2 7" xfId="27399"/>
    <cellStyle name="표준 2 18 2 3" xfId="10268"/>
    <cellStyle name="표준 2 18 2 3 2" xfId="10269"/>
    <cellStyle name="표준 2 18 2 3 2 2" xfId="10270"/>
    <cellStyle name="표준 2 18 2 3 2 2 2" xfId="27411"/>
    <cellStyle name="표준 2 18 2 3 2 3" xfId="27410"/>
    <cellStyle name="표준 2 18 2 3 3" xfId="10271"/>
    <cellStyle name="표준 2 18 2 3 3 2" xfId="10272"/>
    <cellStyle name="표준 2 18 2 3 3 2 2" xfId="27413"/>
    <cellStyle name="표준 2 18 2 3 3 3" xfId="27412"/>
    <cellStyle name="표준 2 18 2 3 4" xfId="10273"/>
    <cellStyle name="표준 2 18 2 3 4 2" xfId="10274"/>
    <cellStyle name="표준 2 18 2 3 4 2 2" xfId="27415"/>
    <cellStyle name="표준 2 18 2 3 4 3" xfId="27414"/>
    <cellStyle name="표준 2 18 2 3 5" xfId="10275"/>
    <cellStyle name="표준 2 18 2 3 5 2" xfId="10276"/>
    <cellStyle name="표준 2 18 2 3 5 2 2" xfId="27417"/>
    <cellStyle name="표준 2 18 2 3 5 3" xfId="27416"/>
    <cellStyle name="표준 2 18 2 3 6" xfId="10277"/>
    <cellStyle name="표준 2 18 2 3 6 2" xfId="27418"/>
    <cellStyle name="표준 2 18 2 3 7" xfId="27409"/>
    <cellStyle name="표준 2 18 2 4" xfId="10278"/>
    <cellStyle name="표준 2 18 2 4 2" xfId="10279"/>
    <cellStyle name="표준 2 18 2 4 2 2" xfId="27420"/>
    <cellStyle name="표준 2 18 2 4 3" xfId="27419"/>
    <cellStyle name="표준 2 18 2 5" xfId="10280"/>
    <cellStyle name="표준 2 18 2 5 2" xfId="10281"/>
    <cellStyle name="표준 2 18 2 5 2 2" xfId="27422"/>
    <cellStyle name="표준 2 18 2 5 3" xfId="27421"/>
    <cellStyle name="표준 2 18 2 6" xfId="10282"/>
    <cellStyle name="표준 2 18 2 6 2" xfId="10283"/>
    <cellStyle name="표준 2 18 2 6 2 2" xfId="27424"/>
    <cellStyle name="표준 2 18 2 6 3" xfId="27423"/>
    <cellStyle name="표준 2 18 2 7" xfId="10284"/>
    <cellStyle name="표준 2 18 2 7 2" xfId="10285"/>
    <cellStyle name="표준 2 18 2 7 2 2" xfId="27426"/>
    <cellStyle name="표준 2 18 2 7 3" xfId="27425"/>
    <cellStyle name="표준 2 18 2 8" xfId="10286"/>
    <cellStyle name="표준 2 18 2 8 2" xfId="27427"/>
    <cellStyle name="표준 2 18 2 9" xfId="27398"/>
    <cellStyle name="표준 2 18 3" xfId="10287"/>
    <cellStyle name="표준 2 18 3 2" xfId="10288"/>
    <cellStyle name="표준 2 18 3 2 2" xfId="10289"/>
    <cellStyle name="표준 2 18 3 2 2 2" xfId="27430"/>
    <cellStyle name="표준 2 18 3 2 3" xfId="27429"/>
    <cellStyle name="표준 2 18 3 3" xfId="10290"/>
    <cellStyle name="표준 2 18 3 3 2" xfId="10291"/>
    <cellStyle name="표준 2 18 3 3 2 2" xfId="27432"/>
    <cellStyle name="표준 2 18 3 3 3" xfId="27431"/>
    <cellStyle name="표준 2 18 3 4" xfId="10292"/>
    <cellStyle name="표준 2 18 3 4 2" xfId="10293"/>
    <cellStyle name="표준 2 18 3 4 2 2" xfId="27434"/>
    <cellStyle name="표준 2 18 3 4 3" xfId="27433"/>
    <cellStyle name="표준 2 18 3 5" xfId="10294"/>
    <cellStyle name="표준 2 18 3 5 2" xfId="10295"/>
    <cellStyle name="표준 2 18 3 5 2 2" xfId="27436"/>
    <cellStyle name="표준 2 18 3 5 3" xfId="27435"/>
    <cellStyle name="표준 2 18 3 6" xfId="10296"/>
    <cellStyle name="표준 2 18 3 6 2" xfId="27437"/>
    <cellStyle name="표준 2 18 3 7" xfId="27428"/>
    <cellStyle name="표준 2 18 4" xfId="10297"/>
    <cellStyle name="표준 2 18 4 2" xfId="10298"/>
    <cellStyle name="표준 2 18 4 2 2" xfId="10299"/>
    <cellStyle name="표준 2 18 4 2 2 2" xfId="27440"/>
    <cellStyle name="표준 2 18 4 2 3" xfId="27439"/>
    <cellStyle name="표준 2 18 4 3" xfId="10300"/>
    <cellStyle name="표준 2 18 4 3 2" xfId="10301"/>
    <cellStyle name="표준 2 18 4 3 2 2" xfId="27442"/>
    <cellStyle name="표준 2 18 4 3 3" xfId="27441"/>
    <cellStyle name="표준 2 18 4 4" xfId="10302"/>
    <cellStyle name="표준 2 18 4 4 2" xfId="10303"/>
    <cellStyle name="표준 2 18 4 4 2 2" xfId="27444"/>
    <cellStyle name="표준 2 18 4 4 3" xfId="27443"/>
    <cellStyle name="표준 2 18 4 5" xfId="10304"/>
    <cellStyle name="표준 2 18 4 5 2" xfId="10305"/>
    <cellStyle name="표준 2 18 4 5 2 2" xfId="27446"/>
    <cellStyle name="표준 2 18 4 5 3" xfId="27445"/>
    <cellStyle name="표준 2 18 4 6" xfId="10306"/>
    <cellStyle name="표준 2 18 4 6 2" xfId="27447"/>
    <cellStyle name="표준 2 18 4 7" xfId="27438"/>
    <cellStyle name="표준 2 18 5" xfId="10307"/>
    <cellStyle name="표준 2 18 5 2" xfId="10308"/>
    <cellStyle name="표준 2 18 5 2 2" xfId="27449"/>
    <cellStyle name="표준 2 18 5 3" xfId="27448"/>
    <cellStyle name="표준 2 18 6" xfId="10309"/>
    <cellStyle name="표준 2 18 6 2" xfId="10310"/>
    <cellStyle name="표준 2 18 6 2 2" xfId="27451"/>
    <cellStyle name="표준 2 18 6 3" xfId="27450"/>
    <cellStyle name="표준 2 18 7" xfId="10311"/>
    <cellStyle name="표준 2 18 7 2" xfId="10312"/>
    <cellStyle name="표준 2 18 7 2 2" xfId="27453"/>
    <cellStyle name="표준 2 18 7 3" xfId="27452"/>
    <cellStyle name="표준 2 18 8" xfId="10313"/>
    <cellStyle name="표준 2 18 8 2" xfId="10314"/>
    <cellStyle name="표준 2 18 8 2 2" xfId="27455"/>
    <cellStyle name="표준 2 18 8 3" xfId="27454"/>
    <cellStyle name="표준 2 18 9" xfId="10315"/>
    <cellStyle name="표준 2 18 9 2" xfId="27456"/>
    <cellStyle name="표준 2 19" xfId="10316"/>
    <cellStyle name="표준 2 19 10" xfId="27457"/>
    <cellStyle name="표준 2 19 11" xfId="35714"/>
    <cellStyle name="표준 2 19 2" xfId="10317"/>
    <cellStyle name="표준 2 19 2 2" xfId="10318"/>
    <cellStyle name="표준 2 19 2 2 2" xfId="10319"/>
    <cellStyle name="표준 2 19 2 2 2 2" xfId="10320"/>
    <cellStyle name="표준 2 19 2 2 2 2 2" xfId="27461"/>
    <cellStyle name="표준 2 19 2 2 2 3" xfId="27460"/>
    <cellStyle name="표준 2 19 2 2 3" xfId="10321"/>
    <cellStyle name="표준 2 19 2 2 3 2" xfId="10322"/>
    <cellStyle name="표준 2 19 2 2 3 2 2" xfId="27463"/>
    <cellStyle name="표준 2 19 2 2 3 3" xfId="27462"/>
    <cellStyle name="표준 2 19 2 2 4" xfId="10323"/>
    <cellStyle name="표준 2 19 2 2 4 2" xfId="10324"/>
    <cellStyle name="표준 2 19 2 2 4 2 2" xfId="27465"/>
    <cellStyle name="표준 2 19 2 2 4 3" xfId="27464"/>
    <cellStyle name="표준 2 19 2 2 5" xfId="10325"/>
    <cellStyle name="표준 2 19 2 2 5 2" xfId="10326"/>
    <cellStyle name="표준 2 19 2 2 5 2 2" xfId="27467"/>
    <cellStyle name="표준 2 19 2 2 5 3" xfId="27466"/>
    <cellStyle name="표준 2 19 2 2 6" xfId="10327"/>
    <cellStyle name="표준 2 19 2 2 6 2" xfId="27468"/>
    <cellStyle name="표준 2 19 2 2 7" xfId="27459"/>
    <cellStyle name="표준 2 19 2 3" xfId="10328"/>
    <cellStyle name="표준 2 19 2 3 2" xfId="10329"/>
    <cellStyle name="표준 2 19 2 3 2 2" xfId="10330"/>
    <cellStyle name="표준 2 19 2 3 2 2 2" xfId="27471"/>
    <cellStyle name="표준 2 19 2 3 2 3" xfId="27470"/>
    <cellStyle name="표준 2 19 2 3 3" xfId="10331"/>
    <cellStyle name="표준 2 19 2 3 3 2" xfId="10332"/>
    <cellStyle name="표준 2 19 2 3 3 2 2" xfId="27473"/>
    <cellStyle name="표준 2 19 2 3 3 3" xfId="27472"/>
    <cellStyle name="표준 2 19 2 3 4" xfId="10333"/>
    <cellStyle name="표준 2 19 2 3 4 2" xfId="10334"/>
    <cellStyle name="표준 2 19 2 3 4 2 2" xfId="27475"/>
    <cellStyle name="표준 2 19 2 3 4 3" xfId="27474"/>
    <cellStyle name="표준 2 19 2 3 5" xfId="10335"/>
    <cellStyle name="표준 2 19 2 3 5 2" xfId="10336"/>
    <cellStyle name="표준 2 19 2 3 5 2 2" xfId="27477"/>
    <cellStyle name="표준 2 19 2 3 5 3" xfId="27476"/>
    <cellStyle name="표준 2 19 2 3 6" xfId="10337"/>
    <cellStyle name="표준 2 19 2 3 6 2" xfId="27478"/>
    <cellStyle name="표준 2 19 2 3 7" xfId="27469"/>
    <cellStyle name="표준 2 19 2 4" xfId="10338"/>
    <cellStyle name="표준 2 19 2 4 2" xfId="10339"/>
    <cellStyle name="표준 2 19 2 4 2 2" xfId="27480"/>
    <cellStyle name="표준 2 19 2 4 3" xfId="27479"/>
    <cellStyle name="표준 2 19 2 5" xfId="10340"/>
    <cellStyle name="표준 2 19 2 5 2" xfId="10341"/>
    <cellStyle name="표준 2 19 2 5 2 2" xfId="27482"/>
    <cellStyle name="표준 2 19 2 5 3" xfId="27481"/>
    <cellStyle name="표준 2 19 2 6" xfId="10342"/>
    <cellStyle name="표준 2 19 2 6 2" xfId="10343"/>
    <cellStyle name="표준 2 19 2 6 2 2" xfId="27484"/>
    <cellStyle name="표준 2 19 2 6 3" xfId="27483"/>
    <cellStyle name="표준 2 19 2 7" xfId="10344"/>
    <cellStyle name="표준 2 19 2 7 2" xfId="10345"/>
    <cellStyle name="표준 2 19 2 7 2 2" xfId="27486"/>
    <cellStyle name="표준 2 19 2 7 3" xfId="27485"/>
    <cellStyle name="표준 2 19 2 8" xfId="10346"/>
    <cellStyle name="표준 2 19 2 8 2" xfId="27487"/>
    <cellStyle name="표준 2 19 2 9" xfId="27458"/>
    <cellStyle name="표준 2 19 3" xfId="10347"/>
    <cellStyle name="표준 2 19 3 2" xfId="10348"/>
    <cellStyle name="표준 2 19 3 2 2" xfId="10349"/>
    <cellStyle name="표준 2 19 3 2 2 2" xfId="27490"/>
    <cellStyle name="표준 2 19 3 2 3" xfId="27489"/>
    <cellStyle name="표준 2 19 3 3" xfId="10350"/>
    <cellStyle name="표준 2 19 3 3 2" xfId="10351"/>
    <cellStyle name="표준 2 19 3 3 2 2" xfId="27492"/>
    <cellStyle name="표준 2 19 3 3 3" xfId="27491"/>
    <cellStyle name="표준 2 19 3 4" xfId="10352"/>
    <cellStyle name="표준 2 19 3 4 2" xfId="10353"/>
    <cellStyle name="표준 2 19 3 4 2 2" xfId="27494"/>
    <cellStyle name="표준 2 19 3 4 3" xfId="27493"/>
    <cellStyle name="표준 2 19 3 5" xfId="10354"/>
    <cellStyle name="표준 2 19 3 5 2" xfId="10355"/>
    <cellStyle name="표준 2 19 3 5 2 2" xfId="27496"/>
    <cellStyle name="표준 2 19 3 5 3" xfId="27495"/>
    <cellStyle name="표준 2 19 3 6" xfId="10356"/>
    <cellStyle name="표준 2 19 3 6 2" xfId="27497"/>
    <cellStyle name="표준 2 19 3 7" xfId="27488"/>
    <cellStyle name="표준 2 19 4" xfId="10357"/>
    <cellStyle name="표준 2 19 4 2" xfId="10358"/>
    <cellStyle name="표준 2 19 4 2 2" xfId="10359"/>
    <cellStyle name="표준 2 19 4 2 2 2" xfId="27500"/>
    <cellStyle name="표준 2 19 4 2 3" xfId="27499"/>
    <cellStyle name="표준 2 19 4 3" xfId="10360"/>
    <cellStyle name="표준 2 19 4 3 2" xfId="10361"/>
    <cellStyle name="표준 2 19 4 3 2 2" xfId="27502"/>
    <cellStyle name="표준 2 19 4 3 3" xfId="27501"/>
    <cellStyle name="표준 2 19 4 4" xfId="10362"/>
    <cellStyle name="표준 2 19 4 4 2" xfId="10363"/>
    <cellStyle name="표준 2 19 4 4 2 2" xfId="27504"/>
    <cellStyle name="표준 2 19 4 4 3" xfId="27503"/>
    <cellStyle name="표준 2 19 4 5" xfId="10364"/>
    <cellStyle name="표준 2 19 4 5 2" xfId="10365"/>
    <cellStyle name="표준 2 19 4 5 2 2" xfId="27506"/>
    <cellStyle name="표준 2 19 4 5 3" xfId="27505"/>
    <cellStyle name="표준 2 19 4 6" xfId="10366"/>
    <cellStyle name="표준 2 19 4 6 2" xfId="27507"/>
    <cellStyle name="표준 2 19 4 7" xfId="27498"/>
    <cellStyle name="표준 2 19 5" xfId="10367"/>
    <cellStyle name="표준 2 19 5 2" xfId="10368"/>
    <cellStyle name="표준 2 19 5 2 2" xfId="27509"/>
    <cellStyle name="표준 2 19 5 3" xfId="27508"/>
    <cellStyle name="표준 2 19 6" xfId="10369"/>
    <cellStyle name="표준 2 19 6 2" xfId="10370"/>
    <cellStyle name="표준 2 19 6 2 2" xfId="27511"/>
    <cellStyle name="표준 2 19 6 3" xfId="27510"/>
    <cellStyle name="표준 2 19 7" xfId="10371"/>
    <cellStyle name="표준 2 19 7 2" xfId="10372"/>
    <cellStyle name="표준 2 19 7 2 2" xfId="27513"/>
    <cellStyle name="표준 2 19 7 3" xfId="27512"/>
    <cellStyle name="표준 2 19 8" xfId="10373"/>
    <cellStyle name="표준 2 19 8 2" xfId="10374"/>
    <cellStyle name="표준 2 19 8 2 2" xfId="27515"/>
    <cellStyle name="표준 2 19 8 3" xfId="27514"/>
    <cellStyle name="표준 2 19 9" xfId="10375"/>
    <cellStyle name="표준 2 19 9 2" xfId="27516"/>
    <cellStyle name="표준 2 2" xfId="142"/>
    <cellStyle name="표준 2 2 10" xfId="35715"/>
    <cellStyle name="표준 2 2 11" xfId="35716"/>
    <cellStyle name="표준 2 2 12" xfId="35717"/>
    <cellStyle name="표준 2 2 13" xfId="35718"/>
    <cellStyle name="표준 2 2 14" xfId="35719"/>
    <cellStyle name="표준 2 2 15" xfId="35720"/>
    <cellStyle name="표준 2 2 16" xfId="35721"/>
    <cellStyle name="표준 2 2 17" xfId="35722"/>
    <cellStyle name="표준 2 2 18" xfId="35723"/>
    <cellStyle name="표준 2 2 19" xfId="35724"/>
    <cellStyle name="표준 2 2 2" xfId="17287"/>
    <cellStyle name="표준 2 2 2 10" xfId="35725"/>
    <cellStyle name="표준 2 2 2 11" xfId="35726"/>
    <cellStyle name="표준 2 2 2 12" xfId="34878"/>
    <cellStyle name="표준 2 2 2 2" xfId="35727"/>
    <cellStyle name="표준 2 2 2 2 10" xfId="35870"/>
    <cellStyle name="표준 2 2 2 2 2" xfId="35728"/>
    <cellStyle name="표준 2 2 2 2 3" xfId="35729"/>
    <cellStyle name="표준 2 2 2 2 4" xfId="35730"/>
    <cellStyle name="표준 2 2 2 2 5" xfId="35731"/>
    <cellStyle name="표준 2 2 2 2 6" xfId="35732"/>
    <cellStyle name="표준 2 2 2 2 7" xfId="35733"/>
    <cellStyle name="표준 2 2 2 2 8" xfId="35734"/>
    <cellStyle name="표준 2 2 2 2 9" xfId="35735"/>
    <cellStyle name="표준 2 2 2 3" xfId="35736"/>
    <cellStyle name="표준 2 2 2 4" xfId="35737"/>
    <cellStyle name="표준 2 2 2 5" xfId="35738"/>
    <cellStyle name="표준 2 2 2 6" xfId="35739"/>
    <cellStyle name="표준 2 2 2 7" xfId="35740"/>
    <cellStyle name="표준 2 2 2 8" xfId="35741"/>
    <cellStyle name="표준 2 2 2 9" xfId="35742"/>
    <cellStyle name="표준 2 2 20" xfId="35743"/>
    <cellStyle name="표준 2 2 21" xfId="35744"/>
    <cellStyle name="표준 2 2 22" xfId="35745"/>
    <cellStyle name="표준 2 2 23" xfId="35746"/>
    <cellStyle name="표준 2 2 24" xfId="35747"/>
    <cellStyle name="표준 2 2 25" xfId="35748"/>
    <cellStyle name="표준 2 2 26" xfId="35749"/>
    <cellStyle name="표준 2 2 27" xfId="35750"/>
    <cellStyle name="표준 2 2 28" xfId="35751"/>
    <cellStyle name="표준 2 2 29" xfId="35752"/>
    <cellStyle name="표준 2 2 3" xfId="35753"/>
    <cellStyle name="표준 2 2 30" xfId="35754"/>
    <cellStyle name="표준 2 2 31" xfId="35755"/>
    <cellStyle name="표준 2 2 32" xfId="35756"/>
    <cellStyle name="표준 2 2 33" xfId="35757"/>
    <cellStyle name="표준 2 2 34" xfId="35758"/>
    <cellStyle name="표준 2 2 35" xfId="35759"/>
    <cellStyle name="표준 2 2 36" xfId="35760"/>
    <cellStyle name="표준 2 2 37" xfId="35761"/>
    <cellStyle name="표준 2 2 38" xfId="35762"/>
    <cellStyle name="표준 2 2 39" xfId="34877"/>
    <cellStyle name="표준 2 2 4" xfId="35763"/>
    <cellStyle name="표준 2 2 5" xfId="35764"/>
    <cellStyle name="표준 2 2 6" xfId="35765"/>
    <cellStyle name="표준 2 2 7" xfId="35766"/>
    <cellStyle name="표준 2 2 8" xfId="35767"/>
    <cellStyle name="표준 2 2 9" xfId="35768"/>
    <cellStyle name="표준 2 20" xfId="10376"/>
    <cellStyle name="표준 2 20 10" xfId="27517"/>
    <cellStyle name="표준 2 20 11" xfId="35769"/>
    <cellStyle name="표준 2 20 2" xfId="10377"/>
    <cellStyle name="표준 2 20 2 2" xfId="10378"/>
    <cellStyle name="표준 2 20 2 2 2" xfId="10379"/>
    <cellStyle name="표준 2 20 2 2 2 2" xfId="10380"/>
    <cellStyle name="표준 2 20 2 2 2 2 2" xfId="27521"/>
    <cellStyle name="표준 2 20 2 2 2 3" xfId="27520"/>
    <cellStyle name="표준 2 20 2 2 3" xfId="10381"/>
    <cellStyle name="표준 2 20 2 2 3 2" xfId="10382"/>
    <cellStyle name="표준 2 20 2 2 3 2 2" xfId="27523"/>
    <cellStyle name="표준 2 20 2 2 3 3" xfId="27522"/>
    <cellStyle name="표준 2 20 2 2 4" xfId="10383"/>
    <cellStyle name="표준 2 20 2 2 4 2" xfId="10384"/>
    <cellStyle name="표준 2 20 2 2 4 2 2" xfId="27525"/>
    <cellStyle name="표준 2 20 2 2 4 3" xfId="27524"/>
    <cellStyle name="표준 2 20 2 2 5" xfId="10385"/>
    <cellStyle name="표준 2 20 2 2 5 2" xfId="10386"/>
    <cellStyle name="표준 2 20 2 2 5 2 2" xfId="27527"/>
    <cellStyle name="표준 2 20 2 2 5 3" xfId="27526"/>
    <cellStyle name="표준 2 20 2 2 6" xfId="10387"/>
    <cellStyle name="표준 2 20 2 2 6 2" xfId="27528"/>
    <cellStyle name="표준 2 20 2 2 7" xfId="27519"/>
    <cellStyle name="표준 2 20 2 3" xfId="10388"/>
    <cellStyle name="표준 2 20 2 3 2" xfId="10389"/>
    <cellStyle name="표준 2 20 2 3 2 2" xfId="10390"/>
    <cellStyle name="표준 2 20 2 3 2 2 2" xfId="27531"/>
    <cellStyle name="표준 2 20 2 3 2 3" xfId="27530"/>
    <cellStyle name="표준 2 20 2 3 3" xfId="10391"/>
    <cellStyle name="표준 2 20 2 3 3 2" xfId="10392"/>
    <cellStyle name="표준 2 20 2 3 3 2 2" xfId="27533"/>
    <cellStyle name="표준 2 20 2 3 3 3" xfId="27532"/>
    <cellStyle name="표준 2 20 2 3 4" xfId="10393"/>
    <cellStyle name="표준 2 20 2 3 4 2" xfId="10394"/>
    <cellStyle name="표준 2 20 2 3 4 2 2" xfId="27535"/>
    <cellStyle name="표준 2 20 2 3 4 3" xfId="27534"/>
    <cellStyle name="표준 2 20 2 3 5" xfId="10395"/>
    <cellStyle name="표준 2 20 2 3 5 2" xfId="10396"/>
    <cellStyle name="표준 2 20 2 3 5 2 2" xfId="27537"/>
    <cellStyle name="표준 2 20 2 3 5 3" xfId="27536"/>
    <cellStyle name="표준 2 20 2 3 6" xfId="10397"/>
    <cellStyle name="표준 2 20 2 3 6 2" xfId="27538"/>
    <cellStyle name="표준 2 20 2 3 7" xfId="27529"/>
    <cellStyle name="표준 2 20 2 4" xfId="10398"/>
    <cellStyle name="표준 2 20 2 4 2" xfId="10399"/>
    <cellStyle name="표준 2 20 2 4 2 2" xfId="27540"/>
    <cellStyle name="표준 2 20 2 4 3" xfId="27539"/>
    <cellStyle name="표준 2 20 2 5" xfId="10400"/>
    <cellStyle name="표준 2 20 2 5 2" xfId="10401"/>
    <cellStyle name="표준 2 20 2 5 2 2" xfId="27542"/>
    <cellStyle name="표준 2 20 2 5 3" xfId="27541"/>
    <cellStyle name="표준 2 20 2 6" xfId="10402"/>
    <cellStyle name="표준 2 20 2 6 2" xfId="10403"/>
    <cellStyle name="표준 2 20 2 6 2 2" xfId="27544"/>
    <cellStyle name="표준 2 20 2 6 3" xfId="27543"/>
    <cellStyle name="표준 2 20 2 7" xfId="10404"/>
    <cellStyle name="표준 2 20 2 7 2" xfId="10405"/>
    <cellStyle name="표준 2 20 2 7 2 2" xfId="27546"/>
    <cellStyle name="표준 2 20 2 7 3" xfId="27545"/>
    <cellStyle name="표준 2 20 2 8" xfId="10406"/>
    <cellStyle name="표준 2 20 2 8 2" xfId="27547"/>
    <cellStyle name="표준 2 20 2 9" xfId="27518"/>
    <cellStyle name="표준 2 20 3" xfId="10407"/>
    <cellStyle name="표준 2 20 3 2" xfId="10408"/>
    <cellStyle name="표준 2 20 3 2 2" xfId="10409"/>
    <cellStyle name="표준 2 20 3 2 2 2" xfId="27550"/>
    <cellStyle name="표준 2 20 3 2 3" xfId="27549"/>
    <cellStyle name="표준 2 20 3 3" xfId="10410"/>
    <cellStyle name="표준 2 20 3 3 2" xfId="10411"/>
    <cellStyle name="표준 2 20 3 3 2 2" xfId="27552"/>
    <cellStyle name="표준 2 20 3 3 3" xfId="27551"/>
    <cellStyle name="표준 2 20 3 4" xfId="10412"/>
    <cellStyle name="표준 2 20 3 4 2" xfId="10413"/>
    <cellStyle name="표준 2 20 3 4 2 2" xfId="27554"/>
    <cellStyle name="표준 2 20 3 4 3" xfId="27553"/>
    <cellStyle name="표준 2 20 3 5" xfId="10414"/>
    <cellStyle name="표준 2 20 3 5 2" xfId="10415"/>
    <cellStyle name="표준 2 20 3 5 2 2" xfId="27556"/>
    <cellStyle name="표준 2 20 3 5 3" xfId="27555"/>
    <cellStyle name="표준 2 20 3 6" xfId="10416"/>
    <cellStyle name="표준 2 20 3 6 2" xfId="27557"/>
    <cellStyle name="표준 2 20 3 7" xfId="27548"/>
    <cellStyle name="표준 2 20 4" xfId="10417"/>
    <cellStyle name="표준 2 20 4 2" xfId="10418"/>
    <cellStyle name="표준 2 20 4 2 2" xfId="10419"/>
    <cellStyle name="표준 2 20 4 2 2 2" xfId="27560"/>
    <cellStyle name="표준 2 20 4 2 3" xfId="27559"/>
    <cellStyle name="표준 2 20 4 3" xfId="10420"/>
    <cellStyle name="표준 2 20 4 3 2" xfId="10421"/>
    <cellStyle name="표준 2 20 4 3 2 2" xfId="27562"/>
    <cellStyle name="표준 2 20 4 3 3" xfId="27561"/>
    <cellStyle name="표준 2 20 4 4" xfId="10422"/>
    <cellStyle name="표준 2 20 4 4 2" xfId="10423"/>
    <cellStyle name="표준 2 20 4 4 2 2" xfId="27564"/>
    <cellStyle name="표준 2 20 4 4 3" xfId="27563"/>
    <cellStyle name="표준 2 20 4 5" xfId="10424"/>
    <cellStyle name="표준 2 20 4 5 2" xfId="10425"/>
    <cellStyle name="표준 2 20 4 5 2 2" xfId="27566"/>
    <cellStyle name="표준 2 20 4 5 3" xfId="27565"/>
    <cellStyle name="표준 2 20 4 6" xfId="10426"/>
    <cellStyle name="표준 2 20 4 6 2" xfId="27567"/>
    <cellStyle name="표준 2 20 4 7" xfId="27558"/>
    <cellStyle name="표준 2 20 5" xfId="10427"/>
    <cellStyle name="표준 2 20 5 2" xfId="10428"/>
    <cellStyle name="표준 2 20 5 2 2" xfId="27569"/>
    <cellStyle name="표준 2 20 5 3" xfId="27568"/>
    <cellStyle name="표준 2 20 6" xfId="10429"/>
    <cellStyle name="표준 2 20 6 2" xfId="10430"/>
    <cellStyle name="표준 2 20 6 2 2" xfId="27571"/>
    <cellStyle name="표준 2 20 6 3" xfId="27570"/>
    <cellStyle name="표준 2 20 7" xfId="10431"/>
    <cellStyle name="표준 2 20 7 2" xfId="10432"/>
    <cellStyle name="표준 2 20 7 2 2" xfId="27573"/>
    <cellStyle name="표준 2 20 7 3" xfId="27572"/>
    <cellStyle name="표준 2 20 8" xfId="10433"/>
    <cellStyle name="표준 2 20 8 2" xfId="10434"/>
    <cellStyle name="표준 2 20 8 2 2" xfId="27575"/>
    <cellStyle name="표준 2 20 8 3" xfId="27574"/>
    <cellStyle name="표준 2 20 9" xfId="10435"/>
    <cellStyle name="표준 2 20 9 2" xfId="27576"/>
    <cellStyle name="표준 2 21" xfId="10436"/>
    <cellStyle name="표준 2 21 10" xfId="27577"/>
    <cellStyle name="표준 2 21 11" xfId="35770"/>
    <cellStyle name="표준 2 21 2" xfId="10437"/>
    <cellStyle name="표준 2 21 2 2" xfId="10438"/>
    <cellStyle name="표준 2 21 2 2 2" xfId="10439"/>
    <cellStyle name="표준 2 21 2 2 2 2" xfId="10440"/>
    <cellStyle name="표준 2 21 2 2 2 2 2" xfId="27581"/>
    <cellStyle name="표준 2 21 2 2 2 3" xfId="27580"/>
    <cellStyle name="표준 2 21 2 2 3" xfId="10441"/>
    <cellStyle name="표준 2 21 2 2 3 2" xfId="10442"/>
    <cellStyle name="표준 2 21 2 2 3 2 2" xfId="27583"/>
    <cellStyle name="표준 2 21 2 2 3 3" xfId="27582"/>
    <cellStyle name="표준 2 21 2 2 4" xfId="10443"/>
    <cellStyle name="표준 2 21 2 2 4 2" xfId="10444"/>
    <cellStyle name="표준 2 21 2 2 4 2 2" xfId="27585"/>
    <cellStyle name="표준 2 21 2 2 4 3" xfId="27584"/>
    <cellStyle name="표준 2 21 2 2 5" xfId="10445"/>
    <cellStyle name="표준 2 21 2 2 5 2" xfId="10446"/>
    <cellStyle name="표준 2 21 2 2 5 2 2" xfId="27587"/>
    <cellStyle name="표준 2 21 2 2 5 3" xfId="27586"/>
    <cellStyle name="표준 2 21 2 2 6" xfId="10447"/>
    <cellStyle name="표준 2 21 2 2 6 2" xfId="27588"/>
    <cellStyle name="표준 2 21 2 2 7" xfId="27579"/>
    <cellStyle name="표준 2 21 2 3" xfId="10448"/>
    <cellStyle name="표준 2 21 2 3 2" xfId="10449"/>
    <cellStyle name="표준 2 21 2 3 2 2" xfId="10450"/>
    <cellStyle name="표준 2 21 2 3 2 2 2" xfId="27591"/>
    <cellStyle name="표준 2 21 2 3 2 3" xfId="27590"/>
    <cellStyle name="표준 2 21 2 3 3" xfId="10451"/>
    <cellStyle name="표준 2 21 2 3 3 2" xfId="10452"/>
    <cellStyle name="표준 2 21 2 3 3 2 2" xfId="27593"/>
    <cellStyle name="표준 2 21 2 3 3 3" xfId="27592"/>
    <cellStyle name="표준 2 21 2 3 4" xfId="10453"/>
    <cellStyle name="표준 2 21 2 3 4 2" xfId="10454"/>
    <cellStyle name="표준 2 21 2 3 4 2 2" xfId="27595"/>
    <cellStyle name="표준 2 21 2 3 4 3" xfId="27594"/>
    <cellStyle name="표준 2 21 2 3 5" xfId="10455"/>
    <cellStyle name="표준 2 21 2 3 5 2" xfId="10456"/>
    <cellStyle name="표준 2 21 2 3 5 2 2" xfId="27597"/>
    <cellStyle name="표준 2 21 2 3 5 3" xfId="27596"/>
    <cellStyle name="표준 2 21 2 3 6" xfId="10457"/>
    <cellStyle name="표준 2 21 2 3 6 2" xfId="27598"/>
    <cellStyle name="표준 2 21 2 3 7" xfId="27589"/>
    <cellStyle name="표준 2 21 2 4" xfId="10458"/>
    <cellStyle name="표준 2 21 2 4 2" xfId="10459"/>
    <cellStyle name="표준 2 21 2 4 2 2" xfId="27600"/>
    <cellStyle name="표준 2 21 2 4 3" xfId="27599"/>
    <cellStyle name="표준 2 21 2 5" xfId="10460"/>
    <cellStyle name="표준 2 21 2 5 2" xfId="10461"/>
    <cellStyle name="표준 2 21 2 5 2 2" xfId="27602"/>
    <cellStyle name="표준 2 21 2 5 3" xfId="27601"/>
    <cellStyle name="표준 2 21 2 6" xfId="10462"/>
    <cellStyle name="표준 2 21 2 6 2" xfId="10463"/>
    <cellStyle name="표준 2 21 2 6 2 2" xfId="27604"/>
    <cellStyle name="표준 2 21 2 6 3" xfId="27603"/>
    <cellStyle name="표준 2 21 2 7" xfId="10464"/>
    <cellStyle name="표준 2 21 2 7 2" xfId="10465"/>
    <cellStyle name="표준 2 21 2 7 2 2" xfId="27606"/>
    <cellStyle name="표준 2 21 2 7 3" xfId="27605"/>
    <cellStyle name="표준 2 21 2 8" xfId="10466"/>
    <cellStyle name="표준 2 21 2 8 2" xfId="27607"/>
    <cellStyle name="표준 2 21 2 9" xfId="27578"/>
    <cellStyle name="표준 2 21 3" xfId="10467"/>
    <cellStyle name="표준 2 21 3 2" xfId="10468"/>
    <cellStyle name="표준 2 21 3 2 2" xfId="10469"/>
    <cellStyle name="표준 2 21 3 2 2 2" xfId="27610"/>
    <cellStyle name="표준 2 21 3 2 3" xfId="27609"/>
    <cellStyle name="표준 2 21 3 3" xfId="10470"/>
    <cellStyle name="표준 2 21 3 3 2" xfId="10471"/>
    <cellStyle name="표준 2 21 3 3 2 2" xfId="27612"/>
    <cellStyle name="표준 2 21 3 3 3" xfId="27611"/>
    <cellStyle name="표준 2 21 3 4" xfId="10472"/>
    <cellStyle name="표준 2 21 3 4 2" xfId="10473"/>
    <cellStyle name="표준 2 21 3 4 2 2" xfId="27614"/>
    <cellStyle name="표준 2 21 3 4 3" xfId="27613"/>
    <cellStyle name="표준 2 21 3 5" xfId="10474"/>
    <cellStyle name="표준 2 21 3 5 2" xfId="10475"/>
    <cellStyle name="표준 2 21 3 5 2 2" xfId="27616"/>
    <cellStyle name="표준 2 21 3 5 3" xfId="27615"/>
    <cellStyle name="표준 2 21 3 6" xfId="10476"/>
    <cellStyle name="표준 2 21 3 6 2" xfId="27617"/>
    <cellStyle name="표준 2 21 3 7" xfId="27608"/>
    <cellStyle name="표준 2 21 4" xfId="10477"/>
    <cellStyle name="표준 2 21 4 2" xfId="10478"/>
    <cellStyle name="표준 2 21 4 2 2" xfId="10479"/>
    <cellStyle name="표준 2 21 4 2 2 2" xfId="27620"/>
    <cellStyle name="표준 2 21 4 2 3" xfId="27619"/>
    <cellStyle name="표준 2 21 4 3" xfId="10480"/>
    <cellStyle name="표준 2 21 4 3 2" xfId="10481"/>
    <cellStyle name="표준 2 21 4 3 2 2" xfId="27622"/>
    <cellStyle name="표준 2 21 4 3 3" xfId="27621"/>
    <cellStyle name="표준 2 21 4 4" xfId="10482"/>
    <cellStyle name="표준 2 21 4 4 2" xfId="10483"/>
    <cellStyle name="표준 2 21 4 4 2 2" xfId="27624"/>
    <cellStyle name="표준 2 21 4 4 3" xfId="27623"/>
    <cellStyle name="표준 2 21 4 5" xfId="10484"/>
    <cellStyle name="표준 2 21 4 5 2" xfId="10485"/>
    <cellStyle name="표준 2 21 4 5 2 2" xfId="27626"/>
    <cellStyle name="표준 2 21 4 5 3" xfId="27625"/>
    <cellStyle name="표준 2 21 4 6" xfId="10486"/>
    <cellStyle name="표준 2 21 4 6 2" xfId="27627"/>
    <cellStyle name="표준 2 21 4 7" xfId="27618"/>
    <cellStyle name="표준 2 21 5" xfId="10487"/>
    <cellStyle name="표준 2 21 5 2" xfId="10488"/>
    <cellStyle name="표준 2 21 5 2 2" xfId="27629"/>
    <cellStyle name="표준 2 21 5 3" xfId="27628"/>
    <cellStyle name="표준 2 21 6" xfId="10489"/>
    <cellStyle name="표준 2 21 6 2" xfId="10490"/>
    <cellStyle name="표준 2 21 6 2 2" xfId="27631"/>
    <cellStyle name="표준 2 21 6 3" xfId="27630"/>
    <cellStyle name="표준 2 21 7" xfId="10491"/>
    <cellStyle name="표준 2 21 7 2" xfId="10492"/>
    <cellStyle name="표준 2 21 7 2 2" xfId="27633"/>
    <cellStyle name="표준 2 21 7 3" xfId="27632"/>
    <cellStyle name="표준 2 21 8" xfId="10493"/>
    <cellStyle name="표준 2 21 8 2" xfId="10494"/>
    <cellStyle name="표준 2 21 8 2 2" xfId="27635"/>
    <cellStyle name="표준 2 21 8 3" xfId="27634"/>
    <cellStyle name="표준 2 21 9" xfId="10495"/>
    <cellStyle name="표준 2 21 9 2" xfId="27636"/>
    <cellStyle name="표준 2 22" xfId="10496"/>
    <cellStyle name="표준 2 22 10" xfId="27637"/>
    <cellStyle name="표준 2 22 11" xfId="35771"/>
    <cellStyle name="표준 2 22 2" xfId="10497"/>
    <cellStyle name="표준 2 22 2 2" xfId="10498"/>
    <cellStyle name="표준 2 22 2 2 2" xfId="10499"/>
    <cellStyle name="표준 2 22 2 2 2 2" xfId="10500"/>
    <cellStyle name="표준 2 22 2 2 2 2 2" xfId="27641"/>
    <cellStyle name="표준 2 22 2 2 2 3" xfId="27640"/>
    <cellStyle name="표준 2 22 2 2 3" xfId="10501"/>
    <cellStyle name="표준 2 22 2 2 3 2" xfId="10502"/>
    <cellStyle name="표준 2 22 2 2 3 2 2" xfId="27643"/>
    <cellStyle name="표준 2 22 2 2 3 3" xfId="27642"/>
    <cellStyle name="표준 2 22 2 2 4" xfId="10503"/>
    <cellStyle name="표준 2 22 2 2 4 2" xfId="10504"/>
    <cellStyle name="표준 2 22 2 2 4 2 2" xfId="27645"/>
    <cellStyle name="표준 2 22 2 2 4 3" xfId="27644"/>
    <cellStyle name="표준 2 22 2 2 5" xfId="10505"/>
    <cellStyle name="표준 2 22 2 2 5 2" xfId="10506"/>
    <cellStyle name="표준 2 22 2 2 5 2 2" xfId="27647"/>
    <cellStyle name="표준 2 22 2 2 5 3" xfId="27646"/>
    <cellStyle name="표준 2 22 2 2 6" xfId="10507"/>
    <cellStyle name="표준 2 22 2 2 6 2" xfId="27648"/>
    <cellStyle name="표준 2 22 2 2 7" xfId="27639"/>
    <cellStyle name="표준 2 22 2 3" xfId="10508"/>
    <cellStyle name="표준 2 22 2 3 2" xfId="10509"/>
    <cellStyle name="표준 2 22 2 3 2 2" xfId="10510"/>
    <cellStyle name="표준 2 22 2 3 2 2 2" xfId="27651"/>
    <cellStyle name="표준 2 22 2 3 2 3" xfId="27650"/>
    <cellStyle name="표준 2 22 2 3 3" xfId="10511"/>
    <cellStyle name="표준 2 22 2 3 3 2" xfId="10512"/>
    <cellStyle name="표준 2 22 2 3 3 2 2" xfId="27653"/>
    <cellStyle name="표준 2 22 2 3 3 3" xfId="27652"/>
    <cellStyle name="표준 2 22 2 3 4" xfId="10513"/>
    <cellStyle name="표준 2 22 2 3 4 2" xfId="10514"/>
    <cellStyle name="표준 2 22 2 3 4 2 2" xfId="27655"/>
    <cellStyle name="표준 2 22 2 3 4 3" xfId="27654"/>
    <cellStyle name="표준 2 22 2 3 5" xfId="10515"/>
    <cellStyle name="표준 2 22 2 3 5 2" xfId="10516"/>
    <cellStyle name="표준 2 22 2 3 5 2 2" xfId="27657"/>
    <cellStyle name="표준 2 22 2 3 5 3" xfId="27656"/>
    <cellStyle name="표준 2 22 2 3 6" xfId="10517"/>
    <cellStyle name="표준 2 22 2 3 6 2" xfId="27658"/>
    <cellStyle name="표준 2 22 2 3 7" xfId="27649"/>
    <cellStyle name="표준 2 22 2 4" xfId="10518"/>
    <cellStyle name="표준 2 22 2 4 2" xfId="10519"/>
    <cellStyle name="표준 2 22 2 4 2 2" xfId="27660"/>
    <cellStyle name="표준 2 22 2 4 3" xfId="27659"/>
    <cellStyle name="표준 2 22 2 5" xfId="10520"/>
    <cellStyle name="표준 2 22 2 5 2" xfId="10521"/>
    <cellStyle name="표준 2 22 2 5 2 2" xfId="27662"/>
    <cellStyle name="표준 2 22 2 5 3" xfId="27661"/>
    <cellStyle name="표준 2 22 2 6" xfId="10522"/>
    <cellStyle name="표준 2 22 2 6 2" xfId="10523"/>
    <cellStyle name="표준 2 22 2 6 2 2" xfId="27664"/>
    <cellStyle name="표준 2 22 2 6 3" xfId="27663"/>
    <cellStyle name="표준 2 22 2 7" xfId="10524"/>
    <cellStyle name="표준 2 22 2 7 2" xfId="10525"/>
    <cellStyle name="표준 2 22 2 7 2 2" xfId="27666"/>
    <cellStyle name="표준 2 22 2 7 3" xfId="27665"/>
    <cellStyle name="표준 2 22 2 8" xfId="10526"/>
    <cellStyle name="표준 2 22 2 8 2" xfId="27667"/>
    <cellStyle name="표준 2 22 2 9" xfId="27638"/>
    <cellStyle name="표준 2 22 3" xfId="10527"/>
    <cellStyle name="표준 2 22 3 2" xfId="10528"/>
    <cellStyle name="표준 2 22 3 2 2" xfId="10529"/>
    <cellStyle name="표준 2 22 3 2 2 2" xfId="27670"/>
    <cellStyle name="표준 2 22 3 2 3" xfId="27669"/>
    <cellStyle name="표준 2 22 3 3" xfId="10530"/>
    <cellStyle name="표준 2 22 3 3 2" xfId="10531"/>
    <cellStyle name="표준 2 22 3 3 2 2" xfId="27672"/>
    <cellStyle name="표준 2 22 3 3 3" xfId="27671"/>
    <cellStyle name="표준 2 22 3 4" xfId="10532"/>
    <cellStyle name="표준 2 22 3 4 2" xfId="10533"/>
    <cellStyle name="표준 2 22 3 4 2 2" xfId="27674"/>
    <cellStyle name="표준 2 22 3 4 3" xfId="27673"/>
    <cellStyle name="표준 2 22 3 5" xfId="10534"/>
    <cellStyle name="표준 2 22 3 5 2" xfId="10535"/>
    <cellStyle name="표준 2 22 3 5 2 2" xfId="27676"/>
    <cellStyle name="표준 2 22 3 5 3" xfId="27675"/>
    <cellStyle name="표준 2 22 3 6" xfId="10536"/>
    <cellStyle name="표준 2 22 3 6 2" xfId="27677"/>
    <cellStyle name="표준 2 22 3 7" xfId="27668"/>
    <cellStyle name="표준 2 22 4" xfId="10537"/>
    <cellStyle name="표준 2 22 4 2" xfId="10538"/>
    <cellStyle name="표준 2 22 4 2 2" xfId="10539"/>
    <cellStyle name="표준 2 22 4 2 2 2" xfId="27680"/>
    <cellStyle name="표준 2 22 4 2 3" xfId="27679"/>
    <cellStyle name="표준 2 22 4 3" xfId="10540"/>
    <cellStyle name="표준 2 22 4 3 2" xfId="10541"/>
    <cellStyle name="표준 2 22 4 3 2 2" xfId="27682"/>
    <cellStyle name="표준 2 22 4 3 3" xfId="27681"/>
    <cellStyle name="표준 2 22 4 4" xfId="10542"/>
    <cellStyle name="표준 2 22 4 4 2" xfId="10543"/>
    <cellStyle name="표준 2 22 4 4 2 2" xfId="27684"/>
    <cellStyle name="표준 2 22 4 4 3" xfId="27683"/>
    <cellStyle name="표준 2 22 4 5" xfId="10544"/>
    <cellStyle name="표준 2 22 4 5 2" xfId="10545"/>
    <cellStyle name="표준 2 22 4 5 2 2" xfId="27686"/>
    <cellStyle name="표준 2 22 4 5 3" xfId="27685"/>
    <cellStyle name="표준 2 22 4 6" xfId="10546"/>
    <cellStyle name="표준 2 22 4 6 2" xfId="27687"/>
    <cellStyle name="표준 2 22 4 7" xfId="27678"/>
    <cellStyle name="표준 2 22 5" xfId="10547"/>
    <cellStyle name="표준 2 22 5 2" xfId="10548"/>
    <cellStyle name="표준 2 22 5 2 2" xfId="27689"/>
    <cellStyle name="표준 2 22 5 3" xfId="27688"/>
    <cellStyle name="표준 2 22 6" xfId="10549"/>
    <cellStyle name="표준 2 22 6 2" xfId="10550"/>
    <cellStyle name="표준 2 22 6 2 2" xfId="27691"/>
    <cellStyle name="표준 2 22 6 3" xfId="27690"/>
    <cellStyle name="표준 2 22 7" xfId="10551"/>
    <cellStyle name="표준 2 22 7 2" xfId="10552"/>
    <cellStyle name="표준 2 22 7 2 2" xfId="27693"/>
    <cellStyle name="표준 2 22 7 3" xfId="27692"/>
    <cellStyle name="표준 2 22 8" xfId="10553"/>
    <cellStyle name="표준 2 22 8 2" xfId="10554"/>
    <cellStyle name="표준 2 22 8 2 2" xfId="27695"/>
    <cellStyle name="표준 2 22 8 3" xfId="27694"/>
    <cellStyle name="표준 2 22 9" xfId="10555"/>
    <cellStyle name="표준 2 22 9 2" xfId="27696"/>
    <cellStyle name="표준 2 23" xfId="10556"/>
    <cellStyle name="표준 2 23 10" xfId="27697"/>
    <cellStyle name="표준 2 23 11" xfId="35772"/>
    <cellStyle name="표준 2 23 2" xfId="10557"/>
    <cellStyle name="표준 2 23 2 2" xfId="10558"/>
    <cellStyle name="표준 2 23 2 2 2" xfId="10559"/>
    <cellStyle name="표준 2 23 2 2 2 2" xfId="10560"/>
    <cellStyle name="표준 2 23 2 2 2 2 2" xfId="27701"/>
    <cellStyle name="표준 2 23 2 2 2 3" xfId="27700"/>
    <cellStyle name="표준 2 23 2 2 3" xfId="10561"/>
    <cellStyle name="표준 2 23 2 2 3 2" xfId="10562"/>
    <cellStyle name="표준 2 23 2 2 3 2 2" xfId="27703"/>
    <cellStyle name="표준 2 23 2 2 3 3" xfId="27702"/>
    <cellStyle name="표준 2 23 2 2 4" xfId="10563"/>
    <cellStyle name="표준 2 23 2 2 4 2" xfId="10564"/>
    <cellStyle name="표준 2 23 2 2 4 2 2" xfId="27705"/>
    <cellStyle name="표준 2 23 2 2 4 3" xfId="27704"/>
    <cellStyle name="표준 2 23 2 2 5" xfId="10565"/>
    <cellStyle name="표준 2 23 2 2 5 2" xfId="10566"/>
    <cellStyle name="표준 2 23 2 2 5 2 2" xfId="27707"/>
    <cellStyle name="표준 2 23 2 2 5 3" xfId="27706"/>
    <cellStyle name="표준 2 23 2 2 6" xfId="10567"/>
    <cellStyle name="표준 2 23 2 2 6 2" xfId="27708"/>
    <cellStyle name="표준 2 23 2 2 7" xfId="27699"/>
    <cellStyle name="표준 2 23 2 3" xfId="10568"/>
    <cellStyle name="표준 2 23 2 3 2" xfId="10569"/>
    <cellStyle name="표준 2 23 2 3 2 2" xfId="10570"/>
    <cellStyle name="표준 2 23 2 3 2 2 2" xfId="27711"/>
    <cellStyle name="표준 2 23 2 3 2 3" xfId="27710"/>
    <cellStyle name="표준 2 23 2 3 3" xfId="10571"/>
    <cellStyle name="표준 2 23 2 3 3 2" xfId="10572"/>
    <cellStyle name="표준 2 23 2 3 3 2 2" xfId="27713"/>
    <cellStyle name="표준 2 23 2 3 3 3" xfId="27712"/>
    <cellStyle name="표준 2 23 2 3 4" xfId="10573"/>
    <cellStyle name="표준 2 23 2 3 4 2" xfId="10574"/>
    <cellStyle name="표준 2 23 2 3 4 2 2" xfId="27715"/>
    <cellStyle name="표준 2 23 2 3 4 3" xfId="27714"/>
    <cellStyle name="표준 2 23 2 3 5" xfId="10575"/>
    <cellStyle name="표준 2 23 2 3 5 2" xfId="10576"/>
    <cellStyle name="표준 2 23 2 3 5 2 2" xfId="27717"/>
    <cellStyle name="표준 2 23 2 3 5 3" xfId="27716"/>
    <cellStyle name="표준 2 23 2 3 6" xfId="10577"/>
    <cellStyle name="표준 2 23 2 3 6 2" xfId="27718"/>
    <cellStyle name="표준 2 23 2 3 7" xfId="27709"/>
    <cellStyle name="표준 2 23 2 4" xfId="10578"/>
    <cellStyle name="표준 2 23 2 4 2" xfId="10579"/>
    <cellStyle name="표준 2 23 2 4 2 2" xfId="27720"/>
    <cellStyle name="표준 2 23 2 4 3" xfId="27719"/>
    <cellStyle name="표준 2 23 2 5" xfId="10580"/>
    <cellStyle name="표준 2 23 2 5 2" xfId="10581"/>
    <cellStyle name="표준 2 23 2 5 2 2" xfId="27722"/>
    <cellStyle name="표준 2 23 2 5 3" xfId="27721"/>
    <cellStyle name="표준 2 23 2 6" xfId="10582"/>
    <cellStyle name="표준 2 23 2 6 2" xfId="10583"/>
    <cellStyle name="표준 2 23 2 6 2 2" xfId="27724"/>
    <cellStyle name="표준 2 23 2 6 3" xfId="27723"/>
    <cellStyle name="표준 2 23 2 7" xfId="10584"/>
    <cellStyle name="표준 2 23 2 7 2" xfId="10585"/>
    <cellStyle name="표준 2 23 2 7 2 2" xfId="27726"/>
    <cellStyle name="표준 2 23 2 7 3" xfId="27725"/>
    <cellStyle name="표준 2 23 2 8" xfId="10586"/>
    <cellStyle name="표준 2 23 2 8 2" xfId="27727"/>
    <cellStyle name="표준 2 23 2 9" xfId="27698"/>
    <cellStyle name="표준 2 23 3" xfId="10587"/>
    <cellStyle name="표준 2 23 3 2" xfId="10588"/>
    <cellStyle name="표준 2 23 3 2 2" xfId="10589"/>
    <cellStyle name="표준 2 23 3 2 2 2" xfId="27730"/>
    <cellStyle name="표준 2 23 3 2 3" xfId="27729"/>
    <cellStyle name="표준 2 23 3 3" xfId="10590"/>
    <cellStyle name="표준 2 23 3 3 2" xfId="10591"/>
    <cellStyle name="표준 2 23 3 3 2 2" xfId="27732"/>
    <cellStyle name="표준 2 23 3 3 3" xfId="27731"/>
    <cellStyle name="표준 2 23 3 4" xfId="10592"/>
    <cellStyle name="표준 2 23 3 4 2" xfId="10593"/>
    <cellStyle name="표준 2 23 3 4 2 2" xfId="27734"/>
    <cellStyle name="표준 2 23 3 4 3" xfId="27733"/>
    <cellStyle name="표준 2 23 3 5" xfId="10594"/>
    <cellStyle name="표준 2 23 3 5 2" xfId="10595"/>
    <cellStyle name="표준 2 23 3 5 2 2" xfId="27736"/>
    <cellStyle name="표준 2 23 3 5 3" xfId="27735"/>
    <cellStyle name="표준 2 23 3 6" xfId="10596"/>
    <cellStyle name="표준 2 23 3 6 2" xfId="27737"/>
    <cellStyle name="표준 2 23 3 7" xfId="27728"/>
    <cellStyle name="표준 2 23 4" xfId="10597"/>
    <cellStyle name="표준 2 23 4 2" xfId="10598"/>
    <cellStyle name="표준 2 23 4 2 2" xfId="10599"/>
    <cellStyle name="표준 2 23 4 2 2 2" xfId="27740"/>
    <cellStyle name="표준 2 23 4 2 3" xfId="27739"/>
    <cellStyle name="표준 2 23 4 3" xfId="10600"/>
    <cellStyle name="표준 2 23 4 3 2" xfId="10601"/>
    <cellStyle name="표준 2 23 4 3 2 2" xfId="27742"/>
    <cellStyle name="표준 2 23 4 3 3" xfId="27741"/>
    <cellStyle name="표준 2 23 4 4" xfId="10602"/>
    <cellStyle name="표준 2 23 4 4 2" xfId="10603"/>
    <cellStyle name="표준 2 23 4 4 2 2" xfId="27744"/>
    <cellStyle name="표준 2 23 4 4 3" xfId="27743"/>
    <cellStyle name="표준 2 23 4 5" xfId="10604"/>
    <cellStyle name="표준 2 23 4 5 2" xfId="10605"/>
    <cellStyle name="표준 2 23 4 5 2 2" xfId="27746"/>
    <cellStyle name="표준 2 23 4 5 3" xfId="27745"/>
    <cellStyle name="표준 2 23 4 6" xfId="10606"/>
    <cellStyle name="표준 2 23 4 6 2" xfId="27747"/>
    <cellStyle name="표준 2 23 4 7" xfId="27738"/>
    <cellStyle name="표준 2 23 5" xfId="10607"/>
    <cellStyle name="표준 2 23 5 2" xfId="10608"/>
    <cellStyle name="표준 2 23 5 2 2" xfId="27749"/>
    <cellStyle name="표준 2 23 5 3" xfId="27748"/>
    <cellStyle name="표준 2 23 6" xfId="10609"/>
    <cellStyle name="표준 2 23 6 2" xfId="10610"/>
    <cellStyle name="표준 2 23 6 2 2" xfId="27751"/>
    <cellStyle name="표준 2 23 6 3" xfId="27750"/>
    <cellStyle name="표준 2 23 7" xfId="10611"/>
    <cellStyle name="표준 2 23 7 2" xfId="10612"/>
    <cellStyle name="표준 2 23 7 2 2" xfId="27753"/>
    <cellStyle name="표준 2 23 7 3" xfId="27752"/>
    <cellStyle name="표준 2 23 8" xfId="10613"/>
    <cellStyle name="표준 2 23 8 2" xfId="10614"/>
    <cellStyle name="표준 2 23 8 2 2" xfId="27755"/>
    <cellStyle name="표준 2 23 8 3" xfId="27754"/>
    <cellStyle name="표준 2 23 9" xfId="10615"/>
    <cellStyle name="표준 2 23 9 2" xfId="27756"/>
    <cellStyle name="표준 2 24" xfId="10616"/>
    <cellStyle name="표준 2 24 10" xfId="27757"/>
    <cellStyle name="표준 2 24 11" xfId="35773"/>
    <cellStyle name="표준 2 24 2" xfId="10617"/>
    <cellStyle name="표준 2 24 2 2" xfId="10618"/>
    <cellStyle name="표준 2 24 2 2 2" xfId="10619"/>
    <cellStyle name="표준 2 24 2 2 2 2" xfId="10620"/>
    <cellStyle name="표준 2 24 2 2 2 2 2" xfId="27761"/>
    <cellStyle name="표준 2 24 2 2 2 3" xfId="27760"/>
    <cellStyle name="표준 2 24 2 2 3" xfId="10621"/>
    <cellStyle name="표준 2 24 2 2 3 2" xfId="10622"/>
    <cellStyle name="표준 2 24 2 2 3 2 2" xfId="27763"/>
    <cellStyle name="표준 2 24 2 2 3 3" xfId="27762"/>
    <cellStyle name="표준 2 24 2 2 4" xfId="10623"/>
    <cellStyle name="표준 2 24 2 2 4 2" xfId="10624"/>
    <cellStyle name="표준 2 24 2 2 4 2 2" xfId="27765"/>
    <cellStyle name="표준 2 24 2 2 4 3" xfId="27764"/>
    <cellStyle name="표준 2 24 2 2 5" xfId="10625"/>
    <cellStyle name="표준 2 24 2 2 5 2" xfId="10626"/>
    <cellStyle name="표준 2 24 2 2 5 2 2" xfId="27767"/>
    <cellStyle name="표준 2 24 2 2 5 3" xfId="27766"/>
    <cellStyle name="표준 2 24 2 2 6" xfId="10627"/>
    <cellStyle name="표준 2 24 2 2 6 2" xfId="27768"/>
    <cellStyle name="표준 2 24 2 2 7" xfId="27759"/>
    <cellStyle name="표준 2 24 2 3" xfId="10628"/>
    <cellStyle name="표준 2 24 2 3 2" xfId="10629"/>
    <cellStyle name="표준 2 24 2 3 2 2" xfId="10630"/>
    <cellStyle name="표준 2 24 2 3 2 2 2" xfId="27771"/>
    <cellStyle name="표준 2 24 2 3 2 3" xfId="27770"/>
    <cellStyle name="표준 2 24 2 3 3" xfId="10631"/>
    <cellStyle name="표준 2 24 2 3 3 2" xfId="10632"/>
    <cellStyle name="표준 2 24 2 3 3 2 2" xfId="27773"/>
    <cellStyle name="표준 2 24 2 3 3 3" xfId="27772"/>
    <cellStyle name="표준 2 24 2 3 4" xfId="10633"/>
    <cellStyle name="표준 2 24 2 3 4 2" xfId="10634"/>
    <cellStyle name="표준 2 24 2 3 4 2 2" xfId="27775"/>
    <cellStyle name="표준 2 24 2 3 4 3" xfId="27774"/>
    <cellStyle name="표준 2 24 2 3 5" xfId="10635"/>
    <cellStyle name="표준 2 24 2 3 5 2" xfId="10636"/>
    <cellStyle name="표준 2 24 2 3 5 2 2" xfId="27777"/>
    <cellStyle name="표준 2 24 2 3 5 3" xfId="27776"/>
    <cellStyle name="표준 2 24 2 3 6" xfId="10637"/>
    <cellStyle name="표준 2 24 2 3 6 2" xfId="27778"/>
    <cellStyle name="표준 2 24 2 3 7" xfId="27769"/>
    <cellStyle name="표준 2 24 2 4" xfId="10638"/>
    <cellStyle name="표준 2 24 2 4 2" xfId="10639"/>
    <cellStyle name="표준 2 24 2 4 2 2" xfId="27780"/>
    <cellStyle name="표준 2 24 2 4 3" xfId="27779"/>
    <cellStyle name="표준 2 24 2 5" xfId="10640"/>
    <cellStyle name="표준 2 24 2 5 2" xfId="10641"/>
    <cellStyle name="표준 2 24 2 5 2 2" xfId="27782"/>
    <cellStyle name="표준 2 24 2 5 3" xfId="27781"/>
    <cellStyle name="표준 2 24 2 6" xfId="10642"/>
    <cellStyle name="표준 2 24 2 6 2" xfId="10643"/>
    <cellStyle name="표준 2 24 2 6 2 2" xfId="27784"/>
    <cellStyle name="표준 2 24 2 6 3" xfId="27783"/>
    <cellStyle name="표준 2 24 2 7" xfId="10644"/>
    <cellStyle name="표준 2 24 2 7 2" xfId="10645"/>
    <cellStyle name="표준 2 24 2 7 2 2" xfId="27786"/>
    <cellStyle name="표준 2 24 2 7 3" xfId="27785"/>
    <cellStyle name="표준 2 24 2 8" xfId="10646"/>
    <cellStyle name="표준 2 24 2 8 2" xfId="27787"/>
    <cellStyle name="표준 2 24 2 9" xfId="27758"/>
    <cellStyle name="표준 2 24 3" xfId="10647"/>
    <cellStyle name="표준 2 24 3 2" xfId="10648"/>
    <cellStyle name="표준 2 24 3 2 2" xfId="10649"/>
    <cellStyle name="표준 2 24 3 2 2 2" xfId="27790"/>
    <cellStyle name="표준 2 24 3 2 3" xfId="27789"/>
    <cellStyle name="표준 2 24 3 3" xfId="10650"/>
    <cellStyle name="표준 2 24 3 3 2" xfId="10651"/>
    <cellStyle name="표준 2 24 3 3 2 2" xfId="27792"/>
    <cellStyle name="표준 2 24 3 3 3" xfId="27791"/>
    <cellStyle name="표준 2 24 3 4" xfId="10652"/>
    <cellStyle name="표준 2 24 3 4 2" xfId="10653"/>
    <cellStyle name="표준 2 24 3 4 2 2" xfId="27794"/>
    <cellStyle name="표준 2 24 3 4 3" xfId="27793"/>
    <cellStyle name="표준 2 24 3 5" xfId="10654"/>
    <cellStyle name="표준 2 24 3 5 2" xfId="10655"/>
    <cellStyle name="표준 2 24 3 5 2 2" xfId="27796"/>
    <cellStyle name="표준 2 24 3 5 3" xfId="27795"/>
    <cellStyle name="표준 2 24 3 6" xfId="10656"/>
    <cellStyle name="표준 2 24 3 6 2" xfId="27797"/>
    <cellStyle name="표준 2 24 3 7" xfId="27788"/>
    <cellStyle name="표준 2 24 4" xfId="10657"/>
    <cellStyle name="표준 2 24 4 2" xfId="10658"/>
    <cellStyle name="표준 2 24 4 2 2" xfId="10659"/>
    <cellStyle name="표준 2 24 4 2 2 2" xfId="27800"/>
    <cellStyle name="표준 2 24 4 2 3" xfId="27799"/>
    <cellStyle name="표준 2 24 4 3" xfId="10660"/>
    <cellStyle name="표준 2 24 4 3 2" xfId="10661"/>
    <cellStyle name="표준 2 24 4 3 2 2" xfId="27802"/>
    <cellStyle name="표준 2 24 4 3 3" xfId="27801"/>
    <cellStyle name="표준 2 24 4 4" xfId="10662"/>
    <cellStyle name="표준 2 24 4 4 2" xfId="10663"/>
    <cellStyle name="표준 2 24 4 4 2 2" xfId="27804"/>
    <cellStyle name="표준 2 24 4 4 3" xfId="27803"/>
    <cellStyle name="표준 2 24 4 5" xfId="10664"/>
    <cellStyle name="표준 2 24 4 5 2" xfId="10665"/>
    <cellStyle name="표준 2 24 4 5 2 2" xfId="27806"/>
    <cellStyle name="표준 2 24 4 5 3" xfId="27805"/>
    <cellStyle name="표준 2 24 4 6" xfId="10666"/>
    <cellStyle name="표준 2 24 4 6 2" xfId="27807"/>
    <cellStyle name="표준 2 24 4 7" xfId="27798"/>
    <cellStyle name="표준 2 24 5" xfId="10667"/>
    <cellStyle name="표준 2 24 5 2" xfId="10668"/>
    <cellStyle name="표준 2 24 5 2 2" xfId="27809"/>
    <cellStyle name="표준 2 24 5 3" xfId="27808"/>
    <cellStyle name="표준 2 24 6" xfId="10669"/>
    <cellStyle name="표준 2 24 6 2" xfId="10670"/>
    <cellStyle name="표준 2 24 6 2 2" xfId="27811"/>
    <cellStyle name="표준 2 24 6 3" xfId="27810"/>
    <cellStyle name="표준 2 24 7" xfId="10671"/>
    <cellStyle name="표준 2 24 7 2" xfId="10672"/>
    <cellStyle name="표준 2 24 7 2 2" xfId="27813"/>
    <cellStyle name="표준 2 24 7 3" xfId="27812"/>
    <cellStyle name="표준 2 24 8" xfId="10673"/>
    <cellStyle name="표준 2 24 8 2" xfId="10674"/>
    <cellStyle name="표준 2 24 8 2 2" xfId="27815"/>
    <cellStyle name="표준 2 24 8 3" xfId="27814"/>
    <cellStyle name="표준 2 24 9" xfId="10675"/>
    <cellStyle name="표준 2 24 9 2" xfId="27816"/>
    <cellStyle name="표준 2 25" xfId="10676"/>
    <cellStyle name="표준 2 25 10" xfId="27817"/>
    <cellStyle name="표준 2 25 11" xfId="35774"/>
    <cellStyle name="표준 2 25 2" xfId="10677"/>
    <cellStyle name="표준 2 25 2 2" xfId="10678"/>
    <cellStyle name="표준 2 25 2 2 2" xfId="10679"/>
    <cellStyle name="표준 2 25 2 2 2 2" xfId="10680"/>
    <cellStyle name="표준 2 25 2 2 2 2 2" xfId="27821"/>
    <cellStyle name="표준 2 25 2 2 2 3" xfId="27820"/>
    <cellStyle name="표준 2 25 2 2 3" xfId="10681"/>
    <cellStyle name="표준 2 25 2 2 3 2" xfId="10682"/>
    <cellStyle name="표준 2 25 2 2 3 2 2" xfId="27823"/>
    <cellStyle name="표준 2 25 2 2 3 3" xfId="27822"/>
    <cellStyle name="표준 2 25 2 2 4" xfId="10683"/>
    <cellStyle name="표준 2 25 2 2 4 2" xfId="10684"/>
    <cellStyle name="표준 2 25 2 2 4 2 2" xfId="27825"/>
    <cellStyle name="표준 2 25 2 2 4 3" xfId="27824"/>
    <cellStyle name="표준 2 25 2 2 5" xfId="10685"/>
    <cellStyle name="표준 2 25 2 2 5 2" xfId="10686"/>
    <cellStyle name="표준 2 25 2 2 5 2 2" xfId="27827"/>
    <cellStyle name="표준 2 25 2 2 5 3" xfId="27826"/>
    <cellStyle name="표준 2 25 2 2 6" xfId="10687"/>
    <cellStyle name="표준 2 25 2 2 6 2" xfId="27828"/>
    <cellStyle name="표준 2 25 2 2 7" xfId="27819"/>
    <cellStyle name="표준 2 25 2 3" xfId="10688"/>
    <cellStyle name="표준 2 25 2 3 2" xfId="10689"/>
    <cellStyle name="표준 2 25 2 3 2 2" xfId="10690"/>
    <cellStyle name="표준 2 25 2 3 2 2 2" xfId="27831"/>
    <cellStyle name="표준 2 25 2 3 2 3" xfId="27830"/>
    <cellStyle name="표준 2 25 2 3 3" xfId="10691"/>
    <cellStyle name="표준 2 25 2 3 3 2" xfId="10692"/>
    <cellStyle name="표준 2 25 2 3 3 2 2" xfId="27833"/>
    <cellStyle name="표준 2 25 2 3 3 3" xfId="27832"/>
    <cellStyle name="표준 2 25 2 3 4" xfId="10693"/>
    <cellStyle name="표준 2 25 2 3 4 2" xfId="10694"/>
    <cellStyle name="표준 2 25 2 3 4 2 2" xfId="27835"/>
    <cellStyle name="표준 2 25 2 3 4 3" xfId="27834"/>
    <cellStyle name="표준 2 25 2 3 5" xfId="10695"/>
    <cellStyle name="표준 2 25 2 3 5 2" xfId="10696"/>
    <cellStyle name="표준 2 25 2 3 5 2 2" xfId="27837"/>
    <cellStyle name="표준 2 25 2 3 5 3" xfId="27836"/>
    <cellStyle name="표준 2 25 2 3 6" xfId="10697"/>
    <cellStyle name="표준 2 25 2 3 6 2" xfId="27838"/>
    <cellStyle name="표준 2 25 2 3 7" xfId="27829"/>
    <cellStyle name="표준 2 25 2 4" xfId="10698"/>
    <cellStyle name="표준 2 25 2 4 2" xfId="10699"/>
    <cellStyle name="표준 2 25 2 4 2 2" xfId="27840"/>
    <cellStyle name="표준 2 25 2 4 3" xfId="27839"/>
    <cellStyle name="표준 2 25 2 5" xfId="10700"/>
    <cellStyle name="표준 2 25 2 5 2" xfId="10701"/>
    <cellStyle name="표준 2 25 2 5 2 2" xfId="27842"/>
    <cellStyle name="표준 2 25 2 5 3" xfId="27841"/>
    <cellStyle name="표준 2 25 2 6" xfId="10702"/>
    <cellStyle name="표준 2 25 2 6 2" xfId="10703"/>
    <cellStyle name="표준 2 25 2 6 2 2" xfId="27844"/>
    <cellStyle name="표준 2 25 2 6 3" xfId="27843"/>
    <cellStyle name="표준 2 25 2 7" xfId="10704"/>
    <cellStyle name="표준 2 25 2 7 2" xfId="10705"/>
    <cellStyle name="표준 2 25 2 7 2 2" xfId="27846"/>
    <cellStyle name="표준 2 25 2 7 3" xfId="27845"/>
    <cellStyle name="표준 2 25 2 8" xfId="10706"/>
    <cellStyle name="표준 2 25 2 8 2" xfId="27847"/>
    <cellStyle name="표준 2 25 2 9" xfId="27818"/>
    <cellStyle name="표준 2 25 3" xfId="10707"/>
    <cellStyle name="표준 2 25 3 2" xfId="10708"/>
    <cellStyle name="표준 2 25 3 2 2" xfId="10709"/>
    <cellStyle name="표준 2 25 3 2 2 2" xfId="27850"/>
    <cellStyle name="표준 2 25 3 2 3" xfId="27849"/>
    <cellStyle name="표준 2 25 3 3" xfId="10710"/>
    <cellStyle name="표준 2 25 3 3 2" xfId="10711"/>
    <cellStyle name="표준 2 25 3 3 2 2" xfId="27852"/>
    <cellStyle name="표준 2 25 3 3 3" xfId="27851"/>
    <cellStyle name="표준 2 25 3 4" xfId="10712"/>
    <cellStyle name="표준 2 25 3 4 2" xfId="10713"/>
    <cellStyle name="표준 2 25 3 4 2 2" xfId="27854"/>
    <cellStyle name="표준 2 25 3 4 3" xfId="27853"/>
    <cellStyle name="표준 2 25 3 5" xfId="10714"/>
    <cellStyle name="표준 2 25 3 5 2" xfId="10715"/>
    <cellStyle name="표준 2 25 3 5 2 2" xfId="27856"/>
    <cellStyle name="표준 2 25 3 5 3" xfId="27855"/>
    <cellStyle name="표준 2 25 3 6" xfId="10716"/>
    <cellStyle name="표준 2 25 3 6 2" xfId="27857"/>
    <cellStyle name="표준 2 25 3 7" xfId="27848"/>
    <cellStyle name="표준 2 25 4" xfId="10717"/>
    <cellStyle name="표준 2 25 4 2" xfId="10718"/>
    <cellStyle name="표준 2 25 4 2 2" xfId="10719"/>
    <cellStyle name="표준 2 25 4 2 2 2" xfId="27860"/>
    <cellStyle name="표준 2 25 4 2 3" xfId="27859"/>
    <cellStyle name="표준 2 25 4 3" xfId="10720"/>
    <cellStyle name="표준 2 25 4 3 2" xfId="10721"/>
    <cellStyle name="표준 2 25 4 3 2 2" xfId="27862"/>
    <cellStyle name="표준 2 25 4 3 3" xfId="27861"/>
    <cellStyle name="표준 2 25 4 4" xfId="10722"/>
    <cellStyle name="표준 2 25 4 4 2" xfId="10723"/>
    <cellStyle name="표준 2 25 4 4 2 2" xfId="27864"/>
    <cellStyle name="표준 2 25 4 4 3" xfId="27863"/>
    <cellStyle name="표준 2 25 4 5" xfId="10724"/>
    <cellStyle name="표준 2 25 4 5 2" xfId="10725"/>
    <cellStyle name="표준 2 25 4 5 2 2" xfId="27866"/>
    <cellStyle name="표준 2 25 4 5 3" xfId="27865"/>
    <cellStyle name="표준 2 25 4 6" xfId="10726"/>
    <cellStyle name="표준 2 25 4 6 2" xfId="27867"/>
    <cellStyle name="표준 2 25 4 7" xfId="27858"/>
    <cellStyle name="표준 2 25 5" xfId="10727"/>
    <cellStyle name="표준 2 25 5 2" xfId="10728"/>
    <cellStyle name="표준 2 25 5 2 2" xfId="27869"/>
    <cellStyle name="표준 2 25 5 3" xfId="27868"/>
    <cellStyle name="표준 2 25 6" xfId="10729"/>
    <cellStyle name="표준 2 25 6 2" xfId="10730"/>
    <cellStyle name="표준 2 25 6 2 2" xfId="27871"/>
    <cellStyle name="표준 2 25 6 3" xfId="27870"/>
    <cellStyle name="표준 2 25 7" xfId="10731"/>
    <cellStyle name="표준 2 25 7 2" xfId="10732"/>
    <cellStyle name="표준 2 25 7 2 2" xfId="27873"/>
    <cellStyle name="표준 2 25 7 3" xfId="27872"/>
    <cellStyle name="표준 2 25 8" xfId="10733"/>
    <cellStyle name="표준 2 25 8 2" xfId="10734"/>
    <cellStyle name="표준 2 25 8 2 2" xfId="27875"/>
    <cellStyle name="표준 2 25 8 3" xfId="27874"/>
    <cellStyle name="표준 2 25 9" xfId="10735"/>
    <cellStyle name="표준 2 25 9 2" xfId="27876"/>
    <cellStyle name="표준 2 26" xfId="10736"/>
    <cellStyle name="표준 2 26 10" xfId="35775"/>
    <cellStyle name="표준 2 26 2" xfId="10737"/>
    <cellStyle name="표준 2 26 2 2" xfId="10738"/>
    <cellStyle name="표준 2 26 2 2 2" xfId="10739"/>
    <cellStyle name="표준 2 26 2 2 2 2" xfId="27880"/>
    <cellStyle name="표준 2 26 2 2 3" xfId="27879"/>
    <cellStyle name="표준 2 26 2 3" xfId="10740"/>
    <cellStyle name="표준 2 26 2 3 2" xfId="10741"/>
    <cellStyle name="표준 2 26 2 3 2 2" xfId="27882"/>
    <cellStyle name="표준 2 26 2 3 3" xfId="27881"/>
    <cellStyle name="표준 2 26 2 4" xfId="10742"/>
    <cellStyle name="표준 2 26 2 4 2" xfId="10743"/>
    <cellStyle name="표준 2 26 2 4 2 2" xfId="27884"/>
    <cellStyle name="표준 2 26 2 4 3" xfId="27883"/>
    <cellStyle name="표준 2 26 2 5" xfId="10744"/>
    <cellStyle name="표준 2 26 2 5 2" xfId="10745"/>
    <cellStyle name="표준 2 26 2 5 2 2" xfId="27886"/>
    <cellStyle name="표준 2 26 2 5 3" xfId="27885"/>
    <cellStyle name="표준 2 26 2 6" xfId="10746"/>
    <cellStyle name="표준 2 26 2 6 2" xfId="27887"/>
    <cellStyle name="표준 2 26 2 7" xfId="27878"/>
    <cellStyle name="표준 2 26 3" xfId="10747"/>
    <cellStyle name="표준 2 26 3 2" xfId="10748"/>
    <cellStyle name="표준 2 26 3 2 2" xfId="10749"/>
    <cellStyle name="표준 2 26 3 2 2 2" xfId="27890"/>
    <cellStyle name="표준 2 26 3 2 3" xfId="27889"/>
    <cellStyle name="표준 2 26 3 3" xfId="10750"/>
    <cellStyle name="표준 2 26 3 3 2" xfId="10751"/>
    <cellStyle name="표준 2 26 3 3 2 2" xfId="27892"/>
    <cellStyle name="표준 2 26 3 3 3" xfId="27891"/>
    <cellStyle name="표준 2 26 3 4" xfId="10752"/>
    <cellStyle name="표준 2 26 3 4 2" xfId="10753"/>
    <cellStyle name="표준 2 26 3 4 2 2" xfId="27894"/>
    <cellStyle name="표준 2 26 3 4 3" xfId="27893"/>
    <cellStyle name="표준 2 26 3 5" xfId="10754"/>
    <cellStyle name="표준 2 26 3 5 2" xfId="10755"/>
    <cellStyle name="표준 2 26 3 5 2 2" xfId="27896"/>
    <cellStyle name="표준 2 26 3 5 3" xfId="27895"/>
    <cellStyle name="표준 2 26 3 6" xfId="10756"/>
    <cellStyle name="표준 2 26 3 6 2" xfId="27897"/>
    <cellStyle name="표준 2 26 3 7" xfId="27888"/>
    <cellStyle name="표준 2 26 4" xfId="10757"/>
    <cellStyle name="표준 2 26 4 2" xfId="10758"/>
    <cellStyle name="표준 2 26 4 2 2" xfId="27899"/>
    <cellStyle name="표준 2 26 4 3" xfId="27898"/>
    <cellStyle name="표준 2 26 5" xfId="10759"/>
    <cellStyle name="표준 2 26 5 2" xfId="10760"/>
    <cellStyle name="표준 2 26 5 2 2" xfId="27901"/>
    <cellStyle name="표준 2 26 5 3" xfId="27900"/>
    <cellStyle name="표준 2 26 6" xfId="10761"/>
    <cellStyle name="표준 2 26 6 2" xfId="10762"/>
    <cellStyle name="표준 2 26 6 2 2" xfId="27903"/>
    <cellStyle name="표준 2 26 6 3" xfId="27902"/>
    <cellStyle name="표준 2 26 7" xfId="10763"/>
    <cellStyle name="표준 2 26 7 2" xfId="10764"/>
    <cellStyle name="표준 2 26 7 2 2" xfId="27905"/>
    <cellStyle name="표준 2 26 7 3" xfId="27904"/>
    <cellStyle name="표준 2 26 8" xfId="10765"/>
    <cellStyle name="표준 2 26 8 2" xfId="27906"/>
    <cellStyle name="표준 2 26 9" xfId="27877"/>
    <cellStyle name="표준 2 27" xfId="10766"/>
    <cellStyle name="표준 2 27 2" xfId="10767"/>
    <cellStyle name="표준 2 27 2 2" xfId="10768"/>
    <cellStyle name="표준 2 27 2 2 2" xfId="27909"/>
    <cellStyle name="표준 2 27 2 3" xfId="27908"/>
    <cellStyle name="표준 2 27 3" xfId="10769"/>
    <cellStyle name="표준 2 27 3 2" xfId="10770"/>
    <cellStyle name="표준 2 27 3 2 2" xfId="27911"/>
    <cellStyle name="표준 2 27 3 3" xfId="27910"/>
    <cellStyle name="표준 2 27 4" xfId="10771"/>
    <cellStyle name="표준 2 27 4 2" xfId="10772"/>
    <cellStyle name="표준 2 27 4 2 2" xfId="27913"/>
    <cellStyle name="표준 2 27 4 3" xfId="27912"/>
    <cellStyle name="표준 2 27 5" xfId="10773"/>
    <cellStyle name="표준 2 27 5 2" xfId="10774"/>
    <cellStyle name="표준 2 27 5 2 2" xfId="27915"/>
    <cellStyle name="표준 2 27 5 3" xfId="27914"/>
    <cellStyle name="표준 2 27 6" xfId="10775"/>
    <cellStyle name="표준 2 27 6 2" xfId="27916"/>
    <cellStyle name="표준 2 27 7" xfId="27907"/>
    <cellStyle name="표준 2 27 8" xfId="35776"/>
    <cellStyle name="표준 2 28" xfId="10776"/>
    <cellStyle name="표준 2 28 2" xfId="10777"/>
    <cellStyle name="표준 2 28 2 2" xfId="10778"/>
    <cellStyle name="표준 2 28 2 2 2" xfId="27919"/>
    <cellStyle name="표준 2 28 2 3" xfId="27918"/>
    <cellStyle name="표준 2 28 3" xfId="10779"/>
    <cellStyle name="표준 2 28 3 2" xfId="10780"/>
    <cellStyle name="표준 2 28 3 2 2" xfId="27921"/>
    <cellStyle name="표준 2 28 3 3" xfId="27920"/>
    <cellStyle name="표준 2 28 4" xfId="10781"/>
    <cellStyle name="표준 2 28 4 2" xfId="10782"/>
    <cellStyle name="표준 2 28 4 2 2" xfId="27923"/>
    <cellStyle name="표준 2 28 4 3" xfId="27922"/>
    <cellStyle name="표준 2 28 5" xfId="10783"/>
    <cellStyle name="표준 2 28 5 2" xfId="10784"/>
    <cellStyle name="표준 2 28 5 2 2" xfId="27925"/>
    <cellStyle name="표준 2 28 5 3" xfId="27924"/>
    <cellStyle name="표준 2 28 6" xfId="10785"/>
    <cellStyle name="표준 2 28 6 2" xfId="27926"/>
    <cellStyle name="표준 2 28 7" xfId="27917"/>
    <cellStyle name="표준 2 28 8" xfId="35777"/>
    <cellStyle name="표준 2 29" xfId="10786"/>
    <cellStyle name="표준 2 29 2" xfId="10787"/>
    <cellStyle name="표준 2 29 2 2" xfId="27928"/>
    <cellStyle name="표준 2 29 3" xfId="10788"/>
    <cellStyle name="표준 2 29 3 2" xfId="10789"/>
    <cellStyle name="표준 2 29 3 2 2" xfId="27930"/>
    <cellStyle name="표준 2 29 3 3" xfId="27929"/>
    <cellStyle name="표준 2 29 4" xfId="27927"/>
    <cellStyle name="표준 2 29 5" xfId="35778"/>
    <cellStyle name="표준 2 3" xfId="167"/>
    <cellStyle name="표준 2 3 2" xfId="17311"/>
    <cellStyle name="표준 2 3 2 2" xfId="35779"/>
    <cellStyle name="표준 2 3 2 3" xfId="35780"/>
    <cellStyle name="표준 2 3 2 4" xfId="35781"/>
    <cellStyle name="표준 2 3 2 5" xfId="34880"/>
    <cellStyle name="표준 2 3 3" xfId="35782"/>
    <cellStyle name="표준 2 3 4" xfId="35783"/>
    <cellStyle name="표준 2 3 5" xfId="35784"/>
    <cellStyle name="표준 2 3 6" xfId="35785"/>
    <cellStyle name="표준 2 3 7" xfId="35786"/>
    <cellStyle name="표준 2 3 8" xfId="35787"/>
    <cellStyle name="표준 2 3 9" xfId="34879"/>
    <cellStyle name="표준 2 30" xfId="10790"/>
    <cellStyle name="표준 2 30 2" xfId="27931"/>
    <cellStyle name="표준 2 30 3" xfId="34881"/>
    <cellStyle name="표준 2 31" xfId="10791"/>
    <cellStyle name="표준 2 31 2" xfId="10792"/>
    <cellStyle name="표준 2 31 2 2" xfId="27933"/>
    <cellStyle name="표준 2 31 3" xfId="27932"/>
    <cellStyle name="표준 2 31 4" xfId="34882"/>
    <cellStyle name="표준 2 32" xfId="10793"/>
    <cellStyle name="표준 2 32 2" xfId="10794"/>
    <cellStyle name="표준 2 32 2 2" xfId="27935"/>
    <cellStyle name="표준 2 32 3" xfId="27934"/>
    <cellStyle name="표준 2 32 4" xfId="34883"/>
    <cellStyle name="표준 2 33" xfId="10795"/>
    <cellStyle name="표준 2 33 2" xfId="10796"/>
    <cellStyle name="표준 2 33 2 2" xfId="27937"/>
    <cellStyle name="표준 2 33 3" xfId="27936"/>
    <cellStyle name="표준 2 34" xfId="10797"/>
    <cellStyle name="표준 2 34 2" xfId="27938"/>
    <cellStyle name="표준 2 35" xfId="10798"/>
    <cellStyle name="표준 2 35 2" xfId="27939"/>
    <cellStyle name="표준 2 36" xfId="10799"/>
    <cellStyle name="표준 2 36 2" xfId="27940"/>
    <cellStyle name="표준 2 37" xfId="10800"/>
    <cellStyle name="표준 2 37 2" xfId="27941"/>
    <cellStyle name="표준 2 38" xfId="17181"/>
    <cellStyle name="표준 2 39" xfId="34324"/>
    <cellStyle name="표준 2 4" xfId="278"/>
    <cellStyle name="표준 2 4 10" xfId="12785"/>
    <cellStyle name="표준 2 4 10 2" xfId="29926"/>
    <cellStyle name="표준 2 4 11" xfId="13761"/>
    <cellStyle name="표준 2 4 11 2" xfId="30902"/>
    <cellStyle name="표준 2 4 12" xfId="17421"/>
    <cellStyle name="표준 2 4 13" xfId="34884"/>
    <cellStyle name="표준 2 4 2" xfId="822"/>
    <cellStyle name="표준 2 4 2 2" xfId="10801"/>
    <cellStyle name="표준 2 4 2 2 2" xfId="10802"/>
    <cellStyle name="표준 2 4 2 2 2 2" xfId="10803"/>
    <cellStyle name="표준 2 4 2 2 2 2 2" xfId="27944"/>
    <cellStyle name="표준 2 4 2 2 2 3" xfId="27943"/>
    <cellStyle name="표준 2 4 2 2 3" xfId="10804"/>
    <cellStyle name="표준 2 4 2 2 3 2" xfId="10805"/>
    <cellStyle name="표준 2 4 2 2 3 2 2" xfId="27946"/>
    <cellStyle name="표준 2 4 2 2 3 3" xfId="27945"/>
    <cellStyle name="표준 2 4 2 2 4" xfId="10806"/>
    <cellStyle name="표준 2 4 2 2 4 2" xfId="10807"/>
    <cellStyle name="표준 2 4 2 2 4 2 2" xfId="27948"/>
    <cellStyle name="표준 2 4 2 2 4 3" xfId="27947"/>
    <cellStyle name="표준 2 4 2 2 5" xfId="10808"/>
    <cellStyle name="표준 2 4 2 2 5 2" xfId="10809"/>
    <cellStyle name="표준 2 4 2 2 5 2 2" xfId="27950"/>
    <cellStyle name="표준 2 4 2 2 5 3" xfId="27949"/>
    <cellStyle name="표준 2 4 2 2 6" xfId="10810"/>
    <cellStyle name="표준 2 4 2 2 6 2" xfId="27951"/>
    <cellStyle name="표준 2 4 2 2 7" xfId="27942"/>
    <cellStyle name="표준 2 4 2 3" xfId="10811"/>
    <cellStyle name="표준 2 4 2 3 2" xfId="10812"/>
    <cellStyle name="표준 2 4 2 3 2 2" xfId="10813"/>
    <cellStyle name="표준 2 4 2 3 2 2 2" xfId="27954"/>
    <cellStyle name="표준 2 4 2 3 2 3" xfId="27953"/>
    <cellStyle name="표준 2 4 2 3 3" xfId="10814"/>
    <cellStyle name="표준 2 4 2 3 3 2" xfId="10815"/>
    <cellStyle name="표준 2 4 2 3 3 2 2" xfId="27956"/>
    <cellStyle name="표준 2 4 2 3 3 3" xfId="27955"/>
    <cellStyle name="표준 2 4 2 3 4" xfId="10816"/>
    <cellStyle name="표준 2 4 2 3 4 2" xfId="10817"/>
    <cellStyle name="표준 2 4 2 3 4 2 2" xfId="27958"/>
    <cellStyle name="표준 2 4 2 3 4 3" xfId="27957"/>
    <cellStyle name="표준 2 4 2 3 5" xfId="10818"/>
    <cellStyle name="표준 2 4 2 3 5 2" xfId="10819"/>
    <cellStyle name="표준 2 4 2 3 5 2 2" xfId="27960"/>
    <cellStyle name="표준 2 4 2 3 5 3" xfId="27959"/>
    <cellStyle name="표준 2 4 2 3 6" xfId="10820"/>
    <cellStyle name="표준 2 4 2 3 6 2" xfId="27961"/>
    <cellStyle name="표준 2 4 2 3 7" xfId="27952"/>
    <cellStyle name="표준 2 4 2 4" xfId="10821"/>
    <cellStyle name="표준 2 4 2 4 2" xfId="10822"/>
    <cellStyle name="표준 2 4 2 4 2 2" xfId="27963"/>
    <cellStyle name="표준 2 4 2 4 3" xfId="27962"/>
    <cellStyle name="표준 2 4 2 5" xfId="10823"/>
    <cellStyle name="표준 2 4 2 5 2" xfId="10824"/>
    <cellStyle name="표준 2 4 2 5 2 2" xfId="27965"/>
    <cellStyle name="표준 2 4 2 5 3" xfId="27964"/>
    <cellStyle name="표준 2 4 2 6" xfId="10825"/>
    <cellStyle name="표준 2 4 2 6 2" xfId="10826"/>
    <cellStyle name="표준 2 4 2 6 2 2" xfId="27967"/>
    <cellStyle name="표준 2 4 2 6 3" xfId="27966"/>
    <cellStyle name="표준 2 4 2 7" xfId="10827"/>
    <cellStyle name="표준 2 4 2 7 2" xfId="10828"/>
    <cellStyle name="표준 2 4 2 7 2 2" xfId="27969"/>
    <cellStyle name="표준 2 4 2 7 3" xfId="27968"/>
    <cellStyle name="표준 2 4 2 8" xfId="10829"/>
    <cellStyle name="표준 2 4 2 8 2" xfId="27970"/>
    <cellStyle name="표준 2 4 2 9" xfId="17965"/>
    <cellStyle name="표준 2 4 3" xfId="570"/>
    <cellStyle name="표준 2 4 3 2" xfId="10830"/>
    <cellStyle name="표준 2 4 3 2 2" xfId="10831"/>
    <cellStyle name="표준 2 4 3 2 2 2" xfId="27972"/>
    <cellStyle name="표준 2 4 3 2 3" xfId="27971"/>
    <cellStyle name="표준 2 4 3 3" xfId="10832"/>
    <cellStyle name="표준 2 4 3 3 2" xfId="10833"/>
    <cellStyle name="표준 2 4 3 3 2 2" xfId="27974"/>
    <cellStyle name="표준 2 4 3 3 3" xfId="27973"/>
    <cellStyle name="표준 2 4 3 4" xfId="10834"/>
    <cellStyle name="표준 2 4 3 4 2" xfId="10835"/>
    <cellStyle name="표준 2 4 3 4 2 2" xfId="27976"/>
    <cellStyle name="표준 2 4 3 4 3" xfId="27975"/>
    <cellStyle name="표준 2 4 3 5" xfId="10836"/>
    <cellStyle name="표준 2 4 3 5 2" xfId="10837"/>
    <cellStyle name="표준 2 4 3 5 2 2" xfId="27978"/>
    <cellStyle name="표준 2 4 3 5 3" xfId="27977"/>
    <cellStyle name="표준 2 4 3 6" xfId="10838"/>
    <cellStyle name="표준 2 4 3 6 2" xfId="27979"/>
    <cellStyle name="표준 2 4 3 7" xfId="17713"/>
    <cellStyle name="표준 2 4 4" xfId="10839"/>
    <cellStyle name="표준 2 4 4 2" xfId="10840"/>
    <cellStyle name="표준 2 4 4 2 2" xfId="10841"/>
    <cellStyle name="표준 2 4 4 2 2 2" xfId="27982"/>
    <cellStyle name="표준 2 4 4 2 3" xfId="27981"/>
    <cellStyle name="표준 2 4 4 3" xfId="10842"/>
    <cellStyle name="표준 2 4 4 3 2" xfId="10843"/>
    <cellStyle name="표준 2 4 4 3 2 2" xfId="27984"/>
    <cellStyle name="표준 2 4 4 3 3" xfId="27983"/>
    <cellStyle name="표준 2 4 4 4" xfId="10844"/>
    <cellStyle name="표준 2 4 4 4 2" xfId="10845"/>
    <cellStyle name="표준 2 4 4 4 2 2" xfId="27986"/>
    <cellStyle name="표준 2 4 4 4 3" xfId="27985"/>
    <cellStyle name="표준 2 4 4 5" xfId="10846"/>
    <cellStyle name="표준 2 4 4 5 2" xfId="10847"/>
    <cellStyle name="표준 2 4 4 5 2 2" xfId="27988"/>
    <cellStyle name="표준 2 4 4 5 3" xfId="27987"/>
    <cellStyle name="표준 2 4 4 6" xfId="10848"/>
    <cellStyle name="표준 2 4 4 6 2" xfId="27989"/>
    <cellStyle name="표준 2 4 4 7" xfId="27980"/>
    <cellStyle name="표준 2 4 5" xfId="10849"/>
    <cellStyle name="표준 2 4 5 2" xfId="10850"/>
    <cellStyle name="표준 2 4 5 2 2" xfId="27991"/>
    <cellStyle name="표준 2 4 5 3" xfId="27990"/>
    <cellStyle name="표준 2 4 6" xfId="10851"/>
    <cellStyle name="표준 2 4 6 2" xfId="10852"/>
    <cellStyle name="표준 2 4 6 2 2" xfId="27993"/>
    <cellStyle name="표준 2 4 6 3" xfId="27992"/>
    <cellStyle name="표준 2 4 7" xfId="10853"/>
    <cellStyle name="표준 2 4 7 2" xfId="10854"/>
    <cellStyle name="표준 2 4 7 2 2" xfId="27995"/>
    <cellStyle name="표준 2 4 7 3" xfId="27994"/>
    <cellStyle name="표준 2 4 8" xfId="10855"/>
    <cellStyle name="표준 2 4 8 2" xfId="10856"/>
    <cellStyle name="표준 2 4 8 2 2" xfId="27997"/>
    <cellStyle name="표준 2 4 8 3" xfId="27996"/>
    <cellStyle name="표준 2 4 9" xfId="10857"/>
    <cellStyle name="표준 2 4 9 2" xfId="27998"/>
    <cellStyle name="표준 2 40" xfId="36928"/>
    <cellStyle name="표준 2 5" xfId="551"/>
    <cellStyle name="표준 2 5 10" xfId="17694"/>
    <cellStyle name="표준 2 5 11" xfId="34885"/>
    <cellStyle name="표준 2 5 2" xfId="10858"/>
    <cellStyle name="표준 2 5 2 2" xfId="10859"/>
    <cellStyle name="표준 2 5 2 2 2" xfId="10860"/>
    <cellStyle name="표준 2 5 2 2 2 2" xfId="10861"/>
    <cellStyle name="표준 2 5 2 2 2 2 2" xfId="28002"/>
    <cellStyle name="표준 2 5 2 2 2 3" xfId="28001"/>
    <cellStyle name="표준 2 5 2 2 3" xfId="10862"/>
    <cellStyle name="표준 2 5 2 2 3 2" xfId="10863"/>
    <cellStyle name="표준 2 5 2 2 3 2 2" xfId="28004"/>
    <cellStyle name="표준 2 5 2 2 3 3" xfId="28003"/>
    <cellStyle name="표준 2 5 2 2 4" xfId="10864"/>
    <cellStyle name="표준 2 5 2 2 4 2" xfId="10865"/>
    <cellStyle name="표준 2 5 2 2 4 2 2" xfId="28006"/>
    <cellStyle name="표준 2 5 2 2 4 3" xfId="28005"/>
    <cellStyle name="표준 2 5 2 2 5" xfId="10866"/>
    <cellStyle name="표준 2 5 2 2 5 2" xfId="10867"/>
    <cellStyle name="표준 2 5 2 2 5 2 2" xfId="28008"/>
    <cellStyle name="표준 2 5 2 2 5 3" xfId="28007"/>
    <cellStyle name="표준 2 5 2 2 6" xfId="10868"/>
    <cellStyle name="표준 2 5 2 2 6 2" xfId="28009"/>
    <cellStyle name="표준 2 5 2 2 7" xfId="28000"/>
    <cellStyle name="표준 2 5 2 3" xfId="10869"/>
    <cellStyle name="표준 2 5 2 3 2" xfId="10870"/>
    <cellStyle name="표준 2 5 2 3 2 2" xfId="10871"/>
    <cellStyle name="표준 2 5 2 3 2 2 2" xfId="28012"/>
    <cellStyle name="표준 2 5 2 3 2 3" xfId="28011"/>
    <cellStyle name="표준 2 5 2 3 3" xfId="10872"/>
    <cellStyle name="표준 2 5 2 3 3 2" xfId="10873"/>
    <cellStyle name="표준 2 5 2 3 3 2 2" xfId="28014"/>
    <cellStyle name="표준 2 5 2 3 3 3" xfId="28013"/>
    <cellStyle name="표준 2 5 2 3 4" xfId="10874"/>
    <cellStyle name="표준 2 5 2 3 4 2" xfId="10875"/>
    <cellStyle name="표준 2 5 2 3 4 2 2" xfId="28016"/>
    <cellStyle name="표준 2 5 2 3 4 3" xfId="28015"/>
    <cellStyle name="표준 2 5 2 3 5" xfId="10876"/>
    <cellStyle name="표준 2 5 2 3 5 2" xfId="10877"/>
    <cellStyle name="표준 2 5 2 3 5 2 2" xfId="28018"/>
    <cellStyle name="표준 2 5 2 3 5 3" xfId="28017"/>
    <cellStyle name="표준 2 5 2 3 6" xfId="10878"/>
    <cellStyle name="표준 2 5 2 3 6 2" xfId="28019"/>
    <cellStyle name="표준 2 5 2 3 7" xfId="28010"/>
    <cellStyle name="표준 2 5 2 4" xfId="10879"/>
    <cellStyle name="표준 2 5 2 4 2" xfId="10880"/>
    <cellStyle name="표준 2 5 2 4 2 2" xfId="28021"/>
    <cellStyle name="표준 2 5 2 4 3" xfId="28020"/>
    <cellStyle name="표준 2 5 2 5" xfId="10881"/>
    <cellStyle name="표준 2 5 2 5 2" xfId="10882"/>
    <cellStyle name="표준 2 5 2 5 2 2" xfId="28023"/>
    <cellStyle name="표준 2 5 2 5 3" xfId="28022"/>
    <cellStyle name="표준 2 5 2 6" xfId="10883"/>
    <cellStyle name="표준 2 5 2 6 2" xfId="10884"/>
    <cellStyle name="표준 2 5 2 6 2 2" xfId="28025"/>
    <cellStyle name="표준 2 5 2 6 3" xfId="28024"/>
    <cellStyle name="표준 2 5 2 7" xfId="10885"/>
    <cellStyle name="표준 2 5 2 7 2" xfId="10886"/>
    <cellStyle name="표준 2 5 2 7 2 2" xfId="28027"/>
    <cellStyle name="표준 2 5 2 7 3" xfId="28026"/>
    <cellStyle name="표준 2 5 2 8" xfId="10887"/>
    <cellStyle name="표준 2 5 2 8 2" xfId="28028"/>
    <cellStyle name="표준 2 5 2 9" xfId="27999"/>
    <cellStyle name="표준 2 5 3" xfId="10888"/>
    <cellStyle name="표준 2 5 3 2" xfId="10889"/>
    <cellStyle name="표준 2 5 3 2 2" xfId="10890"/>
    <cellStyle name="표준 2 5 3 2 2 2" xfId="28031"/>
    <cellStyle name="표준 2 5 3 2 3" xfId="28030"/>
    <cellStyle name="표준 2 5 3 3" xfId="10891"/>
    <cellStyle name="표준 2 5 3 3 2" xfId="10892"/>
    <cellStyle name="표준 2 5 3 3 2 2" xfId="28033"/>
    <cellStyle name="표준 2 5 3 3 3" xfId="28032"/>
    <cellStyle name="표준 2 5 3 4" xfId="10893"/>
    <cellStyle name="표준 2 5 3 4 2" xfId="10894"/>
    <cellStyle name="표준 2 5 3 4 2 2" xfId="28035"/>
    <cellStyle name="표준 2 5 3 4 3" xfId="28034"/>
    <cellStyle name="표준 2 5 3 5" xfId="10895"/>
    <cellStyle name="표준 2 5 3 5 2" xfId="10896"/>
    <cellStyle name="표준 2 5 3 5 2 2" xfId="28037"/>
    <cellStyle name="표준 2 5 3 5 3" xfId="28036"/>
    <cellStyle name="표준 2 5 3 6" xfId="10897"/>
    <cellStyle name="표준 2 5 3 6 2" xfId="28038"/>
    <cellStyle name="표준 2 5 3 7" xfId="28029"/>
    <cellStyle name="표준 2 5 4" xfId="10898"/>
    <cellStyle name="표준 2 5 4 2" xfId="10899"/>
    <cellStyle name="표준 2 5 4 2 2" xfId="10900"/>
    <cellStyle name="표준 2 5 4 2 2 2" xfId="28041"/>
    <cellStyle name="표준 2 5 4 2 3" xfId="28040"/>
    <cellStyle name="표준 2 5 4 3" xfId="10901"/>
    <cellStyle name="표준 2 5 4 3 2" xfId="10902"/>
    <cellStyle name="표준 2 5 4 3 2 2" xfId="28043"/>
    <cellStyle name="표준 2 5 4 3 3" xfId="28042"/>
    <cellStyle name="표준 2 5 4 4" xfId="10903"/>
    <cellStyle name="표준 2 5 4 4 2" xfId="10904"/>
    <cellStyle name="표준 2 5 4 4 2 2" xfId="28045"/>
    <cellStyle name="표준 2 5 4 4 3" xfId="28044"/>
    <cellStyle name="표준 2 5 4 5" xfId="10905"/>
    <cellStyle name="표준 2 5 4 5 2" xfId="10906"/>
    <cellStyle name="표준 2 5 4 5 2 2" xfId="28047"/>
    <cellStyle name="표준 2 5 4 5 3" xfId="28046"/>
    <cellStyle name="표준 2 5 4 6" xfId="10907"/>
    <cellStyle name="표준 2 5 4 6 2" xfId="28048"/>
    <cellStyle name="표준 2 5 4 7" xfId="28039"/>
    <cellStyle name="표준 2 5 5" xfId="10908"/>
    <cellStyle name="표준 2 5 5 2" xfId="10909"/>
    <cellStyle name="표준 2 5 5 2 2" xfId="28050"/>
    <cellStyle name="표준 2 5 5 3" xfId="28049"/>
    <cellStyle name="표준 2 5 6" xfId="10910"/>
    <cellStyle name="표준 2 5 6 2" xfId="10911"/>
    <cellStyle name="표준 2 5 6 2 2" xfId="28052"/>
    <cellStyle name="표준 2 5 6 3" xfId="28051"/>
    <cellStyle name="표준 2 5 7" xfId="10912"/>
    <cellStyle name="표준 2 5 7 2" xfId="10913"/>
    <cellStyle name="표준 2 5 7 2 2" xfId="28054"/>
    <cellStyle name="표준 2 5 7 3" xfId="28053"/>
    <cellStyle name="표준 2 5 8" xfId="10914"/>
    <cellStyle name="표준 2 5 8 2" xfId="10915"/>
    <cellStyle name="표준 2 5 8 2 2" xfId="28056"/>
    <cellStyle name="표준 2 5 8 3" xfId="28055"/>
    <cellStyle name="표준 2 5 9" xfId="10916"/>
    <cellStyle name="표준 2 5 9 2" xfId="28057"/>
    <cellStyle name="표준 2 6" xfId="802"/>
    <cellStyle name="표준 2 6 10" xfId="17945"/>
    <cellStyle name="표준 2 6 11" xfId="34886"/>
    <cellStyle name="표준 2 6 2" xfId="10917"/>
    <cellStyle name="표준 2 6 2 2" xfId="10918"/>
    <cellStyle name="표준 2 6 2 2 2" xfId="10919"/>
    <cellStyle name="표준 2 6 2 2 2 2" xfId="10920"/>
    <cellStyle name="표준 2 6 2 2 2 2 2" xfId="28061"/>
    <cellStyle name="표준 2 6 2 2 2 3" xfId="28060"/>
    <cellStyle name="표준 2 6 2 2 3" xfId="10921"/>
    <cellStyle name="표준 2 6 2 2 3 2" xfId="10922"/>
    <cellStyle name="표준 2 6 2 2 3 2 2" xfId="28063"/>
    <cellStyle name="표준 2 6 2 2 3 3" xfId="28062"/>
    <cellStyle name="표준 2 6 2 2 4" xfId="10923"/>
    <cellStyle name="표준 2 6 2 2 4 2" xfId="10924"/>
    <cellStyle name="표준 2 6 2 2 4 2 2" xfId="28065"/>
    <cellStyle name="표준 2 6 2 2 4 3" xfId="28064"/>
    <cellStyle name="표준 2 6 2 2 5" xfId="10925"/>
    <cellStyle name="표준 2 6 2 2 5 2" xfId="10926"/>
    <cellStyle name="표준 2 6 2 2 5 2 2" xfId="28067"/>
    <cellStyle name="표준 2 6 2 2 5 3" xfId="28066"/>
    <cellStyle name="표준 2 6 2 2 6" xfId="10927"/>
    <cellStyle name="표준 2 6 2 2 6 2" xfId="28068"/>
    <cellStyle name="표준 2 6 2 2 7" xfId="28059"/>
    <cellStyle name="표준 2 6 2 3" xfId="10928"/>
    <cellStyle name="표준 2 6 2 3 2" xfId="10929"/>
    <cellStyle name="표준 2 6 2 3 2 2" xfId="10930"/>
    <cellStyle name="표준 2 6 2 3 2 2 2" xfId="28071"/>
    <cellStyle name="표준 2 6 2 3 2 3" xfId="28070"/>
    <cellStyle name="표준 2 6 2 3 3" xfId="10931"/>
    <cellStyle name="표준 2 6 2 3 3 2" xfId="10932"/>
    <cellStyle name="표준 2 6 2 3 3 2 2" xfId="28073"/>
    <cellStyle name="표준 2 6 2 3 3 3" xfId="28072"/>
    <cellStyle name="표준 2 6 2 3 4" xfId="10933"/>
    <cellStyle name="표준 2 6 2 3 4 2" xfId="10934"/>
    <cellStyle name="표준 2 6 2 3 4 2 2" xfId="28075"/>
    <cellStyle name="표준 2 6 2 3 4 3" xfId="28074"/>
    <cellStyle name="표준 2 6 2 3 5" xfId="10935"/>
    <cellStyle name="표준 2 6 2 3 5 2" xfId="10936"/>
    <cellStyle name="표준 2 6 2 3 5 2 2" xfId="28077"/>
    <cellStyle name="표준 2 6 2 3 5 3" xfId="28076"/>
    <cellStyle name="표준 2 6 2 3 6" xfId="10937"/>
    <cellStyle name="표준 2 6 2 3 6 2" xfId="28078"/>
    <cellStyle name="표준 2 6 2 3 7" xfId="28069"/>
    <cellStyle name="표준 2 6 2 4" xfId="10938"/>
    <cellStyle name="표준 2 6 2 4 2" xfId="10939"/>
    <cellStyle name="표준 2 6 2 4 2 2" xfId="28080"/>
    <cellStyle name="표준 2 6 2 4 3" xfId="28079"/>
    <cellStyle name="표준 2 6 2 5" xfId="10940"/>
    <cellStyle name="표준 2 6 2 5 2" xfId="10941"/>
    <cellStyle name="표준 2 6 2 5 2 2" xfId="28082"/>
    <cellStyle name="표준 2 6 2 5 3" xfId="28081"/>
    <cellStyle name="표준 2 6 2 6" xfId="10942"/>
    <cellStyle name="표준 2 6 2 6 2" xfId="10943"/>
    <cellStyle name="표준 2 6 2 6 2 2" xfId="28084"/>
    <cellStyle name="표준 2 6 2 6 3" xfId="28083"/>
    <cellStyle name="표준 2 6 2 7" xfId="10944"/>
    <cellStyle name="표준 2 6 2 7 2" xfId="10945"/>
    <cellStyle name="표준 2 6 2 7 2 2" xfId="28086"/>
    <cellStyle name="표준 2 6 2 7 3" xfId="28085"/>
    <cellStyle name="표준 2 6 2 8" xfId="10946"/>
    <cellStyle name="표준 2 6 2 8 2" xfId="28087"/>
    <cellStyle name="표준 2 6 2 9" xfId="28058"/>
    <cellStyle name="표준 2 6 3" xfId="10947"/>
    <cellStyle name="표준 2 6 3 2" xfId="10948"/>
    <cellStyle name="표준 2 6 3 2 2" xfId="10949"/>
    <cellStyle name="표준 2 6 3 2 2 2" xfId="28090"/>
    <cellStyle name="표준 2 6 3 2 3" xfId="28089"/>
    <cellStyle name="표준 2 6 3 3" xfId="10950"/>
    <cellStyle name="표준 2 6 3 3 2" xfId="10951"/>
    <cellStyle name="표준 2 6 3 3 2 2" xfId="28092"/>
    <cellStyle name="표준 2 6 3 3 3" xfId="28091"/>
    <cellStyle name="표준 2 6 3 4" xfId="10952"/>
    <cellStyle name="표준 2 6 3 4 2" xfId="10953"/>
    <cellStyle name="표준 2 6 3 4 2 2" xfId="28094"/>
    <cellStyle name="표준 2 6 3 4 3" xfId="28093"/>
    <cellStyle name="표준 2 6 3 5" xfId="10954"/>
    <cellStyle name="표준 2 6 3 5 2" xfId="10955"/>
    <cellStyle name="표준 2 6 3 5 2 2" xfId="28096"/>
    <cellStyle name="표준 2 6 3 5 3" xfId="28095"/>
    <cellStyle name="표준 2 6 3 6" xfId="10956"/>
    <cellStyle name="표준 2 6 3 6 2" xfId="28097"/>
    <cellStyle name="표준 2 6 3 7" xfId="28088"/>
    <cellStyle name="표준 2 6 4" xfId="10957"/>
    <cellStyle name="표준 2 6 4 2" xfId="10958"/>
    <cellStyle name="표준 2 6 4 2 2" xfId="10959"/>
    <cellStyle name="표준 2 6 4 2 2 2" xfId="28100"/>
    <cellStyle name="표준 2 6 4 2 3" xfId="28099"/>
    <cellStyle name="표준 2 6 4 3" xfId="10960"/>
    <cellStyle name="표준 2 6 4 3 2" xfId="10961"/>
    <cellStyle name="표준 2 6 4 3 2 2" xfId="28102"/>
    <cellStyle name="표준 2 6 4 3 3" xfId="28101"/>
    <cellStyle name="표준 2 6 4 4" xfId="10962"/>
    <cellStyle name="표준 2 6 4 4 2" xfId="10963"/>
    <cellStyle name="표준 2 6 4 4 2 2" xfId="28104"/>
    <cellStyle name="표준 2 6 4 4 3" xfId="28103"/>
    <cellStyle name="표준 2 6 4 5" xfId="10964"/>
    <cellStyle name="표준 2 6 4 5 2" xfId="10965"/>
    <cellStyle name="표준 2 6 4 5 2 2" xfId="28106"/>
    <cellStyle name="표준 2 6 4 5 3" xfId="28105"/>
    <cellStyle name="표준 2 6 4 6" xfId="10966"/>
    <cellStyle name="표준 2 6 4 6 2" xfId="28107"/>
    <cellStyle name="표준 2 6 4 7" xfId="28098"/>
    <cellStyle name="표준 2 6 5" xfId="10967"/>
    <cellStyle name="표준 2 6 5 2" xfId="10968"/>
    <cellStyle name="표준 2 6 5 2 2" xfId="28109"/>
    <cellStyle name="표준 2 6 5 3" xfId="28108"/>
    <cellStyle name="표준 2 6 6" xfId="10969"/>
    <cellStyle name="표준 2 6 6 2" xfId="10970"/>
    <cellStyle name="표준 2 6 6 2 2" xfId="28111"/>
    <cellStyle name="표준 2 6 6 3" xfId="28110"/>
    <cellStyle name="표준 2 6 7" xfId="10971"/>
    <cellStyle name="표준 2 6 7 2" xfId="10972"/>
    <cellStyle name="표준 2 6 7 2 2" xfId="28113"/>
    <cellStyle name="표준 2 6 7 3" xfId="28112"/>
    <cellStyle name="표준 2 6 8" xfId="10973"/>
    <cellStyle name="표준 2 6 8 2" xfId="10974"/>
    <cellStyle name="표준 2 6 8 2 2" xfId="28115"/>
    <cellStyle name="표준 2 6 8 3" xfId="28114"/>
    <cellStyle name="표준 2 6 9" xfId="10975"/>
    <cellStyle name="표준 2 6 9 2" xfId="28116"/>
    <cellStyle name="표준 2 7" xfId="501"/>
    <cellStyle name="표준 2 7 10" xfId="17644"/>
    <cellStyle name="표준 2 7 11" xfId="34887"/>
    <cellStyle name="표준 2 7 2" xfId="10976"/>
    <cellStyle name="표준 2 7 2 2" xfId="10977"/>
    <cellStyle name="표준 2 7 2 2 2" xfId="10978"/>
    <cellStyle name="표준 2 7 2 2 2 2" xfId="10979"/>
    <cellStyle name="표준 2 7 2 2 2 2 2" xfId="28120"/>
    <cellStyle name="표준 2 7 2 2 2 3" xfId="28119"/>
    <cellStyle name="표준 2 7 2 2 3" xfId="10980"/>
    <cellStyle name="표준 2 7 2 2 3 2" xfId="10981"/>
    <cellStyle name="표준 2 7 2 2 3 2 2" xfId="28122"/>
    <cellStyle name="표준 2 7 2 2 3 3" xfId="28121"/>
    <cellStyle name="표준 2 7 2 2 4" xfId="10982"/>
    <cellStyle name="표준 2 7 2 2 4 2" xfId="10983"/>
    <cellStyle name="표준 2 7 2 2 4 2 2" xfId="28124"/>
    <cellStyle name="표준 2 7 2 2 4 3" xfId="28123"/>
    <cellStyle name="표준 2 7 2 2 5" xfId="10984"/>
    <cellStyle name="표준 2 7 2 2 5 2" xfId="10985"/>
    <cellStyle name="표준 2 7 2 2 5 2 2" xfId="28126"/>
    <cellStyle name="표준 2 7 2 2 5 3" xfId="28125"/>
    <cellStyle name="표준 2 7 2 2 6" xfId="10986"/>
    <cellStyle name="표준 2 7 2 2 6 2" xfId="28127"/>
    <cellStyle name="표준 2 7 2 2 7" xfId="28118"/>
    <cellStyle name="표준 2 7 2 3" xfId="10987"/>
    <cellStyle name="표준 2 7 2 3 2" xfId="10988"/>
    <cellStyle name="표준 2 7 2 3 2 2" xfId="10989"/>
    <cellStyle name="표준 2 7 2 3 2 2 2" xfId="28130"/>
    <cellStyle name="표준 2 7 2 3 2 3" xfId="28129"/>
    <cellStyle name="표준 2 7 2 3 3" xfId="10990"/>
    <cellStyle name="표준 2 7 2 3 3 2" xfId="10991"/>
    <cellStyle name="표준 2 7 2 3 3 2 2" xfId="28132"/>
    <cellStyle name="표준 2 7 2 3 3 3" xfId="28131"/>
    <cellStyle name="표준 2 7 2 3 4" xfId="10992"/>
    <cellStyle name="표준 2 7 2 3 4 2" xfId="10993"/>
    <cellStyle name="표준 2 7 2 3 4 2 2" xfId="28134"/>
    <cellStyle name="표준 2 7 2 3 4 3" xfId="28133"/>
    <cellStyle name="표준 2 7 2 3 5" xfId="10994"/>
    <cellStyle name="표준 2 7 2 3 5 2" xfId="10995"/>
    <cellStyle name="표준 2 7 2 3 5 2 2" xfId="28136"/>
    <cellStyle name="표준 2 7 2 3 5 3" xfId="28135"/>
    <cellStyle name="표준 2 7 2 3 6" xfId="10996"/>
    <cellStyle name="표준 2 7 2 3 6 2" xfId="28137"/>
    <cellStyle name="표준 2 7 2 3 7" xfId="28128"/>
    <cellStyle name="표준 2 7 2 4" xfId="10997"/>
    <cellStyle name="표준 2 7 2 4 2" xfId="10998"/>
    <cellStyle name="표준 2 7 2 4 2 2" xfId="28139"/>
    <cellStyle name="표준 2 7 2 4 3" xfId="28138"/>
    <cellStyle name="표준 2 7 2 5" xfId="10999"/>
    <cellStyle name="표준 2 7 2 5 2" xfId="11000"/>
    <cellStyle name="표준 2 7 2 5 2 2" xfId="28141"/>
    <cellStyle name="표준 2 7 2 5 3" xfId="28140"/>
    <cellStyle name="표준 2 7 2 6" xfId="11001"/>
    <cellStyle name="표준 2 7 2 6 2" xfId="11002"/>
    <cellStyle name="표준 2 7 2 6 2 2" xfId="28143"/>
    <cellStyle name="표준 2 7 2 6 3" xfId="28142"/>
    <cellStyle name="표준 2 7 2 7" xfId="11003"/>
    <cellStyle name="표준 2 7 2 7 2" xfId="11004"/>
    <cellStyle name="표준 2 7 2 7 2 2" xfId="28145"/>
    <cellStyle name="표준 2 7 2 7 3" xfId="28144"/>
    <cellStyle name="표준 2 7 2 8" xfId="11005"/>
    <cellStyle name="표준 2 7 2 8 2" xfId="28146"/>
    <cellStyle name="표준 2 7 2 9" xfId="28117"/>
    <cellStyle name="표준 2 7 3" xfId="11006"/>
    <cellStyle name="표준 2 7 3 2" xfId="11007"/>
    <cellStyle name="표준 2 7 3 2 2" xfId="11008"/>
    <cellStyle name="표준 2 7 3 2 2 2" xfId="28149"/>
    <cellStyle name="표준 2 7 3 2 3" xfId="28148"/>
    <cellStyle name="표준 2 7 3 3" xfId="11009"/>
    <cellStyle name="표준 2 7 3 3 2" xfId="11010"/>
    <cellStyle name="표준 2 7 3 3 2 2" xfId="28151"/>
    <cellStyle name="표준 2 7 3 3 3" xfId="28150"/>
    <cellStyle name="표준 2 7 3 4" xfId="11011"/>
    <cellStyle name="표준 2 7 3 4 2" xfId="11012"/>
    <cellStyle name="표준 2 7 3 4 2 2" xfId="28153"/>
    <cellStyle name="표준 2 7 3 4 3" xfId="28152"/>
    <cellStyle name="표준 2 7 3 5" xfId="11013"/>
    <cellStyle name="표준 2 7 3 5 2" xfId="11014"/>
    <cellStyle name="표준 2 7 3 5 2 2" xfId="28155"/>
    <cellStyle name="표준 2 7 3 5 3" xfId="28154"/>
    <cellStyle name="표준 2 7 3 6" xfId="11015"/>
    <cellStyle name="표준 2 7 3 6 2" xfId="28156"/>
    <cellStyle name="표준 2 7 3 7" xfId="28147"/>
    <cellStyle name="표준 2 7 4" xfId="11016"/>
    <cellStyle name="표준 2 7 4 2" xfId="11017"/>
    <cellStyle name="표준 2 7 4 2 2" xfId="11018"/>
    <cellStyle name="표준 2 7 4 2 2 2" xfId="28159"/>
    <cellStyle name="표준 2 7 4 2 3" xfId="28158"/>
    <cellStyle name="표준 2 7 4 3" xfId="11019"/>
    <cellStyle name="표준 2 7 4 3 2" xfId="11020"/>
    <cellStyle name="표준 2 7 4 3 2 2" xfId="28161"/>
    <cellStyle name="표준 2 7 4 3 3" xfId="28160"/>
    <cellStyle name="표준 2 7 4 4" xfId="11021"/>
    <cellStyle name="표준 2 7 4 4 2" xfId="11022"/>
    <cellStyle name="표준 2 7 4 4 2 2" xfId="28163"/>
    <cellStyle name="표준 2 7 4 4 3" xfId="28162"/>
    <cellStyle name="표준 2 7 4 5" xfId="11023"/>
    <cellStyle name="표준 2 7 4 5 2" xfId="11024"/>
    <cellStyle name="표준 2 7 4 5 2 2" xfId="28165"/>
    <cellStyle name="표준 2 7 4 5 3" xfId="28164"/>
    <cellStyle name="표준 2 7 4 6" xfId="11025"/>
    <cellStyle name="표준 2 7 4 6 2" xfId="28166"/>
    <cellStyle name="표준 2 7 4 7" xfId="28157"/>
    <cellStyle name="표준 2 7 5" xfId="11026"/>
    <cellStyle name="표준 2 7 5 2" xfId="11027"/>
    <cellStyle name="표준 2 7 5 2 2" xfId="28168"/>
    <cellStyle name="표준 2 7 5 3" xfId="28167"/>
    <cellStyle name="표준 2 7 6" xfId="11028"/>
    <cellStyle name="표준 2 7 6 2" xfId="11029"/>
    <cellStyle name="표준 2 7 6 2 2" xfId="28170"/>
    <cellStyle name="표준 2 7 6 3" xfId="28169"/>
    <cellStyle name="표준 2 7 7" xfId="11030"/>
    <cellStyle name="표준 2 7 7 2" xfId="11031"/>
    <cellStyle name="표준 2 7 7 2 2" xfId="28172"/>
    <cellStyle name="표준 2 7 7 3" xfId="28171"/>
    <cellStyle name="표준 2 7 8" xfId="11032"/>
    <cellStyle name="표준 2 7 8 2" xfId="11033"/>
    <cellStyle name="표준 2 7 8 2 2" xfId="28174"/>
    <cellStyle name="표준 2 7 8 3" xfId="28173"/>
    <cellStyle name="표준 2 7 9" xfId="11034"/>
    <cellStyle name="표준 2 7 9 2" xfId="28175"/>
    <cellStyle name="표준 2 8" xfId="11035"/>
    <cellStyle name="표준 2 8 10" xfId="28176"/>
    <cellStyle name="표준 2 8 11" xfId="34888"/>
    <cellStyle name="표준 2 8 2" xfId="11036"/>
    <cellStyle name="표준 2 8 2 2" xfId="11037"/>
    <cellStyle name="표준 2 8 2 2 2" xfId="11038"/>
    <cellStyle name="표준 2 8 2 2 2 2" xfId="11039"/>
    <cellStyle name="표준 2 8 2 2 2 2 2" xfId="28180"/>
    <cellStyle name="표준 2 8 2 2 2 3" xfId="28179"/>
    <cellStyle name="표준 2 8 2 2 3" xfId="11040"/>
    <cellStyle name="표준 2 8 2 2 3 2" xfId="11041"/>
    <cellStyle name="표준 2 8 2 2 3 2 2" xfId="28182"/>
    <cellStyle name="표준 2 8 2 2 3 3" xfId="28181"/>
    <cellStyle name="표준 2 8 2 2 4" xfId="11042"/>
    <cellStyle name="표준 2 8 2 2 4 2" xfId="11043"/>
    <cellStyle name="표준 2 8 2 2 4 2 2" xfId="28184"/>
    <cellStyle name="표준 2 8 2 2 4 3" xfId="28183"/>
    <cellStyle name="표준 2 8 2 2 5" xfId="11044"/>
    <cellStyle name="표준 2 8 2 2 5 2" xfId="11045"/>
    <cellStyle name="표준 2 8 2 2 5 2 2" xfId="28186"/>
    <cellStyle name="표준 2 8 2 2 5 3" xfId="28185"/>
    <cellStyle name="표준 2 8 2 2 6" xfId="11046"/>
    <cellStyle name="표준 2 8 2 2 6 2" xfId="28187"/>
    <cellStyle name="표준 2 8 2 2 7" xfId="28178"/>
    <cellStyle name="표준 2 8 2 3" xfId="11047"/>
    <cellStyle name="표준 2 8 2 3 2" xfId="11048"/>
    <cellStyle name="표준 2 8 2 3 2 2" xfId="11049"/>
    <cellStyle name="표준 2 8 2 3 2 2 2" xfId="28190"/>
    <cellStyle name="표준 2 8 2 3 2 3" xfId="28189"/>
    <cellStyle name="표준 2 8 2 3 3" xfId="11050"/>
    <cellStyle name="표준 2 8 2 3 3 2" xfId="11051"/>
    <cellStyle name="표준 2 8 2 3 3 2 2" xfId="28192"/>
    <cellStyle name="표준 2 8 2 3 3 3" xfId="28191"/>
    <cellStyle name="표준 2 8 2 3 4" xfId="11052"/>
    <cellStyle name="표준 2 8 2 3 4 2" xfId="11053"/>
    <cellStyle name="표준 2 8 2 3 4 2 2" xfId="28194"/>
    <cellStyle name="표준 2 8 2 3 4 3" xfId="28193"/>
    <cellStyle name="표준 2 8 2 3 5" xfId="11054"/>
    <cellStyle name="표준 2 8 2 3 5 2" xfId="11055"/>
    <cellStyle name="표준 2 8 2 3 5 2 2" xfId="28196"/>
    <cellStyle name="표준 2 8 2 3 5 3" xfId="28195"/>
    <cellStyle name="표준 2 8 2 3 6" xfId="11056"/>
    <cellStyle name="표준 2 8 2 3 6 2" xfId="28197"/>
    <cellStyle name="표준 2 8 2 3 7" xfId="28188"/>
    <cellStyle name="표준 2 8 2 4" xfId="11057"/>
    <cellStyle name="표준 2 8 2 4 2" xfId="11058"/>
    <cellStyle name="표준 2 8 2 4 2 2" xfId="28199"/>
    <cellStyle name="표준 2 8 2 4 3" xfId="28198"/>
    <cellStyle name="표준 2 8 2 5" xfId="11059"/>
    <cellStyle name="표준 2 8 2 5 2" xfId="11060"/>
    <cellStyle name="표준 2 8 2 5 2 2" xfId="28201"/>
    <cellStyle name="표준 2 8 2 5 3" xfId="28200"/>
    <cellStyle name="표준 2 8 2 6" xfId="11061"/>
    <cellStyle name="표준 2 8 2 6 2" xfId="11062"/>
    <cellStyle name="표준 2 8 2 6 2 2" xfId="28203"/>
    <cellStyle name="표준 2 8 2 6 3" xfId="28202"/>
    <cellStyle name="표준 2 8 2 7" xfId="11063"/>
    <cellStyle name="표준 2 8 2 7 2" xfId="11064"/>
    <cellStyle name="표준 2 8 2 7 2 2" xfId="28205"/>
    <cellStyle name="표준 2 8 2 7 3" xfId="28204"/>
    <cellStyle name="표준 2 8 2 8" xfId="11065"/>
    <cellStyle name="표준 2 8 2 8 2" xfId="28206"/>
    <cellStyle name="표준 2 8 2 9" xfId="28177"/>
    <cellStyle name="표준 2 8 3" xfId="11066"/>
    <cellStyle name="표준 2 8 3 2" xfId="11067"/>
    <cellStyle name="표준 2 8 3 2 2" xfId="11068"/>
    <cellStyle name="표준 2 8 3 2 2 2" xfId="28209"/>
    <cellStyle name="표준 2 8 3 2 3" xfId="28208"/>
    <cellStyle name="표준 2 8 3 3" xfId="11069"/>
    <cellStyle name="표준 2 8 3 3 2" xfId="11070"/>
    <cellStyle name="표준 2 8 3 3 2 2" xfId="28211"/>
    <cellStyle name="표준 2 8 3 3 3" xfId="28210"/>
    <cellStyle name="표준 2 8 3 4" xfId="11071"/>
    <cellStyle name="표준 2 8 3 4 2" xfId="11072"/>
    <cellStyle name="표준 2 8 3 4 2 2" xfId="28213"/>
    <cellStyle name="표준 2 8 3 4 3" xfId="28212"/>
    <cellStyle name="표준 2 8 3 5" xfId="11073"/>
    <cellStyle name="표준 2 8 3 5 2" xfId="11074"/>
    <cellStyle name="표준 2 8 3 5 2 2" xfId="28215"/>
    <cellStyle name="표준 2 8 3 5 3" xfId="28214"/>
    <cellStyle name="표준 2 8 3 6" xfId="11075"/>
    <cellStyle name="표준 2 8 3 6 2" xfId="28216"/>
    <cellStyle name="표준 2 8 3 7" xfId="28207"/>
    <cellStyle name="표준 2 8 4" xfId="11076"/>
    <cellStyle name="표준 2 8 4 2" xfId="11077"/>
    <cellStyle name="표준 2 8 4 2 2" xfId="11078"/>
    <cellStyle name="표준 2 8 4 2 2 2" xfId="28219"/>
    <cellStyle name="표준 2 8 4 2 3" xfId="28218"/>
    <cellStyle name="표준 2 8 4 3" xfId="11079"/>
    <cellStyle name="표준 2 8 4 3 2" xfId="11080"/>
    <cellStyle name="표준 2 8 4 3 2 2" xfId="28221"/>
    <cellStyle name="표준 2 8 4 3 3" xfId="28220"/>
    <cellStyle name="표준 2 8 4 4" xfId="11081"/>
    <cellStyle name="표준 2 8 4 4 2" xfId="11082"/>
    <cellStyle name="표준 2 8 4 4 2 2" xfId="28223"/>
    <cellStyle name="표준 2 8 4 4 3" xfId="28222"/>
    <cellStyle name="표준 2 8 4 5" xfId="11083"/>
    <cellStyle name="표준 2 8 4 5 2" xfId="11084"/>
    <cellStyle name="표준 2 8 4 5 2 2" xfId="28225"/>
    <cellStyle name="표준 2 8 4 5 3" xfId="28224"/>
    <cellStyle name="표준 2 8 4 6" xfId="11085"/>
    <cellStyle name="표준 2 8 4 6 2" xfId="28226"/>
    <cellStyle name="표준 2 8 4 7" xfId="28217"/>
    <cellStyle name="표준 2 8 5" xfId="11086"/>
    <cellStyle name="표준 2 8 5 2" xfId="11087"/>
    <cellStyle name="표준 2 8 5 2 2" xfId="28228"/>
    <cellStyle name="표준 2 8 5 3" xfId="28227"/>
    <cellStyle name="표준 2 8 6" xfId="11088"/>
    <cellStyle name="표준 2 8 6 2" xfId="11089"/>
    <cellStyle name="표준 2 8 6 2 2" xfId="28230"/>
    <cellStyle name="표준 2 8 6 3" xfId="28229"/>
    <cellStyle name="표준 2 8 7" xfId="11090"/>
    <cellStyle name="표준 2 8 7 2" xfId="11091"/>
    <cellStyle name="표준 2 8 7 2 2" xfId="28232"/>
    <cellStyle name="표준 2 8 7 3" xfId="28231"/>
    <cellStyle name="표준 2 8 8" xfId="11092"/>
    <cellStyle name="표준 2 8 8 2" xfId="11093"/>
    <cellStyle name="표준 2 8 8 2 2" xfId="28234"/>
    <cellStyle name="표준 2 8 8 3" xfId="28233"/>
    <cellStyle name="표준 2 8 9" xfId="11094"/>
    <cellStyle name="표준 2 8 9 2" xfId="28235"/>
    <cellStyle name="표준 2 9" xfId="11095"/>
    <cellStyle name="표준 2 9 10" xfId="28236"/>
    <cellStyle name="표준 2 9 11" xfId="34889"/>
    <cellStyle name="표준 2 9 2" xfId="11096"/>
    <cellStyle name="표준 2 9 2 2" xfId="11097"/>
    <cellStyle name="표준 2 9 2 2 2" xfId="11098"/>
    <cellStyle name="표준 2 9 2 2 2 2" xfId="11099"/>
    <cellStyle name="표준 2 9 2 2 2 2 2" xfId="28240"/>
    <cellStyle name="표준 2 9 2 2 2 3" xfId="28239"/>
    <cellStyle name="표준 2 9 2 2 3" xfId="11100"/>
    <cellStyle name="표준 2 9 2 2 3 2" xfId="11101"/>
    <cellStyle name="표준 2 9 2 2 3 2 2" xfId="28242"/>
    <cellStyle name="표준 2 9 2 2 3 3" xfId="28241"/>
    <cellStyle name="표준 2 9 2 2 4" xfId="11102"/>
    <cellStyle name="표준 2 9 2 2 4 2" xfId="11103"/>
    <cellStyle name="표준 2 9 2 2 4 2 2" xfId="28244"/>
    <cellStyle name="표준 2 9 2 2 4 3" xfId="28243"/>
    <cellStyle name="표준 2 9 2 2 5" xfId="11104"/>
    <cellStyle name="표준 2 9 2 2 5 2" xfId="11105"/>
    <cellStyle name="표준 2 9 2 2 5 2 2" xfId="28246"/>
    <cellStyle name="표준 2 9 2 2 5 3" xfId="28245"/>
    <cellStyle name="표준 2 9 2 2 6" xfId="11106"/>
    <cellStyle name="표준 2 9 2 2 6 2" xfId="28247"/>
    <cellStyle name="표준 2 9 2 2 7" xfId="28238"/>
    <cellStyle name="표준 2 9 2 3" xfId="11107"/>
    <cellStyle name="표준 2 9 2 3 2" xfId="11108"/>
    <cellStyle name="표준 2 9 2 3 2 2" xfId="11109"/>
    <cellStyle name="표준 2 9 2 3 2 2 2" xfId="28250"/>
    <cellStyle name="표준 2 9 2 3 2 3" xfId="28249"/>
    <cellStyle name="표준 2 9 2 3 3" xfId="11110"/>
    <cellStyle name="표준 2 9 2 3 3 2" xfId="11111"/>
    <cellStyle name="표준 2 9 2 3 3 2 2" xfId="28252"/>
    <cellStyle name="표준 2 9 2 3 3 3" xfId="28251"/>
    <cellStyle name="표준 2 9 2 3 4" xfId="11112"/>
    <cellStyle name="표준 2 9 2 3 4 2" xfId="11113"/>
    <cellStyle name="표준 2 9 2 3 4 2 2" xfId="28254"/>
    <cellStyle name="표준 2 9 2 3 4 3" xfId="28253"/>
    <cellStyle name="표준 2 9 2 3 5" xfId="11114"/>
    <cellStyle name="표준 2 9 2 3 5 2" xfId="11115"/>
    <cellStyle name="표준 2 9 2 3 5 2 2" xfId="28256"/>
    <cellStyle name="표준 2 9 2 3 5 3" xfId="28255"/>
    <cellStyle name="표준 2 9 2 3 6" xfId="11116"/>
    <cellStyle name="표준 2 9 2 3 6 2" xfId="28257"/>
    <cellStyle name="표준 2 9 2 3 7" xfId="28248"/>
    <cellStyle name="표준 2 9 2 4" xfId="11117"/>
    <cellStyle name="표준 2 9 2 4 2" xfId="11118"/>
    <cellStyle name="표준 2 9 2 4 2 2" xfId="28259"/>
    <cellStyle name="표준 2 9 2 4 3" xfId="28258"/>
    <cellStyle name="표준 2 9 2 5" xfId="11119"/>
    <cellStyle name="표준 2 9 2 5 2" xfId="11120"/>
    <cellStyle name="표준 2 9 2 5 2 2" xfId="28261"/>
    <cellStyle name="표준 2 9 2 5 3" xfId="28260"/>
    <cellStyle name="표준 2 9 2 6" xfId="11121"/>
    <cellStyle name="표준 2 9 2 6 2" xfId="11122"/>
    <cellStyle name="표준 2 9 2 6 2 2" xfId="28263"/>
    <cellStyle name="표준 2 9 2 6 3" xfId="28262"/>
    <cellStyle name="표준 2 9 2 7" xfId="11123"/>
    <cellStyle name="표준 2 9 2 7 2" xfId="11124"/>
    <cellStyle name="표준 2 9 2 7 2 2" xfId="28265"/>
    <cellStyle name="표준 2 9 2 7 3" xfId="28264"/>
    <cellStyle name="표준 2 9 2 8" xfId="11125"/>
    <cellStyle name="표준 2 9 2 8 2" xfId="28266"/>
    <cellStyle name="표준 2 9 2 9" xfId="28237"/>
    <cellStyle name="표준 2 9 3" xfId="11126"/>
    <cellStyle name="표준 2 9 3 2" xfId="11127"/>
    <cellStyle name="표준 2 9 3 2 2" xfId="11128"/>
    <cellStyle name="표준 2 9 3 2 2 2" xfId="28269"/>
    <cellStyle name="표준 2 9 3 2 3" xfId="28268"/>
    <cellStyle name="표준 2 9 3 3" xfId="11129"/>
    <cellStyle name="표준 2 9 3 3 2" xfId="11130"/>
    <cellStyle name="표준 2 9 3 3 2 2" xfId="28271"/>
    <cellStyle name="표준 2 9 3 3 3" xfId="28270"/>
    <cellStyle name="표준 2 9 3 4" xfId="11131"/>
    <cellStyle name="표준 2 9 3 4 2" xfId="11132"/>
    <cellStyle name="표준 2 9 3 4 2 2" xfId="28273"/>
    <cellStyle name="표준 2 9 3 4 3" xfId="28272"/>
    <cellStyle name="표준 2 9 3 5" xfId="11133"/>
    <cellStyle name="표준 2 9 3 5 2" xfId="11134"/>
    <cellStyle name="표준 2 9 3 5 2 2" xfId="28275"/>
    <cellStyle name="표준 2 9 3 5 3" xfId="28274"/>
    <cellStyle name="표준 2 9 3 6" xfId="11135"/>
    <cellStyle name="표준 2 9 3 6 2" xfId="28276"/>
    <cellStyle name="표준 2 9 3 7" xfId="28267"/>
    <cellStyle name="표준 2 9 4" xfId="11136"/>
    <cellStyle name="표준 2 9 4 2" xfId="11137"/>
    <cellStyle name="표준 2 9 4 2 2" xfId="11138"/>
    <cellStyle name="표준 2 9 4 2 2 2" xfId="28279"/>
    <cellStyle name="표준 2 9 4 2 3" xfId="28278"/>
    <cellStyle name="표준 2 9 4 3" xfId="11139"/>
    <cellStyle name="표준 2 9 4 3 2" xfId="11140"/>
    <cellStyle name="표준 2 9 4 3 2 2" xfId="28281"/>
    <cellStyle name="표준 2 9 4 3 3" xfId="28280"/>
    <cellStyle name="표준 2 9 4 4" xfId="11141"/>
    <cellStyle name="표준 2 9 4 4 2" xfId="11142"/>
    <cellStyle name="표준 2 9 4 4 2 2" xfId="28283"/>
    <cellStyle name="표준 2 9 4 4 3" xfId="28282"/>
    <cellStyle name="표준 2 9 4 5" xfId="11143"/>
    <cellStyle name="표준 2 9 4 5 2" xfId="11144"/>
    <cellStyle name="표준 2 9 4 5 2 2" xfId="28285"/>
    <cellStyle name="표준 2 9 4 5 3" xfId="28284"/>
    <cellStyle name="표준 2 9 4 6" xfId="11145"/>
    <cellStyle name="표준 2 9 4 6 2" xfId="28286"/>
    <cellStyle name="표준 2 9 4 7" xfId="28277"/>
    <cellStyle name="표준 2 9 5" xfId="11146"/>
    <cellStyle name="표준 2 9 5 2" xfId="11147"/>
    <cellStyle name="표준 2 9 5 2 2" xfId="28288"/>
    <cellStyle name="표준 2 9 5 3" xfId="28287"/>
    <cellStyle name="표준 2 9 6" xfId="11148"/>
    <cellStyle name="표준 2 9 6 2" xfId="11149"/>
    <cellStyle name="표준 2 9 6 2 2" xfId="28290"/>
    <cellStyle name="표준 2 9 6 3" xfId="28289"/>
    <cellStyle name="표준 2 9 7" xfId="11150"/>
    <cellStyle name="표준 2 9 7 2" xfId="11151"/>
    <cellStyle name="표준 2 9 7 2 2" xfId="28292"/>
    <cellStyle name="표준 2 9 7 3" xfId="28291"/>
    <cellStyle name="표준 2 9 8" xfId="11152"/>
    <cellStyle name="표준 2 9 8 2" xfId="11153"/>
    <cellStyle name="표준 2 9 8 2 2" xfId="28294"/>
    <cellStyle name="표준 2 9 8 3" xfId="28293"/>
    <cellStyle name="표준 2 9 9" xfId="11154"/>
    <cellStyle name="표준 2 9 9 2" xfId="28295"/>
    <cellStyle name="표준 2_AK11 Construction Cost(Ver1.0) 20090130" xfId="168"/>
    <cellStyle name="표준 20" xfId="17182"/>
    <cellStyle name="표준 20 2" xfId="34890"/>
    <cellStyle name="표준 21" xfId="34891"/>
    <cellStyle name="표준 22" xfId="17175"/>
    <cellStyle name="표준 22 2" xfId="34892"/>
    <cellStyle name="표준 23" xfId="34893"/>
    <cellStyle name="표준 23 2" xfId="78"/>
    <cellStyle name="표준 23 2 2" xfId="249"/>
    <cellStyle name="표준 23 2 2 2" xfId="17392"/>
    <cellStyle name="표준 23 2 3" xfId="17250"/>
    <cellStyle name="표준 23 3" xfId="79"/>
    <cellStyle name="표준 23 3 2" xfId="250"/>
    <cellStyle name="표준 23 3 2 2" xfId="17393"/>
    <cellStyle name="표준 23 3 3" xfId="17251"/>
    <cellStyle name="표준 24" xfId="34894"/>
    <cellStyle name="표준 25" xfId="34895"/>
    <cellStyle name="표준 26" xfId="34896"/>
    <cellStyle name="표준 27" xfId="34897"/>
    <cellStyle name="표준 28" xfId="34898"/>
    <cellStyle name="표준 28 2" xfId="80"/>
    <cellStyle name="표준 28 2 2" xfId="251"/>
    <cellStyle name="표준 28 2 2 2" xfId="17394"/>
    <cellStyle name="표준 28 2 3" xfId="17252"/>
    <cellStyle name="표준 28 3" xfId="81"/>
    <cellStyle name="표준 28 3 2" xfId="252"/>
    <cellStyle name="표준 28 3 2 2" xfId="17395"/>
    <cellStyle name="표준 28 3 3" xfId="17253"/>
    <cellStyle name="표준 29" xfId="34899"/>
    <cellStyle name="표준 3" xfId="143"/>
    <cellStyle name="표준 3 10" xfId="17177"/>
    <cellStyle name="표준 3 10 2" xfId="34901"/>
    <cellStyle name="표준 3 11" xfId="34902"/>
    <cellStyle name="표준 3 12" xfId="34903"/>
    <cellStyle name="표준 3 13" xfId="34904"/>
    <cellStyle name="표준 3 14" xfId="34905"/>
    <cellStyle name="표준 3 15" xfId="34906"/>
    <cellStyle name="표준 3 16" xfId="34907"/>
    <cellStyle name="표준 3 17" xfId="34908"/>
    <cellStyle name="표준 3 18" xfId="34909"/>
    <cellStyle name="표준 3 19" xfId="34910"/>
    <cellStyle name="표준 3 2" xfId="169"/>
    <cellStyle name="표준 3 2 10" xfId="35788"/>
    <cellStyle name="표준 3 2 11" xfId="35789"/>
    <cellStyle name="표준 3 2 12" xfId="35790"/>
    <cellStyle name="표준 3 2 13" xfId="35791"/>
    <cellStyle name="표준 3 2 14" xfId="34911"/>
    <cellStyle name="표준 3 2 2" xfId="17312"/>
    <cellStyle name="표준 3 2 2 10" xfId="35793"/>
    <cellStyle name="표준 3 2 2 11" xfId="35794"/>
    <cellStyle name="표준 3 2 2 12" xfId="35795"/>
    <cellStyle name="표준 3 2 2 13" xfId="35796"/>
    <cellStyle name="표준 3 2 2 14" xfId="35792"/>
    <cellStyle name="표준 3 2 2 2" xfId="35797"/>
    <cellStyle name="표준 3 2 2 2 10" xfId="35798"/>
    <cellStyle name="표준 3 2 2 2 11" xfId="35799"/>
    <cellStyle name="표준 3 2 2 2 2" xfId="35800"/>
    <cellStyle name="표준 3 2 2 2 3" xfId="35801"/>
    <cellStyle name="표준 3 2 2 2 4" xfId="35802"/>
    <cellStyle name="표준 3 2 2 2 5" xfId="35803"/>
    <cellStyle name="표준 3 2 2 2 6" xfId="35804"/>
    <cellStyle name="표준 3 2 2 2 7" xfId="35805"/>
    <cellStyle name="표준 3 2 2 2 8" xfId="35806"/>
    <cellStyle name="표준 3 2 2 2 9" xfId="35807"/>
    <cellStyle name="표준 3 2 2 3" xfId="35808"/>
    <cellStyle name="표준 3 2 2 4" xfId="35809"/>
    <cellStyle name="표준 3 2 2 5" xfId="35810"/>
    <cellStyle name="표준 3 2 2 6" xfId="35811"/>
    <cellStyle name="표준 3 2 2 7" xfId="35812"/>
    <cellStyle name="표준 3 2 2 8" xfId="35813"/>
    <cellStyle name="표준 3 2 2 9" xfId="35814"/>
    <cellStyle name="표준 3 2 3" xfId="35815"/>
    <cellStyle name="표준 3 2 4" xfId="35816"/>
    <cellStyle name="표준 3 2 5" xfId="35817"/>
    <cellStyle name="표준 3 2 6" xfId="35818"/>
    <cellStyle name="표준 3 2 7" xfId="35819"/>
    <cellStyle name="표준 3 2 8" xfId="35820"/>
    <cellStyle name="표준 3 2 9" xfId="35821"/>
    <cellStyle name="표준 3 20" xfId="34912"/>
    <cellStyle name="표준 3 21" xfId="34913"/>
    <cellStyle name="표준 3 22" xfId="34914"/>
    <cellStyle name="표준 3 23" xfId="35869"/>
    <cellStyle name="표준 3 24" xfId="34900"/>
    <cellStyle name="표준 3 3" xfId="287"/>
    <cellStyle name="표준 3 3 2" xfId="17430"/>
    <cellStyle name="표준 3 3 3" xfId="34915"/>
    <cellStyle name="표준 3 4" xfId="553"/>
    <cellStyle name="표준 3 4 2" xfId="17696"/>
    <cellStyle name="표준 3 4 3" xfId="34916"/>
    <cellStyle name="표준 3 5" xfId="17288"/>
    <cellStyle name="표준 3 5 2" xfId="34917"/>
    <cellStyle name="표준 3 6" xfId="34918"/>
    <cellStyle name="표준 3 7" xfId="34919"/>
    <cellStyle name="표준 3 8" xfId="34920"/>
    <cellStyle name="표준 3 9" xfId="34921"/>
    <cellStyle name="표준 30" xfId="34922"/>
    <cellStyle name="표준 31" xfId="34923"/>
    <cellStyle name="표준 32" xfId="34924"/>
    <cellStyle name="표준 33" xfId="34925"/>
    <cellStyle name="표준 34" xfId="34926"/>
    <cellStyle name="표준 35" xfId="34927"/>
    <cellStyle name="표준 36" xfId="34928"/>
    <cellStyle name="표준 37" xfId="34929"/>
    <cellStyle name="표준 38" xfId="34930"/>
    <cellStyle name="표준 39" xfId="34931"/>
    <cellStyle name="표준 4" xfId="145"/>
    <cellStyle name="표준 4 10" xfId="11155"/>
    <cellStyle name="표준 4 10 10" xfId="28296"/>
    <cellStyle name="표준 4 10 11" xfId="35822"/>
    <cellStyle name="표준 4 10 2" xfId="11156"/>
    <cellStyle name="표준 4 10 2 2" xfId="11157"/>
    <cellStyle name="표준 4 10 2 2 2" xfId="11158"/>
    <cellStyle name="표준 4 10 2 2 2 2" xfId="11159"/>
    <cellStyle name="표준 4 10 2 2 2 2 2" xfId="28300"/>
    <cellStyle name="표준 4 10 2 2 2 3" xfId="28299"/>
    <cellStyle name="표준 4 10 2 2 3" xfId="11160"/>
    <cellStyle name="표준 4 10 2 2 3 2" xfId="11161"/>
    <cellStyle name="표준 4 10 2 2 3 2 2" xfId="28302"/>
    <cellStyle name="표준 4 10 2 2 3 3" xfId="28301"/>
    <cellStyle name="표준 4 10 2 2 4" xfId="11162"/>
    <cellStyle name="표준 4 10 2 2 4 2" xfId="11163"/>
    <cellStyle name="표준 4 10 2 2 4 2 2" xfId="28304"/>
    <cellStyle name="표준 4 10 2 2 4 3" xfId="28303"/>
    <cellStyle name="표준 4 10 2 2 5" xfId="11164"/>
    <cellStyle name="표준 4 10 2 2 5 2" xfId="11165"/>
    <cellStyle name="표준 4 10 2 2 5 2 2" xfId="28306"/>
    <cellStyle name="표준 4 10 2 2 5 3" xfId="28305"/>
    <cellStyle name="표준 4 10 2 2 6" xfId="11166"/>
    <cellStyle name="표준 4 10 2 2 6 2" xfId="28307"/>
    <cellStyle name="표준 4 10 2 2 7" xfId="28298"/>
    <cellStyle name="표준 4 10 2 3" xfId="11167"/>
    <cellStyle name="표준 4 10 2 3 2" xfId="11168"/>
    <cellStyle name="표준 4 10 2 3 2 2" xfId="11169"/>
    <cellStyle name="표준 4 10 2 3 2 2 2" xfId="28310"/>
    <cellStyle name="표준 4 10 2 3 2 3" xfId="28309"/>
    <cellStyle name="표준 4 10 2 3 3" xfId="11170"/>
    <cellStyle name="표준 4 10 2 3 3 2" xfId="11171"/>
    <cellStyle name="표준 4 10 2 3 3 2 2" xfId="28312"/>
    <cellStyle name="표준 4 10 2 3 3 3" xfId="28311"/>
    <cellStyle name="표준 4 10 2 3 4" xfId="11172"/>
    <cellStyle name="표준 4 10 2 3 4 2" xfId="11173"/>
    <cellStyle name="표준 4 10 2 3 4 2 2" xfId="28314"/>
    <cellStyle name="표준 4 10 2 3 4 3" xfId="28313"/>
    <cellStyle name="표준 4 10 2 3 5" xfId="11174"/>
    <cellStyle name="표준 4 10 2 3 5 2" xfId="11175"/>
    <cellStyle name="표준 4 10 2 3 5 2 2" xfId="28316"/>
    <cellStyle name="표준 4 10 2 3 5 3" xfId="28315"/>
    <cellStyle name="표준 4 10 2 3 6" xfId="11176"/>
    <cellStyle name="표준 4 10 2 3 6 2" xfId="28317"/>
    <cellStyle name="표준 4 10 2 3 7" xfId="28308"/>
    <cellStyle name="표준 4 10 2 4" xfId="11177"/>
    <cellStyle name="표준 4 10 2 4 2" xfId="11178"/>
    <cellStyle name="표준 4 10 2 4 2 2" xfId="28319"/>
    <cellStyle name="표준 4 10 2 4 3" xfId="28318"/>
    <cellStyle name="표준 4 10 2 5" xfId="11179"/>
    <cellStyle name="표준 4 10 2 5 2" xfId="11180"/>
    <cellStyle name="표준 4 10 2 5 2 2" xfId="28321"/>
    <cellStyle name="표준 4 10 2 5 3" xfId="28320"/>
    <cellStyle name="표준 4 10 2 6" xfId="11181"/>
    <cellStyle name="표준 4 10 2 6 2" xfId="11182"/>
    <cellStyle name="표준 4 10 2 6 2 2" xfId="28323"/>
    <cellStyle name="표준 4 10 2 6 3" xfId="28322"/>
    <cellStyle name="표준 4 10 2 7" xfId="11183"/>
    <cellStyle name="표준 4 10 2 7 2" xfId="11184"/>
    <cellStyle name="표준 4 10 2 7 2 2" xfId="28325"/>
    <cellStyle name="표준 4 10 2 7 3" xfId="28324"/>
    <cellStyle name="표준 4 10 2 8" xfId="11185"/>
    <cellStyle name="표준 4 10 2 8 2" xfId="28326"/>
    <cellStyle name="표준 4 10 2 9" xfId="28297"/>
    <cellStyle name="표준 4 10 3" xfId="11186"/>
    <cellStyle name="표준 4 10 3 2" xfId="11187"/>
    <cellStyle name="표준 4 10 3 2 2" xfId="11188"/>
    <cellStyle name="표준 4 10 3 2 2 2" xfId="28329"/>
    <cellStyle name="표준 4 10 3 2 3" xfId="28328"/>
    <cellStyle name="표준 4 10 3 3" xfId="11189"/>
    <cellStyle name="표준 4 10 3 3 2" xfId="11190"/>
    <cellStyle name="표준 4 10 3 3 2 2" xfId="28331"/>
    <cellStyle name="표준 4 10 3 3 3" xfId="28330"/>
    <cellStyle name="표준 4 10 3 4" xfId="11191"/>
    <cellStyle name="표준 4 10 3 4 2" xfId="11192"/>
    <cellStyle name="표준 4 10 3 4 2 2" xfId="28333"/>
    <cellStyle name="표준 4 10 3 4 3" xfId="28332"/>
    <cellStyle name="표준 4 10 3 5" xfId="11193"/>
    <cellStyle name="표준 4 10 3 5 2" xfId="11194"/>
    <cellStyle name="표준 4 10 3 5 2 2" xfId="28335"/>
    <cellStyle name="표준 4 10 3 5 3" xfId="28334"/>
    <cellStyle name="표준 4 10 3 6" xfId="11195"/>
    <cellStyle name="표준 4 10 3 6 2" xfId="28336"/>
    <cellStyle name="표준 4 10 3 7" xfId="28327"/>
    <cellStyle name="표준 4 10 4" xfId="11196"/>
    <cellStyle name="표준 4 10 4 2" xfId="11197"/>
    <cellStyle name="표준 4 10 4 2 2" xfId="11198"/>
    <cellStyle name="표준 4 10 4 2 2 2" xfId="28339"/>
    <cellStyle name="표준 4 10 4 2 3" xfId="28338"/>
    <cellStyle name="표준 4 10 4 3" xfId="11199"/>
    <cellStyle name="표준 4 10 4 3 2" xfId="11200"/>
    <cellStyle name="표준 4 10 4 3 2 2" xfId="28341"/>
    <cellStyle name="표준 4 10 4 3 3" xfId="28340"/>
    <cellStyle name="표준 4 10 4 4" xfId="11201"/>
    <cellStyle name="표준 4 10 4 4 2" xfId="11202"/>
    <cellStyle name="표준 4 10 4 4 2 2" xfId="28343"/>
    <cellStyle name="표준 4 10 4 4 3" xfId="28342"/>
    <cellStyle name="표준 4 10 4 5" xfId="11203"/>
    <cellStyle name="표준 4 10 4 5 2" xfId="11204"/>
    <cellStyle name="표준 4 10 4 5 2 2" xfId="28345"/>
    <cellStyle name="표준 4 10 4 5 3" xfId="28344"/>
    <cellStyle name="표준 4 10 4 6" xfId="11205"/>
    <cellStyle name="표준 4 10 4 6 2" xfId="28346"/>
    <cellStyle name="표준 4 10 4 7" xfId="28337"/>
    <cellStyle name="표준 4 10 5" xfId="11206"/>
    <cellStyle name="표준 4 10 5 2" xfId="11207"/>
    <cellStyle name="표준 4 10 5 2 2" xfId="28348"/>
    <cellStyle name="표준 4 10 5 3" xfId="28347"/>
    <cellStyle name="표준 4 10 6" xfId="11208"/>
    <cellStyle name="표준 4 10 6 2" xfId="11209"/>
    <cellStyle name="표준 4 10 6 2 2" xfId="28350"/>
    <cellStyle name="표준 4 10 6 3" xfId="28349"/>
    <cellStyle name="표준 4 10 7" xfId="11210"/>
    <cellStyle name="표준 4 10 7 2" xfId="11211"/>
    <cellStyle name="표준 4 10 7 2 2" xfId="28352"/>
    <cellStyle name="표준 4 10 7 3" xfId="28351"/>
    <cellStyle name="표준 4 10 8" xfId="11212"/>
    <cellStyle name="표준 4 10 8 2" xfId="11213"/>
    <cellStyle name="표준 4 10 8 2 2" xfId="28354"/>
    <cellStyle name="표준 4 10 8 3" xfId="28353"/>
    <cellStyle name="표준 4 10 9" xfId="11214"/>
    <cellStyle name="표준 4 10 9 2" xfId="28355"/>
    <cellStyle name="표준 4 11" xfId="11215"/>
    <cellStyle name="표준 4 11 10" xfId="28356"/>
    <cellStyle name="표준 4 11 11" xfId="35823"/>
    <cellStyle name="표준 4 11 2" xfId="11216"/>
    <cellStyle name="표준 4 11 2 2" xfId="11217"/>
    <cellStyle name="표준 4 11 2 2 2" xfId="11218"/>
    <cellStyle name="표준 4 11 2 2 2 2" xfId="11219"/>
    <cellStyle name="표준 4 11 2 2 2 2 2" xfId="28360"/>
    <cellStyle name="표준 4 11 2 2 2 3" xfId="28359"/>
    <cellStyle name="표준 4 11 2 2 3" xfId="11220"/>
    <cellStyle name="표준 4 11 2 2 3 2" xfId="11221"/>
    <cellStyle name="표준 4 11 2 2 3 2 2" xfId="28362"/>
    <cellStyle name="표준 4 11 2 2 3 3" xfId="28361"/>
    <cellStyle name="표준 4 11 2 2 4" xfId="11222"/>
    <cellStyle name="표준 4 11 2 2 4 2" xfId="11223"/>
    <cellStyle name="표준 4 11 2 2 4 2 2" xfId="28364"/>
    <cellStyle name="표준 4 11 2 2 4 3" xfId="28363"/>
    <cellStyle name="표준 4 11 2 2 5" xfId="11224"/>
    <cellStyle name="표준 4 11 2 2 5 2" xfId="11225"/>
    <cellStyle name="표준 4 11 2 2 5 2 2" xfId="28366"/>
    <cellStyle name="표준 4 11 2 2 5 3" xfId="28365"/>
    <cellStyle name="표준 4 11 2 2 6" xfId="11226"/>
    <cellStyle name="표준 4 11 2 2 6 2" xfId="28367"/>
    <cellStyle name="표준 4 11 2 2 7" xfId="28358"/>
    <cellStyle name="표준 4 11 2 3" xfId="11227"/>
    <cellStyle name="표준 4 11 2 3 2" xfId="11228"/>
    <cellStyle name="표준 4 11 2 3 2 2" xfId="11229"/>
    <cellStyle name="표준 4 11 2 3 2 2 2" xfId="28370"/>
    <cellStyle name="표준 4 11 2 3 2 3" xfId="28369"/>
    <cellStyle name="표준 4 11 2 3 3" xfId="11230"/>
    <cellStyle name="표준 4 11 2 3 3 2" xfId="11231"/>
    <cellStyle name="표준 4 11 2 3 3 2 2" xfId="28372"/>
    <cellStyle name="표준 4 11 2 3 3 3" xfId="28371"/>
    <cellStyle name="표준 4 11 2 3 4" xfId="11232"/>
    <cellStyle name="표준 4 11 2 3 4 2" xfId="11233"/>
    <cellStyle name="표준 4 11 2 3 4 2 2" xfId="28374"/>
    <cellStyle name="표준 4 11 2 3 4 3" xfId="28373"/>
    <cellStyle name="표준 4 11 2 3 5" xfId="11234"/>
    <cellStyle name="표준 4 11 2 3 5 2" xfId="11235"/>
    <cellStyle name="표준 4 11 2 3 5 2 2" xfId="28376"/>
    <cellStyle name="표준 4 11 2 3 5 3" xfId="28375"/>
    <cellStyle name="표준 4 11 2 3 6" xfId="11236"/>
    <cellStyle name="표준 4 11 2 3 6 2" xfId="28377"/>
    <cellStyle name="표준 4 11 2 3 7" xfId="28368"/>
    <cellStyle name="표준 4 11 2 4" xfId="11237"/>
    <cellStyle name="표준 4 11 2 4 2" xfId="11238"/>
    <cellStyle name="표준 4 11 2 4 2 2" xfId="28379"/>
    <cellStyle name="표준 4 11 2 4 3" xfId="28378"/>
    <cellStyle name="표준 4 11 2 5" xfId="11239"/>
    <cellStyle name="표준 4 11 2 5 2" xfId="11240"/>
    <cellStyle name="표준 4 11 2 5 2 2" xfId="28381"/>
    <cellStyle name="표준 4 11 2 5 3" xfId="28380"/>
    <cellStyle name="표준 4 11 2 6" xfId="11241"/>
    <cellStyle name="표준 4 11 2 6 2" xfId="11242"/>
    <cellStyle name="표준 4 11 2 6 2 2" xfId="28383"/>
    <cellStyle name="표준 4 11 2 6 3" xfId="28382"/>
    <cellStyle name="표준 4 11 2 7" xfId="11243"/>
    <cellStyle name="표준 4 11 2 7 2" xfId="11244"/>
    <cellStyle name="표준 4 11 2 7 2 2" xfId="28385"/>
    <cellStyle name="표준 4 11 2 7 3" xfId="28384"/>
    <cellStyle name="표준 4 11 2 8" xfId="11245"/>
    <cellStyle name="표준 4 11 2 8 2" xfId="28386"/>
    <cellStyle name="표준 4 11 2 9" xfId="28357"/>
    <cellStyle name="표준 4 11 3" xfId="11246"/>
    <cellStyle name="표준 4 11 3 2" xfId="11247"/>
    <cellStyle name="표준 4 11 3 2 2" xfId="11248"/>
    <cellStyle name="표준 4 11 3 2 2 2" xfId="28389"/>
    <cellStyle name="표준 4 11 3 2 3" xfId="28388"/>
    <cellStyle name="표준 4 11 3 3" xfId="11249"/>
    <cellStyle name="표준 4 11 3 3 2" xfId="11250"/>
    <cellStyle name="표준 4 11 3 3 2 2" xfId="28391"/>
    <cellStyle name="표준 4 11 3 3 3" xfId="28390"/>
    <cellStyle name="표준 4 11 3 4" xfId="11251"/>
    <cellStyle name="표준 4 11 3 4 2" xfId="11252"/>
    <cellStyle name="표준 4 11 3 4 2 2" xfId="28393"/>
    <cellStyle name="표준 4 11 3 4 3" xfId="28392"/>
    <cellStyle name="표준 4 11 3 5" xfId="11253"/>
    <cellStyle name="표준 4 11 3 5 2" xfId="11254"/>
    <cellStyle name="표준 4 11 3 5 2 2" xfId="28395"/>
    <cellStyle name="표준 4 11 3 5 3" xfId="28394"/>
    <cellStyle name="표준 4 11 3 6" xfId="11255"/>
    <cellStyle name="표준 4 11 3 6 2" xfId="28396"/>
    <cellStyle name="표준 4 11 3 7" xfId="28387"/>
    <cellStyle name="표준 4 11 4" xfId="11256"/>
    <cellStyle name="표준 4 11 4 2" xfId="11257"/>
    <cellStyle name="표준 4 11 4 2 2" xfId="11258"/>
    <cellStyle name="표준 4 11 4 2 2 2" xfId="28399"/>
    <cellStyle name="표준 4 11 4 2 3" xfId="28398"/>
    <cellStyle name="표준 4 11 4 3" xfId="11259"/>
    <cellStyle name="표준 4 11 4 3 2" xfId="11260"/>
    <cellStyle name="표준 4 11 4 3 2 2" xfId="28401"/>
    <cellStyle name="표준 4 11 4 3 3" xfId="28400"/>
    <cellStyle name="표준 4 11 4 4" xfId="11261"/>
    <cellStyle name="표준 4 11 4 4 2" xfId="11262"/>
    <cellStyle name="표준 4 11 4 4 2 2" xfId="28403"/>
    <cellStyle name="표준 4 11 4 4 3" xfId="28402"/>
    <cellStyle name="표준 4 11 4 5" xfId="11263"/>
    <cellStyle name="표준 4 11 4 5 2" xfId="11264"/>
    <cellStyle name="표준 4 11 4 5 2 2" xfId="28405"/>
    <cellStyle name="표준 4 11 4 5 3" xfId="28404"/>
    <cellStyle name="표준 4 11 4 6" xfId="11265"/>
    <cellStyle name="표준 4 11 4 6 2" xfId="28406"/>
    <cellStyle name="표준 4 11 4 7" xfId="28397"/>
    <cellStyle name="표준 4 11 5" xfId="11266"/>
    <cellStyle name="표준 4 11 5 2" xfId="11267"/>
    <cellStyle name="표준 4 11 5 2 2" xfId="28408"/>
    <cellStyle name="표준 4 11 5 3" xfId="28407"/>
    <cellStyle name="표준 4 11 6" xfId="11268"/>
    <cellStyle name="표준 4 11 6 2" xfId="11269"/>
    <cellStyle name="표준 4 11 6 2 2" xfId="28410"/>
    <cellStyle name="표준 4 11 6 3" xfId="28409"/>
    <cellStyle name="표준 4 11 7" xfId="11270"/>
    <cellStyle name="표준 4 11 7 2" xfId="11271"/>
    <cellStyle name="표준 4 11 7 2 2" xfId="28412"/>
    <cellStyle name="표준 4 11 7 3" xfId="28411"/>
    <cellStyle name="표준 4 11 8" xfId="11272"/>
    <cellStyle name="표준 4 11 8 2" xfId="11273"/>
    <cellStyle name="표준 4 11 8 2 2" xfId="28414"/>
    <cellStyle name="표준 4 11 8 3" xfId="28413"/>
    <cellStyle name="표준 4 11 9" xfId="11274"/>
    <cellStyle name="표준 4 11 9 2" xfId="28415"/>
    <cellStyle name="표준 4 12" xfId="11275"/>
    <cellStyle name="표준 4 12 10" xfId="28416"/>
    <cellStyle name="표준 4 12 11" xfId="35824"/>
    <cellStyle name="표준 4 12 2" xfId="11276"/>
    <cellStyle name="표준 4 12 2 2" xfId="11277"/>
    <cellStyle name="표준 4 12 2 2 2" xfId="11278"/>
    <cellStyle name="표준 4 12 2 2 2 2" xfId="11279"/>
    <cellStyle name="표준 4 12 2 2 2 2 2" xfId="28420"/>
    <cellStyle name="표준 4 12 2 2 2 3" xfId="28419"/>
    <cellStyle name="표준 4 12 2 2 3" xfId="11280"/>
    <cellStyle name="표준 4 12 2 2 3 2" xfId="11281"/>
    <cellStyle name="표준 4 12 2 2 3 2 2" xfId="28422"/>
    <cellStyle name="표준 4 12 2 2 3 3" xfId="28421"/>
    <cellStyle name="표준 4 12 2 2 4" xfId="11282"/>
    <cellStyle name="표준 4 12 2 2 4 2" xfId="11283"/>
    <cellStyle name="표준 4 12 2 2 4 2 2" xfId="28424"/>
    <cellStyle name="표준 4 12 2 2 4 3" xfId="28423"/>
    <cellStyle name="표준 4 12 2 2 5" xfId="11284"/>
    <cellStyle name="표준 4 12 2 2 5 2" xfId="11285"/>
    <cellStyle name="표준 4 12 2 2 5 2 2" xfId="28426"/>
    <cellStyle name="표준 4 12 2 2 5 3" xfId="28425"/>
    <cellStyle name="표준 4 12 2 2 6" xfId="11286"/>
    <cellStyle name="표준 4 12 2 2 6 2" xfId="28427"/>
    <cellStyle name="표준 4 12 2 2 7" xfId="28418"/>
    <cellStyle name="표준 4 12 2 3" xfId="11287"/>
    <cellStyle name="표준 4 12 2 3 2" xfId="11288"/>
    <cellStyle name="표준 4 12 2 3 2 2" xfId="11289"/>
    <cellStyle name="표준 4 12 2 3 2 2 2" xfId="28430"/>
    <cellStyle name="표준 4 12 2 3 2 3" xfId="28429"/>
    <cellStyle name="표준 4 12 2 3 3" xfId="11290"/>
    <cellStyle name="표준 4 12 2 3 3 2" xfId="11291"/>
    <cellStyle name="표준 4 12 2 3 3 2 2" xfId="28432"/>
    <cellStyle name="표준 4 12 2 3 3 3" xfId="28431"/>
    <cellStyle name="표준 4 12 2 3 4" xfId="11292"/>
    <cellStyle name="표준 4 12 2 3 4 2" xfId="11293"/>
    <cellStyle name="표준 4 12 2 3 4 2 2" xfId="28434"/>
    <cellStyle name="표준 4 12 2 3 4 3" xfId="28433"/>
    <cellStyle name="표준 4 12 2 3 5" xfId="11294"/>
    <cellStyle name="표준 4 12 2 3 5 2" xfId="11295"/>
    <cellStyle name="표준 4 12 2 3 5 2 2" xfId="28436"/>
    <cellStyle name="표준 4 12 2 3 5 3" xfId="28435"/>
    <cellStyle name="표준 4 12 2 3 6" xfId="11296"/>
    <cellStyle name="표준 4 12 2 3 6 2" xfId="28437"/>
    <cellStyle name="표준 4 12 2 3 7" xfId="28428"/>
    <cellStyle name="표준 4 12 2 4" xfId="11297"/>
    <cellStyle name="표준 4 12 2 4 2" xfId="11298"/>
    <cellStyle name="표준 4 12 2 4 2 2" xfId="28439"/>
    <cellStyle name="표준 4 12 2 4 3" xfId="28438"/>
    <cellStyle name="표준 4 12 2 5" xfId="11299"/>
    <cellStyle name="표준 4 12 2 5 2" xfId="11300"/>
    <cellStyle name="표준 4 12 2 5 2 2" xfId="28441"/>
    <cellStyle name="표준 4 12 2 5 3" xfId="28440"/>
    <cellStyle name="표준 4 12 2 6" xfId="11301"/>
    <cellStyle name="표준 4 12 2 6 2" xfId="11302"/>
    <cellStyle name="표준 4 12 2 6 2 2" xfId="28443"/>
    <cellStyle name="표준 4 12 2 6 3" xfId="28442"/>
    <cellStyle name="표준 4 12 2 7" xfId="11303"/>
    <cellStyle name="표준 4 12 2 7 2" xfId="11304"/>
    <cellStyle name="표준 4 12 2 7 2 2" xfId="28445"/>
    <cellStyle name="표준 4 12 2 7 3" xfId="28444"/>
    <cellStyle name="표준 4 12 2 8" xfId="11305"/>
    <cellStyle name="표준 4 12 2 8 2" xfId="28446"/>
    <cellStyle name="표준 4 12 2 9" xfId="28417"/>
    <cellStyle name="표준 4 12 3" xfId="11306"/>
    <cellStyle name="표준 4 12 3 2" xfId="11307"/>
    <cellStyle name="표준 4 12 3 2 2" xfId="11308"/>
    <cellStyle name="표준 4 12 3 2 2 2" xfId="28449"/>
    <cellStyle name="표준 4 12 3 2 3" xfId="28448"/>
    <cellStyle name="표준 4 12 3 3" xfId="11309"/>
    <cellStyle name="표준 4 12 3 3 2" xfId="11310"/>
    <cellStyle name="표준 4 12 3 3 2 2" xfId="28451"/>
    <cellStyle name="표준 4 12 3 3 3" xfId="28450"/>
    <cellStyle name="표준 4 12 3 4" xfId="11311"/>
    <cellStyle name="표준 4 12 3 4 2" xfId="11312"/>
    <cellStyle name="표준 4 12 3 4 2 2" xfId="28453"/>
    <cellStyle name="표준 4 12 3 4 3" xfId="28452"/>
    <cellStyle name="표준 4 12 3 5" xfId="11313"/>
    <cellStyle name="표준 4 12 3 5 2" xfId="11314"/>
    <cellStyle name="표준 4 12 3 5 2 2" xfId="28455"/>
    <cellStyle name="표준 4 12 3 5 3" xfId="28454"/>
    <cellStyle name="표준 4 12 3 6" xfId="11315"/>
    <cellStyle name="표준 4 12 3 6 2" xfId="28456"/>
    <cellStyle name="표준 4 12 3 7" xfId="28447"/>
    <cellStyle name="표준 4 12 4" xfId="11316"/>
    <cellStyle name="표준 4 12 4 2" xfId="11317"/>
    <cellStyle name="표준 4 12 4 2 2" xfId="11318"/>
    <cellStyle name="표준 4 12 4 2 2 2" xfId="28459"/>
    <cellStyle name="표준 4 12 4 2 3" xfId="28458"/>
    <cellStyle name="표준 4 12 4 3" xfId="11319"/>
    <cellStyle name="표준 4 12 4 3 2" xfId="11320"/>
    <cellStyle name="표준 4 12 4 3 2 2" xfId="28461"/>
    <cellStyle name="표준 4 12 4 3 3" xfId="28460"/>
    <cellStyle name="표준 4 12 4 4" xfId="11321"/>
    <cellStyle name="표준 4 12 4 4 2" xfId="11322"/>
    <cellStyle name="표준 4 12 4 4 2 2" xfId="28463"/>
    <cellStyle name="표준 4 12 4 4 3" xfId="28462"/>
    <cellStyle name="표준 4 12 4 5" xfId="11323"/>
    <cellStyle name="표준 4 12 4 5 2" xfId="11324"/>
    <cellStyle name="표준 4 12 4 5 2 2" xfId="28465"/>
    <cellStyle name="표준 4 12 4 5 3" xfId="28464"/>
    <cellStyle name="표준 4 12 4 6" xfId="11325"/>
    <cellStyle name="표준 4 12 4 6 2" xfId="28466"/>
    <cellStyle name="표준 4 12 4 7" xfId="28457"/>
    <cellStyle name="표준 4 12 5" xfId="11326"/>
    <cellStyle name="표준 4 12 5 2" xfId="11327"/>
    <cellStyle name="표준 4 12 5 2 2" xfId="28468"/>
    <cellStyle name="표준 4 12 5 3" xfId="28467"/>
    <cellStyle name="표준 4 12 6" xfId="11328"/>
    <cellStyle name="표준 4 12 6 2" xfId="11329"/>
    <cellStyle name="표준 4 12 6 2 2" xfId="28470"/>
    <cellStyle name="표준 4 12 6 3" xfId="28469"/>
    <cellStyle name="표준 4 12 7" xfId="11330"/>
    <cellStyle name="표준 4 12 7 2" xfId="11331"/>
    <cellStyle name="표준 4 12 7 2 2" xfId="28472"/>
    <cellStyle name="표준 4 12 7 3" xfId="28471"/>
    <cellStyle name="표준 4 12 8" xfId="11332"/>
    <cellStyle name="표준 4 12 8 2" xfId="11333"/>
    <cellStyle name="표준 4 12 8 2 2" xfId="28474"/>
    <cellStyle name="표준 4 12 8 3" xfId="28473"/>
    <cellStyle name="표준 4 12 9" xfId="11334"/>
    <cellStyle name="표준 4 12 9 2" xfId="28475"/>
    <cellStyle name="표준 4 13" xfId="11335"/>
    <cellStyle name="표준 4 13 10" xfId="28476"/>
    <cellStyle name="표준 4 13 11" xfId="35825"/>
    <cellStyle name="표준 4 13 2" xfId="11336"/>
    <cellStyle name="표준 4 13 2 2" xfId="11337"/>
    <cellStyle name="표준 4 13 2 2 2" xfId="11338"/>
    <cellStyle name="표준 4 13 2 2 2 2" xfId="11339"/>
    <cellStyle name="표준 4 13 2 2 2 2 2" xfId="28480"/>
    <cellStyle name="표준 4 13 2 2 2 3" xfId="28479"/>
    <cellStyle name="표준 4 13 2 2 3" xfId="11340"/>
    <cellStyle name="표준 4 13 2 2 3 2" xfId="11341"/>
    <cellStyle name="표준 4 13 2 2 3 2 2" xfId="28482"/>
    <cellStyle name="표준 4 13 2 2 3 3" xfId="28481"/>
    <cellStyle name="표준 4 13 2 2 4" xfId="11342"/>
    <cellStyle name="표준 4 13 2 2 4 2" xfId="11343"/>
    <cellStyle name="표준 4 13 2 2 4 2 2" xfId="28484"/>
    <cellStyle name="표준 4 13 2 2 4 3" xfId="28483"/>
    <cellStyle name="표준 4 13 2 2 5" xfId="11344"/>
    <cellStyle name="표준 4 13 2 2 5 2" xfId="11345"/>
    <cellStyle name="표준 4 13 2 2 5 2 2" xfId="28486"/>
    <cellStyle name="표준 4 13 2 2 5 3" xfId="28485"/>
    <cellStyle name="표준 4 13 2 2 6" xfId="11346"/>
    <cellStyle name="표준 4 13 2 2 6 2" xfId="28487"/>
    <cellStyle name="표준 4 13 2 2 7" xfId="28478"/>
    <cellStyle name="표준 4 13 2 3" xfId="11347"/>
    <cellStyle name="표준 4 13 2 3 2" xfId="11348"/>
    <cellStyle name="표준 4 13 2 3 2 2" xfId="11349"/>
    <cellStyle name="표준 4 13 2 3 2 2 2" xfId="28490"/>
    <cellStyle name="표준 4 13 2 3 2 3" xfId="28489"/>
    <cellStyle name="표준 4 13 2 3 3" xfId="11350"/>
    <cellStyle name="표준 4 13 2 3 3 2" xfId="11351"/>
    <cellStyle name="표준 4 13 2 3 3 2 2" xfId="28492"/>
    <cellStyle name="표준 4 13 2 3 3 3" xfId="28491"/>
    <cellStyle name="표준 4 13 2 3 4" xfId="11352"/>
    <cellStyle name="표준 4 13 2 3 4 2" xfId="11353"/>
    <cellStyle name="표준 4 13 2 3 4 2 2" xfId="28494"/>
    <cellStyle name="표준 4 13 2 3 4 3" xfId="28493"/>
    <cellStyle name="표준 4 13 2 3 5" xfId="11354"/>
    <cellStyle name="표준 4 13 2 3 5 2" xfId="11355"/>
    <cellStyle name="표준 4 13 2 3 5 2 2" xfId="28496"/>
    <cellStyle name="표준 4 13 2 3 5 3" xfId="28495"/>
    <cellStyle name="표준 4 13 2 3 6" xfId="11356"/>
    <cellStyle name="표준 4 13 2 3 6 2" xfId="28497"/>
    <cellStyle name="표준 4 13 2 3 7" xfId="28488"/>
    <cellStyle name="표준 4 13 2 4" xfId="11357"/>
    <cellStyle name="표준 4 13 2 4 2" xfId="11358"/>
    <cellStyle name="표준 4 13 2 4 2 2" xfId="28499"/>
    <cellStyle name="표준 4 13 2 4 3" xfId="28498"/>
    <cellStyle name="표준 4 13 2 5" xfId="11359"/>
    <cellStyle name="표준 4 13 2 5 2" xfId="11360"/>
    <cellStyle name="표준 4 13 2 5 2 2" xfId="28501"/>
    <cellStyle name="표준 4 13 2 5 3" xfId="28500"/>
    <cellStyle name="표준 4 13 2 6" xfId="11361"/>
    <cellStyle name="표준 4 13 2 6 2" xfId="11362"/>
    <cellStyle name="표준 4 13 2 6 2 2" xfId="28503"/>
    <cellStyle name="표준 4 13 2 6 3" xfId="28502"/>
    <cellStyle name="표준 4 13 2 7" xfId="11363"/>
    <cellStyle name="표준 4 13 2 7 2" xfId="11364"/>
    <cellStyle name="표준 4 13 2 7 2 2" xfId="28505"/>
    <cellStyle name="표준 4 13 2 7 3" xfId="28504"/>
    <cellStyle name="표준 4 13 2 8" xfId="11365"/>
    <cellStyle name="표준 4 13 2 8 2" xfId="28506"/>
    <cellStyle name="표준 4 13 2 9" xfId="28477"/>
    <cellStyle name="표준 4 13 3" xfId="11366"/>
    <cellStyle name="표준 4 13 3 2" xfId="11367"/>
    <cellStyle name="표준 4 13 3 2 2" xfId="11368"/>
    <cellStyle name="표준 4 13 3 2 2 2" xfId="28509"/>
    <cellStyle name="표준 4 13 3 2 3" xfId="28508"/>
    <cellStyle name="표준 4 13 3 3" xfId="11369"/>
    <cellStyle name="표준 4 13 3 3 2" xfId="11370"/>
    <cellStyle name="표준 4 13 3 3 2 2" xfId="28511"/>
    <cellStyle name="표준 4 13 3 3 3" xfId="28510"/>
    <cellStyle name="표준 4 13 3 4" xfId="11371"/>
    <cellStyle name="표준 4 13 3 4 2" xfId="11372"/>
    <cellStyle name="표준 4 13 3 4 2 2" xfId="28513"/>
    <cellStyle name="표준 4 13 3 4 3" xfId="28512"/>
    <cellStyle name="표준 4 13 3 5" xfId="11373"/>
    <cellStyle name="표준 4 13 3 5 2" xfId="11374"/>
    <cellStyle name="표준 4 13 3 5 2 2" xfId="28515"/>
    <cellStyle name="표준 4 13 3 5 3" xfId="28514"/>
    <cellStyle name="표준 4 13 3 6" xfId="11375"/>
    <cellStyle name="표준 4 13 3 6 2" xfId="28516"/>
    <cellStyle name="표준 4 13 3 7" xfId="28507"/>
    <cellStyle name="표준 4 13 4" xfId="11376"/>
    <cellStyle name="표준 4 13 4 2" xfId="11377"/>
    <cellStyle name="표준 4 13 4 2 2" xfId="11378"/>
    <cellStyle name="표준 4 13 4 2 2 2" xfId="28519"/>
    <cellStyle name="표준 4 13 4 2 3" xfId="28518"/>
    <cellStyle name="표준 4 13 4 3" xfId="11379"/>
    <cellStyle name="표준 4 13 4 3 2" xfId="11380"/>
    <cellStyle name="표준 4 13 4 3 2 2" xfId="28521"/>
    <cellStyle name="표준 4 13 4 3 3" xfId="28520"/>
    <cellStyle name="표준 4 13 4 4" xfId="11381"/>
    <cellStyle name="표준 4 13 4 4 2" xfId="11382"/>
    <cellStyle name="표준 4 13 4 4 2 2" xfId="28523"/>
    <cellStyle name="표준 4 13 4 4 3" xfId="28522"/>
    <cellStyle name="표준 4 13 4 5" xfId="11383"/>
    <cellStyle name="표준 4 13 4 5 2" xfId="11384"/>
    <cellStyle name="표준 4 13 4 5 2 2" xfId="28525"/>
    <cellStyle name="표준 4 13 4 5 3" xfId="28524"/>
    <cellStyle name="표준 4 13 4 6" xfId="11385"/>
    <cellStyle name="표준 4 13 4 6 2" xfId="28526"/>
    <cellStyle name="표준 4 13 4 7" xfId="28517"/>
    <cellStyle name="표준 4 13 5" xfId="11386"/>
    <cellStyle name="표준 4 13 5 2" xfId="11387"/>
    <cellStyle name="표준 4 13 5 2 2" xfId="28528"/>
    <cellStyle name="표준 4 13 5 3" xfId="28527"/>
    <cellStyle name="표준 4 13 6" xfId="11388"/>
    <cellStyle name="표준 4 13 6 2" xfId="11389"/>
    <cellStyle name="표준 4 13 6 2 2" xfId="28530"/>
    <cellStyle name="표준 4 13 6 3" xfId="28529"/>
    <cellStyle name="표준 4 13 7" xfId="11390"/>
    <cellStyle name="표준 4 13 7 2" xfId="11391"/>
    <cellStyle name="표준 4 13 7 2 2" xfId="28532"/>
    <cellStyle name="표준 4 13 7 3" xfId="28531"/>
    <cellStyle name="표준 4 13 8" xfId="11392"/>
    <cellStyle name="표준 4 13 8 2" xfId="11393"/>
    <cellStyle name="표준 4 13 8 2 2" xfId="28534"/>
    <cellStyle name="표준 4 13 8 3" xfId="28533"/>
    <cellStyle name="표준 4 13 9" xfId="11394"/>
    <cellStyle name="표준 4 13 9 2" xfId="28535"/>
    <cellStyle name="표준 4 14" xfId="11395"/>
    <cellStyle name="표준 4 14 10" xfId="28536"/>
    <cellStyle name="표준 4 14 11" xfId="35826"/>
    <cellStyle name="표준 4 14 2" xfId="11396"/>
    <cellStyle name="표준 4 14 2 2" xfId="11397"/>
    <cellStyle name="표준 4 14 2 2 2" xfId="11398"/>
    <cellStyle name="표준 4 14 2 2 2 2" xfId="11399"/>
    <cellStyle name="표준 4 14 2 2 2 2 2" xfId="28540"/>
    <cellStyle name="표준 4 14 2 2 2 3" xfId="28539"/>
    <cellStyle name="표준 4 14 2 2 3" xfId="11400"/>
    <cellStyle name="표준 4 14 2 2 3 2" xfId="11401"/>
    <cellStyle name="표준 4 14 2 2 3 2 2" xfId="28542"/>
    <cellStyle name="표준 4 14 2 2 3 3" xfId="28541"/>
    <cellStyle name="표준 4 14 2 2 4" xfId="11402"/>
    <cellStyle name="표준 4 14 2 2 4 2" xfId="11403"/>
    <cellStyle name="표준 4 14 2 2 4 2 2" xfId="28544"/>
    <cellStyle name="표준 4 14 2 2 4 3" xfId="28543"/>
    <cellStyle name="표준 4 14 2 2 5" xfId="11404"/>
    <cellStyle name="표준 4 14 2 2 5 2" xfId="11405"/>
    <cellStyle name="표준 4 14 2 2 5 2 2" xfId="28546"/>
    <cellStyle name="표준 4 14 2 2 5 3" xfId="28545"/>
    <cellStyle name="표준 4 14 2 2 6" xfId="11406"/>
    <cellStyle name="표준 4 14 2 2 6 2" xfId="28547"/>
    <cellStyle name="표준 4 14 2 2 7" xfId="28538"/>
    <cellStyle name="표준 4 14 2 3" xfId="11407"/>
    <cellStyle name="표준 4 14 2 3 2" xfId="11408"/>
    <cellStyle name="표준 4 14 2 3 2 2" xfId="11409"/>
    <cellStyle name="표준 4 14 2 3 2 2 2" xfId="28550"/>
    <cellStyle name="표준 4 14 2 3 2 3" xfId="28549"/>
    <cellStyle name="표준 4 14 2 3 3" xfId="11410"/>
    <cellStyle name="표준 4 14 2 3 3 2" xfId="11411"/>
    <cellStyle name="표준 4 14 2 3 3 2 2" xfId="28552"/>
    <cellStyle name="표준 4 14 2 3 3 3" xfId="28551"/>
    <cellStyle name="표준 4 14 2 3 4" xfId="11412"/>
    <cellStyle name="표준 4 14 2 3 4 2" xfId="11413"/>
    <cellStyle name="표준 4 14 2 3 4 2 2" xfId="28554"/>
    <cellStyle name="표준 4 14 2 3 4 3" xfId="28553"/>
    <cellStyle name="표준 4 14 2 3 5" xfId="11414"/>
    <cellStyle name="표준 4 14 2 3 5 2" xfId="11415"/>
    <cellStyle name="표준 4 14 2 3 5 2 2" xfId="28556"/>
    <cellStyle name="표준 4 14 2 3 5 3" xfId="28555"/>
    <cellStyle name="표준 4 14 2 3 6" xfId="11416"/>
    <cellStyle name="표준 4 14 2 3 6 2" xfId="28557"/>
    <cellStyle name="표준 4 14 2 3 7" xfId="28548"/>
    <cellStyle name="표준 4 14 2 4" xfId="11417"/>
    <cellStyle name="표준 4 14 2 4 2" xfId="11418"/>
    <cellStyle name="표준 4 14 2 4 2 2" xfId="28559"/>
    <cellStyle name="표준 4 14 2 4 3" xfId="28558"/>
    <cellStyle name="표준 4 14 2 5" xfId="11419"/>
    <cellStyle name="표준 4 14 2 5 2" xfId="11420"/>
    <cellStyle name="표준 4 14 2 5 2 2" xfId="28561"/>
    <cellStyle name="표준 4 14 2 5 3" xfId="28560"/>
    <cellStyle name="표준 4 14 2 6" xfId="11421"/>
    <cellStyle name="표준 4 14 2 6 2" xfId="11422"/>
    <cellStyle name="표준 4 14 2 6 2 2" xfId="28563"/>
    <cellStyle name="표준 4 14 2 6 3" xfId="28562"/>
    <cellStyle name="표준 4 14 2 7" xfId="11423"/>
    <cellStyle name="표준 4 14 2 7 2" xfId="11424"/>
    <cellStyle name="표준 4 14 2 7 2 2" xfId="28565"/>
    <cellStyle name="표준 4 14 2 7 3" xfId="28564"/>
    <cellStyle name="표준 4 14 2 8" xfId="11425"/>
    <cellStyle name="표준 4 14 2 8 2" xfId="28566"/>
    <cellStyle name="표준 4 14 2 9" xfId="28537"/>
    <cellStyle name="표준 4 14 3" xfId="11426"/>
    <cellStyle name="표준 4 14 3 2" xfId="11427"/>
    <cellStyle name="표준 4 14 3 2 2" xfId="11428"/>
    <cellStyle name="표준 4 14 3 2 2 2" xfId="28569"/>
    <cellStyle name="표준 4 14 3 2 3" xfId="28568"/>
    <cellStyle name="표준 4 14 3 3" xfId="11429"/>
    <cellStyle name="표준 4 14 3 3 2" xfId="11430"/>
    <cellStyle name="표준 4 14 3 3 2 2" xfId="28571"/>
    <cellStyle name="표준 4 14 3 3 3" xfId="28570"/>
    <cellStyle name="표준 4 14 3 4" xfId="11431"/>
    <cellStyle name="표준 4 14 3 4 2" xfId="11432"/>
    <cellStyle name="표준 4 14 3 4 2 2" xfId="28573"/>
    <cellStyle name="표준 4 14 3 4 3" xfId="28572"/>
    <cellStyle name="표준 4 14 3 5" xfId="11433"/>
    <cellStyle name="표준 4 14 3 5 2" xfId="11434"/>
    <cellStyle name="표준 4 14 3 5 2 2" xfId="28575"/>
    <cellStyle name="표준 4 14 3 5 3" xfId="28574"/>
    <cellStyle name="표준 4 14 3 6" xfId="11435"/>
    <cellStyle name="표준 4 14 3 6 2" xfId="28576"/>
    <cellStyle name="표준 4 14 3 7" xfId="28567"/>
    <cellStyle name="표준 4 14 4" xfId="11436"/>
    <cellStyle name="표준 4 14 4 2" xfId="11437"/>
    <cellStyle name="표준 4 14 4 2 2" xfId="11438"/>
    <cellStyle name="표준 4 14 4 2 2 2" xfId="28579"/>
    <cellStyle name="표준 4 14 4 2 3" xfId="28578"/>
    <cellStyle name="표준 4 14 4 3" xfId="11439"/>
    <cellStyle name="표준 4 14 4 3 2" xfId="11440"/>
    <cellStyle name="표준 4 14 4 3 2 2" xfId="28581"/>
    <cellStyle name="표준 4 14 4 3 3" xfId="28580"/>
    <cellStyle name="표준 4 14 4 4" xfId="11441"/>
    <cellStyle name="표준 4 14 4 4 2" xfId="11442"/>
    <cellStyle name="표준 4 14 4 4 2 2" xfId="28583"/>
    <cellStyle name="표준 4 14 4 4 3" xfId="28582"/>
    <cellStyle name="표준 4 14 4 5" xfId="11443"/>
    <cellStyle name="표준 4 14 4 5 2" xfId="11444"/>
    <cellStyle name="표준 4 14 4 5 2 2" xfId="28585"/>
    <cellStyle name="표준 4 14 4 5 3" xfId="28584"/>
    <cellStyle name="표준 4 14 4 6" xfId="11445"/>
    <cellStyle name="표준 4 14 4 6 2" xfId="28586"/>
    <cellStyle name="표준 4 14 4 7" xfId="28577"/>
    <cellStyle name="표준 4 14 5" xfId="11446"/>
    <cellStyle name="표준 4 14 5 2" xfId="11447"/>
    <cellStyle name="표준 4 14 5 2 2" xfId="28588"/>
    <cellStyle name="표준 4 14 5 3" xfId="28587"/>
    <cellStyle name="표준 4 14 6" xfId="11448"/>
    <cellStyle name="표준 4 14 6 2" xfId="11449"/>
    <cellStyle name="표준 4 14 6 2 2" xfId="28590"/>
    <cellStyle name="표준 4 14 6 3" xfId="28589"/>
    <cellStyle name="표준 4 14 7" xfId="11450"/>
    <cellStyle name="표준 4 14 7 2" xfId="11451"/>
    <cellStyle name="표준 4 14 7 2 2" xfId="28592"/>
    <cellStyle name="표준 4 14 7 3" xfId="28591"/>
    <cellStyle name="표준 4 14 8" xfId="11452"/>
    <cellStyle name="표준 4 14 8 2" xfId="11453"/>
    <cellStyle name="표준 4 14 8 2 2" xfId="28594"/>
    <cellStyle name="표준 4 14 8 3" xfId="28593"/>
    <cellStyle name="표준 4 14 9" xfId="11454"/>
    <cellStyle name="표준 4 14 9 2" xfId="28595"/>
    <cellStyle name="표준 4 15" xfId="11455"/>
    <cellStyle name="표준 4 15 10" xfId="28596"/>
    <cellStyle name="표준 4 15 2" xfId="11456"/>
    <cellStyle name="표준 4 15 2 2" xfId="11457"/>
    <cellStyle name="표준 4 15 2 2 2" xfId="11458"/>
    <cellStyle name="표준 4 15 2 2 2 2" xfId="11459"/>
    <cellStyle name="표준 4 15 2 2 2 2 2" xfId="28600"/>
    <cellStyle name="표준 4 15 2 2 2 3" xfId="28599"/>
    <cellStyle name="표준 4 15 2 2 3" xfId="11460"/>
    <cellStyle name="표준 4 15 2 2 3 2" xfId="11461"/>
    <cellStyle name="표준 4 15 2 2 3 2 2" xfId="28602"/>
    <cellStyle name="표준 4 15 2 2 3 3" xfId="28601"/>
    <cellStyle name="표준 4 15 2 2 4" xfId="11462"/>
    <cellStyle name="표준 4 15 2 2 4 2" xfId="11463"/>
    <cellStyle name="표준 4 15 2 2 4 2 2" xfId="28604"/>
    <cellStyle name="표준 4 15 2 2 4 3" xfId="28603"/>
    <cellStyle name="표준 4 15 2 2 5" xfId="11464"/>
    <cellStyle name="표준 4 15 2 2 5 2" xfId="11465"/>
    <cellStyle name="표준 4 15 2 2 5 2 2" xfId="28606"/>
    <cellStyle name="표준 4 15 2 2 5 3" xfId="28605"/>
    <cellStyle name="표준 4 15 2 2 6" xfId="11466"/>
    <cellStyle name="표준 4 15 2 2 6 2" xfId="28607"/>
    <cellStyle name="표준 4 15 2 2 7" xfId="28598"/>
    <cellStyle name="표준 4 15 2 3" xfId="11467"/>
    <cellStyle name="표준 4 15 2 3 2" xfId="11468"/>
    <cellStyle name="표준 4 15 2 3 2 2" xfId="11469"/>
    <cellStyle name="표준 4 15 2 3 2 2 2" xfId="28610"/>
    <cellStyle name="표준 4 15 2 3 2 3" xfId="28609"/>
    <cellStyle name="표준 4 15 2 3 3" xfId="11470"/>
    <cellStyle name="표준 4 15 2 3 3 2" xfId="11471"/>
    <cellStyle name="표준 4 15 2 3 3 2 2" xfId="28612"/>
    <cellStyle name="표준 4 15 2 3 3 3" xfId="28611"/>
    <cellStyle name="표준 4 15 2 3 4" xfId="11472"/>
    <cellStyle name="표준 4 15 2 3 4 2" xfId="11473"/>
    <cellStyle name="표준 4 15 2 3 4 2 2" xfId="28614"/>
    <cellStyle name="표준 4 15 2 3 4 3" xfId="28613"/>
    <cellStyle name="표준 4 15 2 3 5" xfId="11474"/>
    <cellStyle name="표준 4 15 2 3 5 2" xfId="11475"/>
    <cellStyle name="표준 4 15 2 3 5 2 2" xfId="28616"/>
    <cellStyle name="표준 4 15 2 3 5 3" xfId="28615"/>
    <cellStyle name="표준 4 15 2 3 6" xfId="11476"/>
    <cellStyle name="표준 4 15 2 3 6 2" xfId="28617"/>
    <cellStyle name="표준 4 15 2 3 7" xfId="28608"/>
    <cellStyle name="표준 4 15 2 4" xfId="11477"/>
    <cellStyle name="표준 4 15 2 4 2" xfId="11478"/>
    <cellStyle name="표준 4 15 2 4 2 2" xfId="28619"/>
    <cellStyle name="표준 4 15 2 4 3" xfId="28618"/>
    <cellStyle name="표준 4 15 2 5" xfId="11479"/>
    <cellStyle name="표준 4 15 2 5 2" xfId="11480"/>
    <cellStyle name="표준 4 15 2 5 2 2" xfId="28621"/>
    <cellStyle name="표준 4 15 2 5 3" xfId="28620"/>
    <cellStyle name="표준 4 15 2 6" xfId="11481"/>
    <cellStyle name="표준 4 15 2 6 2" xfId="11482"/>
    <cellStyle name="표준 4 15 2 6 2 2" xfId="28623"/>
    <cellStyle name="표준 4 15 2 6 3" xfId="28622"/>
    <cellStyle name="표준 4 15 2 7" xfId="11483"/>
    <cellStyle name="표준 4 15 2 7 2" xfId="11484"/>
    <cellStyle name="표준 4 15 2 7 2 2" xfId="28625"/>
    <cellStyle name="표준 4 15 2 7 3" xfId="28624"/>
    <cellStyle name="표준 4 15 2 8" xfId="11485"/>
    <cellStyle name="표준 4 15 2 8 2" xfId="28626"/>
    <cellStyle name="표준 4 15 2 9" xfId="28597"/>
    <cellStyle name="표준 4 15 3" xfId="11486"/>
    <cellStyle name="표준 4 15 3 2" xfId="11487"/>
    <cellStyle name="표준 4 15 3 2 2" xfId="11488"/>
    <cellStyle name="표준 4 15 3 2 2 2" xfId="28629"/>
    <cellStyle name="표준 4 15 3 2 3" xfId="28628"/>
    <cellStyle name="표준 4 15 3 3" xfId="11489"/>
    <cellStyle name="표준 4 15 3 3 2" xfId="11490"/>
    <cellStyle name="표준 4 15 3 3 2 2" xfId="28631"/>
    <cellStyle name="표준 4 15 3 3 3" xfId="28630"/>
    <cellStyle name="표준 4 15 3 4" xfId="11491"/>
    <cellStyle name="표준 4 15 3 4 2" xfId="11492"/>
    <cellStyle name="표준 4 15 3 4 2 2" xfId="28633"/>
    <cellStyle name="표준 4 15 3 4 3" xfId="28632"/>
    <cellStyle name="표준 4 15 3 5" xfId="11493"/>
    <cellStyle name="표준 4 15 3 5 2" xfId="11494"/>
    <cellStyle name="표준 4 15 3 5 2 2" xfId="28635"/>
    <cellStyle name="표준 4 15 3 5 3" xfId="28634"/>
    <cellStyle name="표준 4 15 3 6" xfId="11495"/>
    <cellStyle name="표준 4 15 3 6 2" xfId="28636"/>
    <cellStyle name="표준 4 15 3 7" xfId="28627"/>
    <cellStyle name="표준 4 15 4" xfId="11496"/>
    <cellStyle name="표준 4 15 4 2" xfId="11497"/>
    <cellStyle name="표준 4 15 4 2 2" xfId="11498"/>
    <cellStyle name="표준 4 15 4 2 2 2" xfId="28639"/>
    <cellStyle name="표준 4 15 4 2 3" xfId="28638"/>
    <cellStyle name="표준 4 15 4 3" xfId="11499"/>
    <cellStyle name="표준 4 15 4 3 2" xfId="11500"/>
    <cellStyle name="표준 4 15 4 3 2 2" xfId="28641"/>
    <cellStyle name="표준 4 15 4 3 3" xfId="28640"/>
    <cellStyle name="표준 4 15 4 4" xfId="11501"/>
    <cellStyle name="표준 4 15 4 4 2" xfId="11502"/>
    <cellStyle name="표준 4 15 4 4 2 2" xfId="28643"/>
    <cellStyle name="표준 4 15 4 4 3" xfId="28642"/>
    <cellStyle name="표준 4 15 4 5" xfId="11503"/>
    <cellStyle name="표준 4 15 4 5 2" xfId="11504"/>
    <cellStyle name="표준 4 15 4 5 2 2" xfId="28645"/>
    <cellStyle name="표준 4 15 4 5 3" xfId="28644"/>
    <cellStyle name="표준 4 15 4 6" xfId="11505"/>
    <cellStyle name="표준 4 15 4 6 2" xfId="28646"/>
    <cellStyle name="표준 4 15 4 7" xfId="28637"/>
    <cellStyle name="표준 4 15 5" xfId="11506"/>
    <cellStyle name="표준 4 15 5 2" xfId="11507"/>
    <cellStyle name="표준 4 15 5 2 2" xfId="28648"/>
    <cellStyle name="표준 4 15 5 3" xfId="28647"/>
    <cellStyle name="표준 4 15 6" xfId="11508"/>
    <cellStyle name="표준 4 15 6 2" xfId="11509"/>
    <cellStyle name="표준 4 15 6 2 2" xfId="28650"/>
    <cellStyle name="표준 4 15 6 3" xfId="28649"/>
    <cellStyle name="표준 4 15 7" xfId="11510"/>
    <cellStyle name="표준 4 15 7 2" xfId="11511"/>
    <cellStyle name="표준 4 15 7 2 2" xfId="28652"/>
    <cellStyle name="표준 4 15 7 3" xfId="28651"/>
    <cellStyle name="표준 4 15 8" xfId="11512"/>
    <cellStyle name="표준 4 15 8 2" xfId="11513"/>
    <cellStyle name="표준 4 15 8 2 2" xfId="28654"/>
    <cellStyle name="표준 4 15 8 3" xfId="28653"/>
    <cellStyle name="표준 4 15 9" xfId="11514"/>
    <cellStyle name="표준 4 15 9 2" xfId="28655"/>
    <cellStyle name="표준 4 16" xfId="11515"/>
    <cellStyle name="표준 4 16 10" xfId="28656"/>
    <cellStyle name="표준 4 16 2" xfId="11516"/>
    <cellStyle name="표준 4 16 2 2" xfId="11517"/>
    <cellStyle name="표준 4 16 2 2 2" xfId="11518"/>
    <cellStyle name="표준 4 16 2 2 2 2" xfId="11519"/>
    <cellStyle name="표준 4 16 2 2 2 2 2" xfId="28660"/>
    <cellStyle name="표준 4 16 2 2 2 3" xfId="28659"/>
    <cellStyle name="표준 4 16 2 2 3" xfId="11520"/>
    <cellStyle name="표준 4 16 2 2 3 2" xfId="11521"/>
    <cellStyle name="표준 4 16 2 2 3 2 2" xfId="28662"/>
    <cellStyle name="표준 4 16 2 2 3 3" xfId="28661"/>
    <cellStyle name="표준 4 16 2 2 4" xfId="11522"/>
    <cellStyle name="표준 4 16 2 2 4 2" xfId="11523"/>
    <cellStyle name="표준 4 16 2 2 4 2 2" xfId="28664"/>
    <cellStyle name="표준 4 16 2 2 4 3" xfId="28663"/>
    <cellStyle name="표준 4 16 2 2 5" xfId="11524"/>
    <cellStyle name="표준 4 16 2 2 5 2" xfId="11525"/>
    <cellStyle name="표준 4 16 2 2 5 2 2" xfId="28666"/>
    <cellStyle name="표준 4 16 2 2 5 3" xfId="28665"/>
    <cellStyle name="표준 4 16 2 2 6" xfId="11526"/>
    <cellStyle name="표준 4 16 2 2 6 2" xfId="28667"/>
    <cellStyle name="표준 4 16 2 2 7" xfId="28658"/>
    <cellStyle name="표준 4 16 2 3" xfId="11527"/>
    <cellStyle name="표준 4 16 2 3 2" xfId="11528"/>
    <cellStyle name="표준 4 16 2 3 2 2" xfId="11529"/>
    <cellStyle name="표준 4 16 2 3 2 2 2" xfId="28670"/>
    <cellStyle name="표준 4 16 2 3 2 3" xfId="28669"/>
    <cellStyle name="표준 4 16 2 3 3" xfId="11530"/>
    <cellStyle name="표준 4 16 2 3 3 2" xfId="11531"/>
    <cellStyle name="표준 4 16 2 3 3 2 2" xfId="28672"/>
    <cellStyle name="표준 4 16 2 3 3 3" xfId="28671"/>
    <cellStyle name="표준 4 16 2 3 4" xfId="11532"/>
    <cellStyle name="표준 4 16 2 3 4 2" xfId="11533"/>
    <cellStyle name="표준 4 16 2 3 4 2 2" xfId="28674"/>
    <cellStyle name="표준 4 16 2 3 4 3" xfId="28673"/>
    <cellStyle name="표준 4 16 2 3 5" xfId="11534"/>
    <cellStyle name="표준 4 16 2 3 5 2" xfId="11535"/>
    <cellStyle name="표준 4 16 2 3 5 2 2" xfId="28676"/>
    <cellStyle name="표준 4 16 2 3 5 3" xfId="28675"/>
    <cellStyle name="표준 4 16 2 3 6" xfId="11536"/>
    <cellStyle name="표준 4 16 2 3 6 2" xfId="28677"/>
    <cellStyle name="표준 4 16 2 3 7" xfId="28668"/>
    <cellStyle name="표준 4 16 2 4" xfId="11537"/>
    <cellStyle name="표준 4 16 2 4 2" xfId="11538"/>
    <cellStyle name="표준 4 16 2 4 2 2" xfId="28679"/>
    <cellStyle name="표준 4 16 2 4 3" xfId="28678"/>
    <cellStyle name="표준 4 16 2 5" xfId="11539"/>
    <cellStyle name="표준 4 16 2 5 2" xfId="11540"/>
    <cellStyle name="표준 4 16 2 5 2 2" xfId="28681"/>
    <cellStyle name="표준 4 16 2 5 3" xfId="28680"/>
    <cellStyle name="표준 4 16 2 6" xfId="11541"/>
    <cellStyle name="표준 4 16 2 6 2" xfId="11542"/>
    <cellStyle name="표준 4 16 2 6 2 2" xfId="28683"/>
    <cellStyle name="표준 4 16 2 6 3" xfId="28682"/>
    <cellStyle name="표준 4 16 2 7" xfId="11543"/>
    <cellStyle name="표준 4 16 2 7 2" xfId="11544"/>
    <cellStyle name="표준 4 16 2 7 2 2" xfId="28685"/>
    <cellStyle name="표준 4 16 2 7 3" xfId="28684"/>
    <cellStyle name="표준 4 16 2 8" xfId="11545"/>
    <cellStyle name="표준 4 16 2 8 2" xfId="28686"/>
    <cellStyle name="표준 4 16 2 9" xfId="28657"/>
    <cellStyle name="표준 4 16 3" xfId="11546"/>
    <cellStyle name="표준 4 16 3 2" xfId="11547"/>
    <cellStyle name="표준 4 16 3 2 2" xfId="11548"/>
    <cellStyle name="표준 4 16 3 2 2 2" xfId="28689"/>
    <cellStyle name="표준 4 16 3 2 3" xfId="28688"/>
    <cellStyle name="표준 4 16 3 3" xfId="11549"/>
    <cellStyle name="표준 4 16 3 3 2" xfId="11550"/>
    <cellStyle name="표준 4 16 3 3 2 2" xfId="28691"/>
    <cellStyle name="표준 4 16 3 3 3" xfId="28690"/>
    <cellStyle name="표준 4 16 3 4" xfId="11551"/>
    <cellStyle name="표준 4 16 3 4 2" xfId="11552"/>
    <cellStyle name="표준 4 16 3 4 2 2" xfId="28693"/>
    <cellStyle name="표준 4 16 3 4 3" xfId="28692"/>
    <cellStyle name="표준 4 16 3 5" xfId="11553"/>
    <cellStyle name="표준 4 16 3 5 2" xfId="11554"/>
    <cellStyle name="표준 4 16 3 5 2 2" xfId="28695"/>
    <cellStyle name="표준 4 16 3 5 3" xfId="28694"/>
    <cellStyle name="표준 4 16 3 6" xfId="11555"/>
    <cellStyle name="표준 4 16 3 6 2" xfId="28696"/>
    <cellStyle name="표준 4 16 3 7" xfId="28687"/>
    <cellStyle name="표준 4 16 4" xfId="11556"/>
    <cellStyle name="표준 4 16 4 2" xfId="11557"/>
    <cellStyle name="표준 4 16 4 2 2" xfId="11558"/>
    <cellStyle name="표준 4 16 4 2 2 2" xfId="28699"/>
    <cellStyle name="표준 4 16 4 2 3" xfId="28698"/>
    <cellStyle name="표준 4 16 4 3" xfId="11559"/>
    <cellStyle name="표준 4 16 4 3 2" xfId="11560"/>
    <cellStyle name="표준 4 16 4 3 2 2" xfId="28701"/>
    <cellStyle name="표준 4 16 4 3 3" xfId="28700"/>
    <cellStyle name="표준 4 16 4 4" xfId="11561"/>
    <cellStyle name="표준 4 16 4 4 2" xfId="11562"/>
    <cellStyle name="표준 4 16 4 4 2 2" xfId="28703"/>
    <cellStyle name="표준 4 16 4 4 3" xfId="28702"/>
    <cellStyle name="표준 4 16 4 5" xfId="11563"/>
    <cellStyle name="표준 4 16 4 5 2" xfId="11564"/>
    <cellStyle name="표준 4 16 4 5 2 2" xfId="28705"/>
    <cellStyle name="표준 4 16 4 5 3" xfId="28704"/>
    <cellStyle name="표준 4 16 4 6" xfId="11565"/>
    <cellStyle name="표준 4 16 4 6 2" xfId="28706"/>
    <cellStyle name="표준 4 16 4 7" xfId="28697"/>
    <cellStyle name="표준 4 16 5" xfId="11566"/>
    <cellStyle name="표준 4 16 5 2" xfId="11567"/>
    <cellStyle name="표준 4 16 5 2 2" xfId="28708"/>
    <cellStyle name="표준 4 16 5 3" xfId="28707"/>
    <cellStyle name="표준 4 16 6" xfId="11568"/>
    <cellStyle name="표준 4 16 6 2" xfId="11569"/>
    <cellStyle name="표준 4 16 6 2 2" xfId="28710"/>
    <cellStyle name="표준 4 16 6 3" xfId="28709"/>
    <cellStyle name="표준 4 16 7" xfId="11570"/>
    <cellStyle name="표준 4 16 7 2" xfId="11571"/>
    <cellStyle name="표준 4 16 7 2 2" xfId="28712"/>
    <cellStyle name="표준 4 16 7 3" xfId="28711"/>
    <cellStyle name="표준 4 16 8" xfId="11572"/>
    <cellStyle name="표준 4 16 8 2" xfId="11573"/>
    <cellStyle name="표준 4 16 8 2 2" xfId="28714"/>
    <cellStyle name="표준 4 16 8 3" xfId="28713"/>
    <cellStyle name="표준 4 16 9" xfId="11574"/>
    <cellStyle name="표준 4 16 9 2" xfId="28715"/>
    <cellStyle name="표준 4 17" xfId="11575"/>
    <cellStyle name="표준 4 17 10" xfId="28716"/>
    <cellStyle name="표준 4 17 2" xfId="11576"/>
    <cellStyle name="표준 4 17 2 2" xfId="11577"/>
    <cellStyle name="표준 4 17 2 2 2" xfId="11578"/>
    <cellStyle name="표준 4 17 2 2 2 2" xfId="11579"/>
    <cellStyle name="표준 4 17 2 2 2 2 2" xfId="28720"/>
    <cellStyle name="표준 4 17 2 2 2 3" xfId="28719"/>
    <cellStyle name="표준 4 17 2 2 3" xfId="11580"/>
    <cellStyle name="표준 4 17 2 2 3 2" xfId="11581"/>
    <cellStyle name="표준 4 17 2 2 3 2 2" xfId="28722"/>
    <cellStyle name="표준 4 17 2 2 3 3" xfId="28721"/>
    <cellStyle name="표준 4 17 2 2 4" xfId="11582"/>
    <cellStyle name="표준 4 17 2 2 4 2" xfId="11583"/>
    <cellStyle name="표준 4 17 2 2 4 2 2" xfId="28724"/>
    <cellStyle name="표준 4 17 2 2 4 3" xfId="28723"/>
    <cellStyle name="표준 4 17 2 2 5" xfId="11584"/>
    <cellStyle name="표준 4 17 2 2 5 2" xfId="11585"/>
    <cellStyle name="표준 4 17 2 2 5 2 2" xfId="28726"/>
    <cellStyle name="표준 4 17 2 2 5 3" xfId="28725"/>
    <cellStyle name="표준 4 17 2 2 6" xfId="11586"/>
    <cellStyle name="표준 4 17 2 2 6 2" xfId="28727"/>
    <cellStyle name="표준 4 17 2 2 7" xfId="28718"/>
    <cellStyle name="표준 4 17 2 3" xfId="11587"/>
    <cellStyle name="표준 4 17 2 3 2" xfId="11588"/>
    <cellStyle name="표준 4 17 2 3 2 2" xfId="11589"/>
    <cellStyle name="표준 4 17 2 3 2 2 2" xfId="28730"/>
    <cellStyle name="표준 4 17 2 3 2 3" xfId="28729"/>
    <cellStyle name="표준 4 17 2 3 3" xfId="11590"/>
    <cellStyle name="표준 4 17 2 3 3 2" xfId="11591"/>
    <cellStyle name="표준 4 17 2 3 3 2 2" xfId="28732"/>
    <cellStyle name="표준 4 17 2 3 3 3" xfId="28731"/>
    <cellStyle name="표준 4 17 2 3 4" xfId="11592"/>
    <cellStyle name="표준 4 17 2 3 4 2" xfId="11593"/>
    <cellStyle name="표준 4 17 2 3 4 2 2" xfId="28734"/>
    <cellStyle name="표준 4 17 2 3 4 3" xfId="28733"/>
    <cellStyle name="표준 4 17 2 3 5" xfId="11594"/>
    <cellStyle name="표준 4 17 2 3 5 2" xfId="11595"/>
    <cellStyle name="표준 4 17 2 3 5 2 2" xfId="28736"/>
    <cellStyle name="표준 4 17 2 3 5 3" xfId="28735"/>
    <cellStyle name="표준 4 17 2 3 6" xfId="11596"/>
    <cellStyle name="표준 4 17 2 3 6 2" xfId="28737"/>
    <cellStyle name="표준 4 17 2 3 7" xfId="28728"/>
    <cellStyle name="표준 4 17 2 4" xfId="11597"/>
    <cellStyle name="표준 4 17 2 4 2" xfId="11598"/>
    <cellStyle name="표준 4 17 2 4 2 2" xfId="28739"/>
    <cellStyle name="표준 4 17 2 4 3" xfId="28738"/>
    <cellStyle name="표준 4 17 2 5" xfId="11599"/>
    <cellStyle name="표준 4 17 2 5 2" xfId="11600"/>
    <cellStyle name="표준 4 17 2 5 2 2" xfId="28741"/>
    <cellStyle name="표준 4 17 2 5 3" xfId="28740"/>
    <cellStyle name="표준 4 17 2 6" xfId="11601"/>
    <cellStyle name="표준 4 17 2 6 2" xfId="11602"/>
    <cellStyle name="표준 4 17 2 6 2 2" xfId="28743"/>
    <cellStyle name="표준 4 17 2 6 3" xfId="28742"/>
    <cellStyle name="표준 4 17 2 7" xfId="11603"/>
    <cellStyle name="표준 4 17 2 7 2" xfId="11604"/>
    <cellStyle name="표준 4 17 2 7 2 2" xfId="28745"/>
    <cellStyle name="표준 4 17 2 7 3" xfId="28744"/>
    <cellStyle name="표준 4 17 2 8" xfId="11605"/>
    <cellStyle name="표준 4 17 2 8 2" xfId="28746"/>
    <cellStyle name="표준 4 17 2 9" xfId="28717"/>
    <cellStyle name="표준 4 17 3" xfId="11606"/>
    <cellStyle name="표준 4 17 3 2" xfId="11607"/>
    <cellStyle name="표준 4 17 3 2 2" xfId="11608"/>
    <cellStyle name="표준 4 17 3 2 2 2" xfId="28749"/>
    <cellStyle name="표준 4 17 3 2 3" xfId="28748"/>
    <cellStyle name="표준 4 17 3 3" xfId="11609"/>
    <cellStyle name="표준 4 17 3 3 2" xfId="11610"/>
    <cellStyle name="표준 4 17 3 3 2 2" xfId="28751"/>
    <cellStyle name="표준 4 17 3 3 3" xfId="28750"/>
    <cellStyle name="표준 4 17 3 4" xfId="11611"/>
    <cellStyle name="표준 4 17 3 4 2" xfId="11612"/>
    <cellStyle name="표준 4 17 3 4 2 2" xfId="28753"/>
    <cellStyle name="표준 4 17 3 4 3" xfId="28752"/>
    <cellStyle name="표준 4 17 3 5" xfId="11613"/>
    <cellStyle name="표준 4 17 3 5 2" xfId="11614"/>
    <cellStyle name="표준 4 17 3 5 2 2" xfId="28755"/>
    <cellStyle name="표준 4 17 3 5 3" xfId="28754"/>
    <cellStyle name="표준 4 17 3 6" xfId="11615"/>
    <cellStyle name="표준 4 17 3 6 2" xfId="28756"/>
    <cellStyle name="표준 4 17 3 7" xfId="28747"/>
    <cellStyle name="표준 4 17 4" xfId="11616"/>
    <cellStyle name="표준 4 17 4 2" xfId="11617"/>
    <cellStyle name="표준 4 17 4 2 2" xfId="11618"/>
    <cellStyle name="표준 4 17 4 2 2 2" xfId="28759"/>
    <cellStyle name="표준 4 17 4 2 3" xfId="28758"/>
    <cellStyle name="표준 4 17 4 3" xfId="11619"/>
    <cellStyle name="표준 4 17 4 3 2" xfId="11620"/>
    <cellStyle name="표준 4 17 4 3 2 2" xfId="28761"/>
    <cellStyle name="표준 4 17 4 3 3" xfId="28760"/>
    <cellStyle name="표준 4 17 4 4" xfId="11621"/>
    <cellStyle name="표준 4 17 4 4 2" xfId="11622"/>
    <cellStyle name="표준 4 17 4 4 2 2" xfId="28763"/>
    <cellStyle name="표준 4 17 4 4 3" xfId="28762"/>
    <cellStyle name="표준 4 17 4 5" xfId="11623"/>
    <cellStyle name="표준 4 17 4 5 2" xfId="11624"/>
    <cellStyle name="표준 4 17 4 5 2 2" xfId="28765"/>
    <cellStyle name="표준 4 17 4 5 3" xfId="28764"/>
    <cellStyle name="표준 4 17 4 6" xfId="11625"/>
    <cellStyle name="표준 4 17 4 6 2" xfId="28766"/>
    <cellStyle name="표준 4 17 4 7" xfId="28757"/>
    <cellStyle name="표준 4 17 5" xfId="11626"/>
    <cellStyle name="표준 4 17 5 2" xfId="11627"/>
    <cellStyle name="표준 4 17 5 2 2" xfId="28768"/>
    <cellStyle name="표준 4 17 5 3" xfId="28767"/>
    <cellStyle name="표준 4 17 6" xfId="11628"/>
    <cellStyle name="표준 4 17 6 2" xfId="11629"/>
    <cellStyle name="표준 4 17 6 2 2" xfId="28770"/>
    <cellStyle name="표준 4 17 6 3" xfId="28769"/>
    <cellStyle name="표준 4 17 7" xfId="11630"/>
    <cellStyle name="표준 4 17 7 2" xfId="11631"/>
    <cellStyle name="표준 4 17 7 2 2" xfId="28772"/>
    <cellStyle name="표준 4 17 7 3" xfId="28771"/>
    <cellStyle name="표준 4 17 8" xfId="11632"/>
    <cellStyle name="표준 4 17 8 2" xfId="11633"/>
    <cellStyle name="표준 4 17 8 2 2" xfId="28774"/>
    <cellStyle name="표준 4 17 8 3" xfId="28773"/>
    <cellStyle name="표준 4 17 9" xfId="11634"/>
    <cellStyle name="표준 4 17 9 2" xfId="28775"/>
    <cellStyle name="표준 4 18" xfId="11635"/>
    <cellStyle name="표준 4 18 10" xfId="28776"/>
    <cellStyle name="표준 4 18 2" xfId="11636"/>
    <cellStyle name="표준 4 18 2 2" xfId="11637"/>
    <cellStyle name="표준 4 18 2 2 2" xfId="11638"/>
    <cellStyle name="표준 4 18 2 2 2 2" xfId="11639"/>
    <cellStyle name="표준 4 18 2 2 2 2 2" xfId="28780"/>
    <cellStyle name="표준 4 18 2 2 2 3" xfId="28779"/>
    <cellStyle name="표준 4 18 2 2 3" xfId="11640"/>
    <cellStyle name="표준 4 18 2 2 3 2" xfId="11641"/>
    <cellStyle name="표준 4 18 2 2 3 2 2" xfId="28782"/>
    <cellStyle name="표준 4 18 2 2 3 3" xfId="28781"/>
    <cellStyle name="표준 4 18 2 2 4" xfId="11642"/>
    <cellStyle name="표준 4 18 2 2 4 2" xfId="11643"/>
    <cellStyle name="표준 4 18 2 2 4 2 2" xfId="28784"/>
    <cellStyle name="표준 4 18 2 2 4 3" xfId="28783"/>
    <cellStyle name="표준 4 18 2 2 5" xfId="11644"/>
    <cellStyle name="표준 4 18 2 2 5 2" xfId="11645"/>
    <cellStyle name="표준 4 18 2 2 5 2 2" xfId="28786"/>
    <cellStyle name="표준 4 18 2 2 5 3" xfId="28785"/>
    <cellStyle name="표준 4 18 2 2 6" xfId="11646"/>
    <cellStyle name="표준 4 18 2 2 6 2" xfId="28787"/>
    <cellStyle name="표준 4 18 2 2 7" xfId="28778"/>
    <cellStyle name="표준 4 18 2 3" xfId="11647"/>
    <cellStyle name="표준 4 18 2 3 2" xfId="11648"/>
    <cellStyle name="표준 4 18 2 3 2 2" xfId="11649"/>
    <cellStyle name="표준 4 18 2 3 2 2 2" xfId="28790"/>
    <cellStyle name="표준 4 18 2 3 2 3" xfId="28789"/>
    <cellStyle name="표준 4 18 2 3 3" xfId="11650"/>
    <cellStyle name="표준 4 18 2 3 3 2" xfId="11651"/>
    <cellStyle name="표준 4 18 2 3 3 2 2" xfId="28792"/>
    <cellStyle name="표준 4 18 2 3 3 3" xfId="28791"/>
    <cellStyle name="표준 4 18 2 3 4" xfId="11652"/>
    <cellStyle name="표준 4 18 2 3 4 2" xfId="11653"/>
    <cellStyle name="표준 4 18 2 3 4 2 2" xfId="28794"/>
    <cellStyle name="표준 4 18 2 3 4 3" xfId="28793"/>
    <cellStyle name="표준 4 18 2 3 5" xfId="11654"/>
    <cellStyle name="표준 4 18 2 3 5 2" xfId="11655"/>
    <cellStyle name="표준 4 18 2 3 5 2 2" xfId="28796"/>
    <cellStyle name="표준 4 18 2 3 5 3" xfId="28795"/>
    <cellStyle name="표준 4 18 2 3 6" xfId="11656"/>
    <cellStyle name="표준 4 18 2 3 6 2" xfId="28797"/>
    <cellStyle name="표준 4 18 2 3 7" xfId="28788"/>
    <cellStyle name="표준 4 18 2 4" xfId="11657"/>
    <cellStyle name="표준 4 18 2 4 2" xfId="11658"/>
    <cellStyle name="표준 4 18 2 4 2 2" xfId="28799"/>
    <cellStyle name="표준 4 18 2 4 3" xfId="28798"/>
    <cellStyle name="표준 4 18 2 5" xfId="11659"/>
    <cellStyle name="표준 4 18 2 5 2" xfId="11660"/>
    <cellStyle name="표준 4 18 2 5 2 2" xfId="28801"/>
    <cellStyle name="표준 4 18 2 5 3" xfId="28800"/>
    <cellStyle name="표준 4 18 2 6" xfId="11661"/>
    <cellStyle name="표준 4 18 2 6 2" xfId="11662"/>
    <cellStyle name="표준 4 18 2 6 2 2" xfId="28803"/>
    <cellStyle name="표준 4 18 2 6 3" xfId="28802"/>
    <cellStyle name="표준 4 18 2 7" xfId="11663"/>
    <cellStyle name="표준 4 18 2 7 2" xfId="11664"/>
    <cellStyle name="표준 4 18 2 7 2 2" xfId="28805"/>
    <cellStyle name="표준 4 18 2 7 3" xfId="28804"/>
    <cellStyle name="표준 4 18 2 8" xfId="11665"/>
    <cellStyle name="표준 4 18 2 8 2" xfId="11666"/>
    <cellStyle name="표준 4 18 2 8 2 2" xfId="28807"/>
    <cellStyle name="표준 4 18 2 8 3" xfId="28806"/>
    <cellStyle name="표준 4 18 2 9" xfId="28777"/>
    <cellStyle name="표준 4 18 3" xfId="11667"/>
    <cellStyle name="표준 4 18 3 2" xfId="11668"/>
    <cellStyle name="표준 4 18 3 2 2" xfId="11669"/>
    <cellStyle name="표준 4 18 3 2 2 2" xfId="11670"/>
    <cellStyle name="표준 4 18 3 2 2 2 2" xfId="28811"/>
    <cellStyle name="표준 4 18 3 2 2 3" xfId="28810"/>
    <cellStyle name="표준 4 18 3 2 3" xfId="11671"/>
    <cellStyle name="표준 4 18 3 2 3 2" xfId="28812"/>
    <cellStyle name="표준 4 18 3 2 4" xfId="28809"/>
    <cellStyle name="표준 4 18 3 3" xfId="11672"/>
    <cellStyle name="표준 4 18 3 3 2" xfId="11673"/>
    <cellStyle name="표준 4 18 3 3 2 2" xfId="11674"/>
    <cellStyle name="표준 4 18 3 3 2 2 2" xfId="28815"/>
    <cellStyle name="표준 4 18 3 3 2 3" xfId="28814"/>
    <cellStyle name="표준 4 18 3 3 3" xfId="11675"/>
    <cellStyle name="표준 4 18 3 3 3 2" xfId="28816"/>
    <cellStyle name="표준 4 18 3 3 4" xfId="28813"/>
    <cellStyle name="표준 4 18 3 4" xfId="11676"/>
    <cellStyle name="표준 4 18 3 4 2" xfId="11677"/>
    <cellStyle name="표준 4 18 3 4 2 2" xfId="11678"/>
    <cellStyle name="표준 4 18 3 4 2 2 2" xfId="28819"/>
    <cellStyle name="표준 4 18 3 4 2 3" xfId="28818"/>
    <cellStyle name="표준 4 18 3 4 3" xfId="11679"/>
    <cellStyle name="표준 4 18 3 4 3 2" xfId="28820"/>
    <cellStyle name="표준 4 18 3 4 4" xfId="28817"/>
    <cellStyle name="표준 4 18 3 5" xfId="11680"/>
    <cellStyle name="표준 4 18 3 5 2" xfId="11681"/>
    <cellStyle name="표준 4 18 3 5 2 2" xfId="11682"/>
    <cellStyle name="표준 4 18 3 5 2 2 2" xfId="28823"/>
    <cellStyle name="표준 4 18 3 5 2 3" xfId="28822"/>
    <cellStyle name="표준 4 18 3 5 3" xfId="11683"/>
    <cellStyle name="표준 4 18 3 5 3 2" xfId="28824"/>
    <cellStyle name="표준 4 18 3 5 4" xfId="28821"/>
    <cellStyle name="표준 4 18 3 6" xfId="11684"/>
    <cellStyle name="표준 4 18 3 6 2" xfId="11685"/>
    <cellStyle name="표준 4 18 3 6 2 2" xfId="28826"/>
    <cellStyle name="표준 4 18 3 6 3" xfId="28825"/>
    <cellStyle name="표준 4 18 3 7" xfId="11686"/>
    <cellStyle name="표준 4 18 3 7 2" xfId="28827"/>
    <cellStyle name="표준 4 18 3 8" xfId="28808"/>
    <cellStyle name="표준 4 18 4" xfId="11687"/>
    <cellStyle name="표준 4 18 4 2" xfId="11688"/>
    <cellStyle name="표준 4 18 4 2 2" xfId="11689"/>
    <cellStyle name="표준 4 18 4 2 2 2" xfId="11690"/>
    <cellStyle name="표준 4 18 4 2 2 2 2" xfId="28831"/>
    <cellStyle name="표준 4 18 4 2 2 3" xfId="28830"/>
    <cellStyle name="표준 4 18 4 2 3" xfId="11691"/>
    <cellStyle name="표준 4 18 4 2 3 2" xfId="28832"/>
    <cellStyle name="표준 4 18 4 2 4" xfId="28829"/>
    <cellStyle name="표준 4 18 4 3" xfId="11692"/>
    <cellStyle name="표준 4 18 4 3 2" xfId="11693"/>
    <cellStyle name="표준 4 18 4 3 2 2" xfId="11694"/>
    <cellStyle name="표준 4 18 4 3 2 2 2" xfId="28835"/>
    <cellStyle name="표준 4 18 4 3 2 3" xfId="28834"/>
    <cellStyle name="표준 4 18 4 3 3" xfId="11695"/>
    <cellStyle name="표준 4 18 4 3 3 2" xfId="28836"/>
    <cellStyle name="표준 4 18 4 3 4" xfId="28833"/>
    <cellStyle name="표준 4 18 4 4" xfId="11696"/>
    <cellStyle name="표준 4 18 4 4 2" xfId="11697"/>
    <cellStyle name="표준 4 18 4 4 2 2" xfId="11698"/>
    <cellStyle name="표준 4 18 4 4 2 2 2" xfId="28839"/>
    <cellStyle name="표준 4 18 4 4 2 3" xfId="28838"/>
    <cellStyle name="표준 4 18 4 4 3" xfId="11699"/>
    <cellStyle name="표준 4 18 4 4 3 2" xfId="28840"/>
    <cellStyle name="표준 4 18 4 4 4" xfId="28837"/>
    <cellStyle name="표준 4 18 4 5" xfId="11700"/>
    <cellStyle name="표준 4 18 4 5 2" xfId="11701"/>
    <cellStyle name="표준 4 18 4 5 2 2" xfId="11702"/>
    <cellStyle name="표준 4 18 4 5 2 2 2" xfId="28843"/>
    <cellStyle name="표준 4 18 4 5 2 3" xfId="28842"/>
    <cellStyle name="표준 4 18 4 5 3" xfId="11703"/>
    <cellStyle name="표준 4 18 4 5 3 2" xfId="28844"/>
    <cellStyle name="표준 4 18 4 5 4" xfId="28841"/>
    <cellStyle name="표준 4 18 4 6" xfId="11704"/>
    <cellStyle name="표준 4 18 4 6 2" xfId="11705"/>
    <cellStyle name="표준 4 18 4 6 2 2" xfId="28846"/>
    <cellStyle name="표준 4 18 4 6 3" xfId="28845"/>
    <cellStyle name="표준 4 18 4 7" xfId="11706"/>
    <cellStyle name="표준 4 18 4 7 2" xfId="28847"/>
    <cellStyle name="표준 4 18 4 8" xfId="28828"/>
    <cellStyle name="표준 4 18 5" xfId="11707"/>
    <cellStyle name="표준 4 18 5 2" xfId="11708"/>
    <cellStyle name="표준 4 18 5 2 2" xfId="11709"/>
    <cellStyle name="표준 4 18 5 2 2 2" xfId="28850"/>
    <cellStyle name="표준 4 18 5 2 3" xfId="28849"/>
    <cellStyle name="표준 4 18 5 3" xfId="11710"/>
    <cellStyle name="표준 4 18 5 3 2" xfId="28851"/>
    <cellStyle name="표준 4 18 5 4" xfId="28848"/>
    <cellStyle name="표준 4 18 6" xfId="11711"/>
    <cellStyle name="표준 4 18 6 2" xfId="11712"/>
    <cellStyle name="표준 4 18 6 2 2" xfId="11713"/>
    <cellStyle name="표준 4 18 6 2 2 2" xfId="28854"/>
    <cellStyle name="표준 4 18 6 2 3" xfId="28853"/>
    <cellStyle name="표준 4 18 6 3" xfId="11714"/>
    <cellStyle name="표준 4 18 6 3 2" xfId="28855"/>
    <cellStyle name="표준 4 18 6 4" xfId="28852"/>
    <cellStyle name="표준 4 18 7" xfId="11715"/>
    <cellStyle name="표준 4 18 7 2" xfId="11716"/>
    <cellStyle name="표준 4 18 7 2 2" xfId="11717"/>
    <cellStyle name="표준 4 18 7 2 2 2" xfId="28858"/>
    <cellStyle name="표준 4 18 7 2 3" xfId="28857"/>
    <cellStyle name="표준 4 18 7 3" xfId="11718"/>
    <cellStyle name="표준 4 18 7 3 2" xfId="28859"/>
    <cellStyle name="표준 4 18 7 4" xfId="28856"/>
    <cellStyle name="표준 4 18 8" xfId="11719"/>
    <cellStyle name="표준 4 18 8 2" xfId="11720"/>
    <cellStyle name="표준 4 18 8 2 2" xfId="11721"/>
    <cellStyle name="표준 4 18 8 2 2 2" xfId="28862"/>
    <cellStyle name="표준 4 18 8 2 3" xfId="28861"/>
    <cellStyle name="표준 4 18 8 3" xfId="11722"/>
    <cellStyle name="표준 4 18 8 3 2" xfId="28863"/>
    <cellStyle name="표준 4 18 8 4" xfId="28860"/>
    <cellStyle name="표준 4 18 9" xfId="11723"/>
    <cellStyle name="표준 4 18 9 2" xfId="11724"/>
    <cellStyle name="표준 4 18 9 2 2" xfId="28865"/>
    <cellStyle name="표준 4 18 9 3" xfId="28864"/>
    <cellStyle name="표준 4 19" xfId="11725"/>
    <cellStyle name="표준 4 19 10" xfId="11726"/>
    <cellStyle name="표준 4 19 10 2" xfId="28867"/>
    <cellStyle name="표준 4 19 11" xfId="28866"/>
    <cellStyle name="표준 4 19 2" xfId="11727"/>
    <cellStyle name="표준 4 19 2 10" xfId="28868"/>
    <cellStyle name="표준 4 19 2 2" xfId="11728"/>
    <cellStyle name="표준 4 19 2 2 2" xfId="11729"/>
    <cellStyle name="표준 4 19 2 2 2 2" xfId="11730"/>
    <cellStyle name="표준 4 19 2 2 2 2 2" xfId="11731"/>
    <cellStyle name="표준 4 19 2 2 2 2 2 2" xfId="28872"/>
    <cellStyle name="표준 4 19 2 2 2 2 3" xfId="28871"/>
    <cellStyle name="표준 4 19 2 2 2 3" xfId="11732"/>
    <cellStyle name="표준 4 19 2 2 2 3 2" xfId="28873"/>
    <cellStyle name="표준 4 19 2 2 2 4" xfId="28870"/>
    <cellStyle name="표준 4 19 2 2 3" xfId="11733"/>
    <cellStyle name="표준 4 19 2 2 3 2" xfId="11734"/>
    <cellStyle name="표준 4 19 2 2 3 2 2" xfId="11735"/>
    <cellStyle name="표준 4 19 2 2 3 2 2 2" xfId="28876"/>
    <cellStyle name="표준 4 19 2 2 3 2 3" xfId="28875"/>
    <cellStyle name="표준 4 19 2 2 3 3" xfId="11736"/>
    <cellStyle name="표준 4 19 2 2 3 3 2" xfId="28877"/>
    <cellStyle name="표준 4 19 2 2 3 4" xfId="28874"/>
    <cellStyle name="표준 4 19 2 2 4" xfId="11737"/>
    <cellStyle name="표준 4 19 2 2 4 2" xfId="11738"/>
    <cellStyle name="표준 4 19 2 2 4 2 2" xfId="11739"/>
    <cellStyle name="표준 4 19 2 2 4 2 2 2" xfId="28880"/>
    <cellStyle name="표준 4 19 2 2 4 2 3" xfId="28879"/>
    <cellStyle name="표준 4 19 2 2 4 3" xfId="11740"/>
    <cellStyle name="표준 4 19 2 2 4 3 2" xfId="28881"/>
    <cellStyle name="표준 4 19 2 2 4 4" xfId="28878"/>
    <cellStyle name="표준 4 19 2 2 5" xfId="11741"/>
    <cellStyle name="표준 4 19 2 2 5 2" xfId="11742"/>
    <cellStyle name="표준 4 19 2 2 5 2 2" xfId="11743"/>
    <cellStyle name="표준 4 19 2 2 5 2 2 2" xfId="28884"/>
    <cellStyle name="표준 4 19 2 2 5 2 3" xfId="28883"/>
    <cellStyle name="표준 4 19 2 2 5 3" xfId="11744"/>
    <cellStyle name="표준 4 19 2 2 5 3 2" xfId="28885"/>
    <cellStyle name="표준 4 19 2 2 5 4" xfId="28882"/>
    <cellStyle name="표준 4 19 2 2 6" xfId="11745"/>
    <cellStyle name="표준 4 19 2 2 6 2" xfId="11746"/>
    <cellStyle name="표준 4 19 2 2 6 2 2" xfId="28887"/>
    <cellStyle name="표준 4 19 2 2 6 3" xfId="28886"/>
    <cellStyle name="표준 4 19 2 2 7" xfId="11747"/>
    <cellStyle name="표준 4 19 2 2 7 2" xfId="28888"/>
    <cellStyle name="표준 4 19 2 2 8" xfId="28869"/>
    <cellStyle name="표준 4 19 2 3" xfId="11748"/>
    <cellStyle name="표준 4 19 2 3 2" xfId="11749"/>
    <cellStyle name="표준 4 19 2 3 2 2" xfId="11750"/>
    <cellStyle name="표준 4 19 2 3 2 2 2" xfId="11751"/>
    <cellStyle name="표준 4 19 2 3 2 2 2 2" xfId="28892"/>
    <cellStyle name="표준 4 19 2 3 2 2 3" xfId="28891"/>
    <cellStyle name="표준 4 19 2 3 2 3" xfId="11752"/>
    <cellStyle name="표준 4 19 2 3 2 3 2" xfId="28893"/>
    <cellStyle name="표준 4 19 2 3 2 4" xfId="28890"/>
    <cellStyle name="표준 4 19 2 3 3" xfId="11753"/>
    <cellStyle name="표준 4 19 2 3 3 2" xfId="11754"/>
    <cellStyle name="표준 4 19 2 3 3 2 2" xfId="11755"/>
    <cellStyle name="표준 4 19 2 3 3 2 2 2" xfId="28896"/>
    <cellStyle name="표준 4 19 2 3 3 2 3" xfId="28895"/>
    <cellStyle name="표준 4 19 2 3 3 3" xfId="11756"/>
    <cellStyle name="표준 4 19 2 3 3 3 2" xfId="28897"/>
    <cellStyle name="표준 4 19 2 3 3 4" xfId="28894"/>
    <cellStyle name="표준 4 19 2 3 4" xfId="11757"/>
    <cellStyle name="표준 4 19 2 3 4 2" xfId="11758"/>
    <cellStyle name="표준 4 19 2 3 4 2 2" xfId="28899"/>
    <cellStyle name="표준 4 19 2 3 4 3" xfId="28898"/>
    <cellStyle name="표준 4 19 2 3 5" xfId="11759"/>
    <cellStyle name="표준 4 19 2 3 5 2" xfId="11760"/>
    <cellStyle name="표준 4 19 2 3 5 2 2" xfId="28901"/>
    <cellStyle name="표준 4 19 2 3 5 3" xfId="28900"/>
    <cellStyle name="표준 4 19 2 3 6" xfId="11761"/>
    <cellStyle name="표준 4 19 2 3 6 2" xfId="28902"/>
    <cellStyle name="표준 4 19 2 3 7" xfId="11762"/>
    <cellStyle name="표준 4 19 2 3 7 2" xfId="28903"/>
    <cellStyle name="표준 4 19 2 3 8" xfId="28889"/>
    <cellStyle name="표준 4 19 2 4" xfId="11763"/>
    <cellStyle name="표준 4 19 2 4 2" xfId="11764"/>
    <cellStyle name="표준 4 19 2 4 2 2" xfId="28905"/>
    <cellStyle name="표준 4 19 2 4 3" xfId="28904"/>
    <cellStyle name="표준 4 19 2 5" xfId="11765"/>
    <cellStyle name="표준 4 19 2 5 2" xfId="11766"/>
    <cellStyle name="표준 4 19 2 5 2 2" xfId="28907"/>
    <cellStyle name="표준 4 19 2 5 3" xfId="28906"/>
    <cellStyle name="표준 4 19 2 6" xfId="11767"/>
    <cellStyle name="표준 4 19 2 6 2" xfId="11768"/>
    <cellStyle name="표준 4 19 2 6 2 2" xfId="28909"/>
    <cellStyle name="표준 4 19 2 6 3" xfId="28908"/>
    <cellStyle name="표준 4 19 2 7" xfId="11769"/>
    <cellStyle name="표준 4 19 2 7 2" xfId="11770"/>
    <cellStyle name="표준 4 19 2 7 2 2" xfId="28911"/>
    <cellStyle name="표준 4 19 2 7 3" xfId="28910"/>
    <cellStyle name="표준 4 19 2 8" xfId="11771"/>
    <cellStyle name="표준 4 19 2 8 2" xfId="28912"/>
    <cellStyle name="표준 4 19 2 9" xfId="11772"/>
    <cellStyle name="표준 4 19 2 9 2" xfId="28913"/>
    <cellStyle name="표준 4 19 3" xfId="11773"/>
    <cellStyle name="표준 4 19 3 2" xfId="11774"/>
    <cellStyle name="표준 4 19 3 2 2" xfId="11775"/>
    <cellStyle name="표준 4 19 3 2 2 2" xfId="28916"/>
    <cellStyle name="표준 4 19 3 2 3" xfId="28915"/>
    <cellStyle name="표준 4 19 3 3" xfId="11776"/>
    <cellStyle name="표준 4 19 3 3 2" xfId="11777"/>
    <cellStyle name="표준 4 19 3 3 2 2" xfId="28918"/>
    <cellStyle name="표준 4 19 3 3 3" xfId="28917"/>
    <cellStyle name="표준 4 19 3 4" xfId="11778"/>
    <cellStyle name="표준 4 19 3 4 2" xfId="11779"/>
    <cellStyle name="표준 4 19 3 4 2 2" xfId="28920"/>
    <cellStyle name="표준 4 19 3 4 3" xfId="28919"/>
    <cellStyle name="표준 4 19 3 5" xfId="11780"/>
    <cellStyle name="표준 4 19 3 5 2" xfId="11781"/>
    <cellStyle name="표준 4 19 3 5 2 2" xfId="28922"/>
    <cellStyle name="표준 4 19 3 5 3" xfId="28921"/>
    <cellStyle name="표준 4 19 3 6" xfId="11782"/>
    <cellStyle name="표준 4 19 3 6 2" xfId="28923"/>
    <cellStyle name="표준 4 19 3 7" xfId="28914"/>
    <cellStyle name="표준 4 19 4" xfId="11783"/>
    <cellStyle name="표준 4 19 4 2" xfId="11784"/>
    <cellStyle name="표준 4 19 4 2 2" xfId="11785"/>
    <cellStyle name="표준 4 19 4 2 2 2" xfId="28926"/>
    <cellStyle name="표준 4 19 4 2 3" xfId="28925"/>
    <cellStyle name="표준 4 19 4 3" xfId="11786"/>
    <cellStyle name="표준 4 19 4 3 2" xfId="11787"/>
    <cellStyle name="표준 4 19 4 3 2 2" xfId="28928"/>
    <cellStyle name="표준 4 19 4 3 3" xfId="28927"/>
    <cellStyle name="표준 4 19 4 4" xfId="11788"/>
    <cellStyle name="표준 4 19 4 4 2" xfId="11789"/>
    <cellStyle name="표준 4 19 4 4 2 2" xfId="28930"/>
    <cellStyle name="표준 4 19 4 4 3" xfId="28929"/>
    <cellStyle name="표준 4 19 4 5" xfId="11790"/>
    <cellStyle name="표준 4 19 4 5 2" xfId="11791"/>
    <cellStyle name="표준 4 19 4 5 2 2" xfId="28932"/>
    <cellStyle name="표준 4 19 4 5 3" xfId="28931"/>
    <cellStyle name="표준 4 19 4 6" xfId="11792"/>
    <cellStyle name="표준 4 19 4 6 2" xfId="28933"/>
    <cellStyle name="표준 4 19 4 7" xfId="28924"/>
    <cellStyle name="표준 4 19 5" xfId="11793"/>
    <cellStyle name="표준 4 19 5 2" xfId="11794"/>
    <cellStyle name="표준 4 19 5 2 2" xfId="28935"/>
    <cellStyle name="표준 4 19 5 3" xfId="28934"/>
    <cellStyle name="표준 4 19 6" xfId="11795"/>
    <cellStyle name="표준 4 19 6 2" xfId="11796"/>
    <cellStyle name="표준 4 19 6 2 2" xfId="28937"/>
    <cellStyle name="표준 4 19 6 3" xfId="28936"/>
    <cellStyle name="표준 4 19 7" xfId="11797"/>
    <cellStyle name="표준 4 19 7 2" xfId="11798"/>
    <cellStyle name="표준 4 19 7 2 2" xfId="28939"/>
    <cellStyle name="표준 4 19 7 3" xfId="28938"/>
    <cellStyle name="표준 4 19 8" xfId="11799"/>
    <cellStyle name="표준 4 19 8 2" xfId="11800"/>
    <cellStyle name="표준 4 19 8 2 2" xfId="28941"/>
    <cellStyle name="표준 4 19 8 3" xfId="28940"/>
    <cellStyle name="표준 4 19 9" xfId="11801"/>
    <cellStyle name="표준 4 19 9 2" xfId="28942"/>
    <cellStyle name="표준 4 2" xfId="289"/>
    <cellStyle name="표준 4 2 10" xfId="12793"/>
    <cellStyle name="표준 4 2 10 2" xfId="29934"/>
    <cellStyle name="표준 4 2 10 3" xfId="35828"/>
    <cellStyle name="표준 4 2 11" xfId="13763"/>
    <cellStyle name="표준 4 2 11 2" xfId="30904"/>
    <cellStyle name="표준 4 2 11 3" xfId="35829"/>
    <cellStyle name="표준 4 2 12" xfId="17432"/>
    <cellStyle name="표준 4 2 12 2" xfId="35830"/>
    <cellStyle name="표준 4 2 13" xfId="35831"/>
    <cellStyle name="표준 4 2 14" xfId="35827"/>
    <cellStyle name="표준 4 2 2" xfId="824"/>
    <cellStyle name="표준 4 2 2 10" xfId="35833"/>
    <cellStyle name="표준 4 2 2 11" xfId="35834"/>
    <cellStyle name="표준 4 2 2 12" xfId="35832"/>
    <cellStyle name="표준 4 2 2 2" xfId="11802"/>
    <cellStyle name="표준 4 2 2 2 2" xfId="11803"/>
    <cellStyle name="표준 4 2 2 2 2 2" xfId="11804"/>
    <cellStyle name="표준 4 2 2 2 2 2 2" xfId="28945"/>
    <cellStyle name="표준 4 2 2 2 2 3" xfId="28944"/>
    <cellStyle name="표준 4 2 2 2 3" xfId="11805"/>
    <cellStyle name="표준 4 2 2 2 3 2" xfId="11806"/>
    <cellStyle name="표준 4 2 2 2 3 2 2" xfId="28947"/>
    <cellStyle name="표준 4 2 2 2 3 3" xfId="28946"/>
    <cellStyle name="표준 4 2 2 2 4" xfId="11807"/>
    <cellStyle name="표준 4 2 2 2 4 2" xfId="11808"/>
    <cellStyle name="표준 4 2 2 2 4 2 2" xfId="28949"/>
    <cellStyle name="표준 4 2 2 2 4 3" xfId="28948"/>
    <cellStyle name="표준 4 2 2 2 5" xfId="11809"/>
    <cellStyle name="표준 4 2 2 2 5 2" xfId="11810"/>
    <cellStyle name="표준 4 2 2 2 5 2 2" xfId="28951"/>
    <cellStyle name="표준 4 2 2 2 5 3" xfId="28950"/>
    <cellStyle name="표준 4 2 2 2 6" xfId="11811"/>
    <cellStyle name="표준 4 2 2 2 6 2" xfId="28952"/>
    <cellStyle name="표준 4 2 2 2 7" xfId="28943"/>
    <cellStyle name="표준 4 2 2 2 8" xfId="35835"/>
    <cellStyle name="표준 4 2 2 3" xfId="11812"/>
    <cellStyle name="표준 4 2 2 3 2" xfId="11813"/>
    <cellStyle name="표준 4 2 2 3 2 2" xfId="11814"/>
    <cellStyle name="표준 4 2 2 3 2 2 2" xfId="28955"/>
    <cellStyle name="표준 4 2 2 3 2 3" xfId="28954"/>
    <cellStyle name="표준 4 2 2 3 3" xfId="11815"/>
    <cellStyle name="표준 4 2 2 3 3 2" xfId="11816"/>
    <cellStyle name="표준 4 2 2 3 3 2 2" xfId="28957"/>
    <cellStyle name="표준 4 2 2 3 3 3" xfId="28956"/>
    <cellStyle name="표준 4 2 2 3 4" xfId="11817"/>
    <cellStyle name="표준 4 2 2 3 4 2" xfId="11818"/>
    <cellStyle name="표준 4 2 2 3 4 2 2" xfId="28959"/>
    <cellStyle name="표준 4 2 2 3 4 3" xfId="28958"/>
    <cellStyle name="표준 4 2 2 3 5" xfId="11819"/>
    <cellStyle name="표준 4 2 2 3 5 2" xfId="11820"/>
    <cellStyle name="표준 4 2 2 3 5 2 2" xfId="28961"/>
    <cellStyle name="표준 4 2 2 3 5 3" xfId="28960"/>
    <cellStyle name="표준 4 2 2 3 6" xfId="11821"/>
    <cellStyle name="표준 4 2 2 3 6 2" xfId="28962"/>
    <cellStyle name="표준 4 2 2 3 7" xfId="28953"/>
    <cellStyle name="표준 4 2 2 3 8" xfId="35836"/>
    <cellStyle name="표준 4 2 2 4" xfId="11822"/>
    <cellStyle name="표준 4 2 2 4 2" xfId="11823"/>
    <cellStyle name="표준 4 2 2 4 2 2" xfId="28964"/>
    <cellStyle name="표준 4 2 2 4 3" xfId="28963"/>
    <cellStyle name="표준 4 2 2 4 4" xfId="35837"/>
    <cellStyle name="표준 4 2 2 5" xfId="11824"/>
    <cellStyle name="표준 4 2 2 5 2" xfId="11825"/>
    <cellStyle name="표준 4 2 2 5 2 2" xfId="28966"/>
    <cellStyle name="표준 4 2 2 5 3" xfId="28965"/>
    <cellStyle name="표준 4 2 2 5 4" xfId="35838"/>
    <cellStyle name="표준 4 2 2 6" xfId="11826"/>
    <cellStyle name="표준 4 2 2 6 2" xfId="11827"/>
    <cellStyle name="표준 4 2 2 6 2 2" xfId="28968"/>
    <cellStyle name="표준 4 2 2 6 3" xfId="28967"/>
    <cellStyle name="표준 4 2 2 6 4" xfId="35839"/>
    <cellStyle name="표준 4 2 2 7" xfId="11828"/>
    <cellStyle name="표준 4 2 2 7 2" xfId="11829"/>
    <cellStyle name="표준 4 2 2 7 2 2" xfId="28970"/>
    <cellStyle name="표준 4 2 2 7 3" xfId="28969"/>
    <cellStyle name="표준 4 2 2 7 4" xfId="35840"/>
    <cellStyle name="표준 4 2 2 8" xfId="11830"/>
    <cellStyle name="표준 4 2 2 8 2" xfId="28971"/>
    <cellStyle name="표준 4 2 2 8 3" xfId="35841"/>
    <cellStyle name="표준 4 2 2 9" xfId="17967"/>
    <cellStyle name="표준 4 2 2 9 2" xfId="35842"/>
    <cellStyle name="표준 4 2 3" xfId="572"/>
    <cellStyle name="표준 4 2 3 2" xfId="11831"/>
    <cellStyle name="표준 4 2 3 2 2" xfId="11832"/>
    <cellStyle name="표준 4 2 3 2 2 2" xfId="28973"/>
    <cellStyle name="표준 4 2 3 2 3" xfId="28972"/>
    <cellStyle name="표준 4 2 3 3" xfId="11833"/>
    <cellStyle name="표준 4 2 3 3 2" xfId="11834"/>
    <cellStyle name="표준 4 2 3 3 2 2" xfId="28975"/>
    <cellStyle name="표준 4 2 3 3 3" xfId="28974"/>
    <cellStyle name="표준 4 2 3 4" xfId="11835"/>
    <cellStyle name="표준 4 2 3 4 2" xfId="11836"/>
    <cellStyle name="표준 4 2 3 4 2 2" xfId="28977"/>
    <cellStyle name="표준 4 2 3 4 3" xfId="28976"/>
    <cellStyle name="표준 4 2 3 5" xfId="11837"/>
    <cellStyle name="표준 4 2 3 5 2" xfId="11838"/>
    <cellStyle name="표준 4 2 3 5 2 2" xfId="28979"/>
    <cellStyle name="표준 4 2 3 5 3" xfId="28978"/>
    <cellStyle name="표준 4 2 3 6" xfId="11839"/>
    <cellStyle name="표준 4 2 3 6 2" xfId="28980"/>
    <cellStyle name="표준 4 2 3 7" xfId="17715"/>
    <cellStyle name="표준 4 2 3 8" xfId="35843"/>
    <cellStyle name="표준 4 2 4" xfId="11840"/>
    <cellStyle name="표준 4 2 4 2" xfId="11841"/>
    <cellStyle name="표준 4 2 4 2 2" xfId="11842"/>
    <cellStyle name="표준 4 2 4 2 2 2" xfId="28983"/>
    <cellStyle name="표준 4 2 4 2 3" xfId="28982"/>
    <cellStyle name="표준 4 2 4 3" xfId="11843"/>
    <cellStyle name="표준 4 2 4 3 2" xfId="11844"/>
    <cellStyle name="표준 4 2 4 3 2 2" xfId="28985"/>
    <cellStyle name="표준 4 2 4 3 3" xfId="28984"/>
    <cellStyle name="표준 4 2 4 4" xfId="11845"/>
    <cellStyle name="표준 4 2 4 4 2" xfId="11846"/>
    <cellStyle name="표준 4 2 4 4 2 2" xfId="28987"/>
    <cellStyle name="표준 4 2 4 4 3" xfId="28986"/>
    <cellStyle name="표준 4 2 4 5" xfId="11847"/>
    <cellStyle name="표준 4 2 4 5 2" xfId="11848"/>
    <cellStyle name="표준 4 2 4 5 2 2" xfId="28989"/>
    <cellStyle name="표준 4 2 4 5 3" xfId="28988"/>
    <cellStyle name="표준 4 2 4 6" xfId="11849"/>
    <cellStyle name="표준 4 2 4 6 2" xfId="28990"/>
    <cellStyle name="표준 4 2 4 7" xfId="28981"/>
    <cellStyle name="표준 4 2 4 8" xfId="35844"/>
    <cellStyle name="표준 4 2 5" xfId="11850"/>
    <cellStyle name="표준 4 2 5 2" xfId="11851"/>
    <cellStyle name="표준 4 2 5 2 2" xfId="28992"/>
    <cellStyle name="표준 4 2 5 3" xfId="28991"/>
    <cellStyle name="표준 4 2 5 4" xfId="35845"/>
    <cellStyle name="표준 4 2 6" xfId="11852"/>
    <cellStyle name="표준 4 2 6 2" xfId="11853"/>
    <cellStyle name="표준 4 2 6 2 2" xfId="28994"/>
    <cellStyle name="표준 4 2 6 3" xfId="28993"/>
    <cellStyle name="표준 4 2 6 4" xfId="35846"/>
    <cellStyle name="표준 4 2 7" xfId="11854"/>
    <cellStyle name="표준 4 2 7 2" xfId="11855"/>
    <cellStyle name="표준 4 2 7 2 2" xfId="28996"/>
    <cellStyle name="표준 4 2 7 3" xfId="28995"/>
    <cellStyle name="표준 4 2 7 4" xfId="35847"/>
    <cellStyle name="표준 4 2 8" xfId="11856"/>
    <cellStyle name="표준 4 2 8 2" xfId="11857"/>
    <cellStyle name="표준 4 2 8 2 2" xfId="28998"/>
    <cellStyle name="표준 4 2 8 3" xfId="28997"/>
    <cellStyle name="표준 4 2 8 4" xfId="35848"/>
    <cellStyle name="표준 4 2 9" xfId="11858"/>
    <cellStyle name="표준 4 2 9 2" xfId="28999"/>
    <cellStyle name="표준 4 2 9 3" xfId="35849"/>
    <cellStyle name="표준 4 20" xfId="11859"/>
    <cellStyle name="표준 4 20 10" xfId="29000"/>
    <cellStyle name="표준 4 20 2" xfId="11860"/>
    <cellStyle name="표준 4 20 2 2" xfId="11861"/>
    <cellStyle name="표준 4 20 2 2 2" xfId="11862"/>
    <cellStyle name="표준 4 20 2 2 2 2" xfId="11863"/>
    <cellStyle name="표준 4 20 2 2 2 2 2" xfId="29004"/>
    <cellStyle name="표준 4 20 2 2 2 3" xfId="29003"/>
    <cellStyle name="표준 4 20 2 2 3" xfId="11864"/>
    <cellStyle name="표준 4 20 2 2 3 2" xfId="11865"/>
    <cellStyle name="표준 4 20 2 2 3 2 2" xfId="29006"/>
    <cellStyle name="표준 4 20 2 2 3 3" xfId="29005"/>
    <cellStyle name="표준 4 20 2 2 4" xfId="11866"/>
    <cellStyle name="표준 4 20 2 2 4 2" xfId="11867"/>
    <cellStyle name="표준 4 20 2 2 4 2 2" xfId="29008"/>
    <cellStyle name="표준 4 20 2 2 4 3" xfId="29007"/>
    <cellStyle name="표준 4 20 2 2 5" xfId="11868"/>
    <cellStyle name="표준 4 20 2 2 5 2" xfId="11869"/>
    <cellStyle name="표준 4 20 2 2 5 2 2" xfId="29010"/>
    <cellStyle name="표준 4 20 2 2 5 3" xfId="29009"/>
    <cellStyle name="표준 4 20 2 2 6" xfId="11870"/>
    <cellStyle name="표준 4 20 2 2 6 2" xfId="29011"/>
    <cellStyle name="표준 4 20 2 2 7" xfId="29002"/>
    <cellStyle name="표준 4 20 2 3" xfId="11871"/>
    <cellStyle name="표준 4 20 2 3 2" xfId="11872"/>
    <cellStyle name="표준 4 20 2 3 2 2" xfId="11873"/>
    <cellStyle name="표준 4 20 2 3 2 2 2" xfId="29014"/>
    <cellStyle name="표준 4 20 2 3 2 3" xfId="29013"/>
    <cellStyle name="표준 4 20 2 3 3" xfId="11874"/>
    <cellStyle name="표준 4 20 2 3 3 2" xfId="11875"/>
    <cellStyle name="표준 4 20 2 3 3 2 2" xfId="29016"/>
    <cellStyle name="표준 4 20 2 3 3 3" xfId="29015"/>
    <cellStyle name="표준 4 20 2 3 4" xfId="11876"/>
    <cellStyle name="표준 4 20 2 3 4 2" xfId="11877"/>
    <cellStyle name="표준 4 20 2 3 4 2 2" xfId="29018"/>
    <cellStyle name="표준 4 20 2 3 4 3" xfId="29017"/>
    <cellStyle name="표준 4 20 2 3 5" xfId="11878"/>
    <cellStyle name="표준 4 20 2 3 5 2" xfId="11879"/>
    <cellStyle name="표준 4 20 2 3 5 2 2" xfId="29020"/>
    <cellStyle name="표준 4 20 2 3 5 3" xfId="29019"/>
    <cellStyle name="표준 4 20 2 3 6" xfId="11880"/>
    <cellStyle name="표준 4 20 2 3 6 2" xfId="29021"/>
    <cellStyle name="표준 4 20 2 3 7" xfId="29012"/>
    <cellStyle name="표준 4 20 2 4" xfId="11881"/>
    <cellStyle name="표준 4 20 2 4 2" xfId="11882"/>
    <cellStyle name="표준 4 20 2 4 2 2" xfId="29023"/>
    <cellStyle name="표준 4 20 2 4 3" xfId="29022"/>
    <cellStyle name="표준 4 20 2 5" xfId="11883"/>
    <cellStyle name="표준 4 20 2 5 2" xfId="11884"/>
    <cellStyle name="표준 4 20 2 5 2 2" xfId="29025"/>
    <cellStyle name="표준 4 20 2 5 3" xfId="29024"/>
    <cellStyle name="표준 4 20 2 6" xfId="11885"/>
    <cellStyle name="표준 4 20 2 6 2" xfId="11886"/>
    <cellStyle name="표준 4 20 2 6 2 2" xfId="29027"/>
    <cellStyle name="표준 4 20 2 6 3" xfId="29026"/>
    <cellStyle name="표준 4 20 2 7" xfId="11887"/>
    <cellStyle name="표준 4 20 2 7 2" xfId="11888"/>
    <cellStyle name="표준 4 20 2 7 2 2" xfId="29029"/>
    <cellStyle name="표준 4 20 2 7 3" xfId="29028"/>
    <cellStyle name="표준 4 20 2 8" xfId="11889"/>
    <cellStyle name="표준 4 20 2 8 2" xfId="29030"/>
    <cellStyle name="표준 4 20 2 9" xfId="29001"/>
    <cellStyle name="표준 4 20 3" xfId="11890"/>
    <cellStyle name="표준 4 20 3 2" xfId="11891"/>
    <cellStyle name="표준 4 20 3 2 2" xfId="11892"/>
    <cellStyle name="표준 4 20 3 2 2 2" xfId="29033"/>
    <cellStyle name="표준 4 20 3 2 3" xfId="29032"/>
    <cellStyle name="표준 4 20 3 3" xfId="11893"/>
    <cellStyle name="표준 4 20 3 3 2" xfId="11894"/>
    <cellStyle name="표준 4 20 3 3 2 2" xfId="29035"/>
    <cellStyle name="표준 4 20 3 3 3" xfId="29034"/>
    <cellStyle name="표준 4 20 3 4" xfId="11895"/>
    <cellStyle name="표준 4 20 3 4 2" xfId="11896"/>
    <cellStyle name="표준 4 20 3 4 2 2" xfId="29037"/>
    <cellStyle name="표준 4 20 3 4 3" xfId="29036"/>
    <cellStyle name="표준 4 20 3 5" xfId="11897"/>
    <cellStyle name="표준 4 20 3 5 2" xfId="11898"/>
    <cellStyle name="표준 4 20 3 5 2 2" xfId="29039"/>
    <cellStyle name="표준 4 20 3 5 3" xfId="29038"/>
    <cellStyle name="표준 4 20 3 6" xfId="11899"/>
    <cellStyle name="표준 4 20 3 6 2" xfId="29040"/>
    <cellStyle name="표준 4 20 3 7" xfId="29031"/>
    <cellStyle name="표준 4 20 4" xfId="11900"/>
    <cellStyle name="표준 4 20 4 2" xfId="11901"/>
    <cellStyle name="표준 4 20 4 2 2" xfId="11902"/>
    <cellStyle name="표준 4 20 4 2 2 2" xfId="29043"/>
    <cellStyle name="표준 4 20 4 2 3" xfId="29042"/>
    <cellStyle name="표준 4 20 4 3" xfId="11903"/>
    <cellStyle name="표준 4 20 4 3 2" xfId="11904"/>
    <cellStyle name="표준 4 20 4 3 2 2" xfId="29045"/>
    <cellStyle name="표준 4 20 4 3 3" xfId="29044"/>
    <cellStyle name="표준 4 20 4 4" xfId="11905"/>
    <cellStyle name="표준 4 20 4 4 2" xfId="11906"/>
    <cellStyle name="표준 4 20 4 4 2 2" xfId="29047"/>
    <cellStyle name="표준 4 20 4 4 3" xfId="29046"/>
    <cellStyle name="표준 4 20 4 5" xfId="11907"/>
    <cellStyle name="표준 4 20 4 5 2" xfId="11908"/>
    <cellStyle name="표준 4 20 4 5 2 2" xfId="29049"/>
    <cellStyle name="표준 4 20 4 5 3" xfId="29048"/>
    <cellStyle name="표준 4 20 4 6" xfId="11909"/>
    <cellStyle name="표준 4 20 4 6 2" xfId="29050"/>
    <cellStyle name="표준 4 20 4 7" xfId="29041"/>
    <cellStyle name="표준 4 20 5" xfId="11910"/>
    <cellStyle name="표준 4 20 5 2" xfId="11911"/>
    <cellStyle name="표준 4 20 5 2 2" xfId="29052"/>
    <cellStyle name="표준 4 20 5 3" xfId="29051"/>
    <cellStyle name="표준 4 20 6" xfId="11912"/>
    <cellStyle name="표준 4 20 6 2" xfId="11913"/>
    <cellStyle name="표준 4 20 6 2 2" xfId="29054"/>
    <cellStyle name="표준 4 20 6 3" xfId="29053"/>
    <cellStyle name="표준 4 20 7" xfId="11914"/>
    <cellStyle name="표준 4 20 7 2" xfId="11915"/>
    <cellStyle name="표준 4 20 7 2 2" xfId="29056"/>
    <cellStyle name="표준 4 20 7 3" xfId="29055"/>
    <cellStyle name="표준 4 20 8" xfId="11916"/>
    <cellStyle name="표준 4 20 8 2" xfId="11917"/>
    <cellStyle name="표준 4 20 8 2 2" xfId="29058"/>
    <cellStyle name="표준 4 20 8 3" xfId="29057"/>
    <cellStyle name="표준 4 20 9" xfId="11918"/>
    <cellStyle name="표준 4 20 9 2" xfId="29059"/>
    <cellStyle name="표준 4 21" xfId="11919"/>
    <cellStyle name="표준 4 21 10" xfId="29060"/>
    <cellStyle name="표준 4 21 2" xfId="11920"/>
    <cellStyle name="표준 4 21 2 2" xfId="11921"/>
    <cellStyle name="표준 4 21 2 2 2" xfId="11922"/>
    <cellStyle name="표준 4 21 2 2 2 2" xfId="11923"/>
    <cellStyle name="표준 4 21 2 2 2 2 2" xfId="29064"/>
    <cellStyle name="표준 4 21 2 2 2 3" xfId="29063"/>
    <cellStyle name="표준 4 21 2 2 3" xfId="11924"/>
    <cellStyle name="표준 4 21 2 2 3 2" xfId="11925"/>
    <cellStyle name="표준 4 21 2 2 3 2 2" xfId="29066"/>
    <cellStyle name="표준 4 21 2 2 3 3" xfId="29065"/>
    <cellStyle name="표준 4 21 2 2 4" xfId="11926"/>
    <cellStyle name="표준 4 21 2 2 4 2" xfId="11927"/>
    <cellStyle name="표준 4 21 2 2 4 2 2" xfId="29068"/>
    <cellStyle name="표준 4 21 2 2 4 3" xfId="29067"/>
    <cellStyle name="표준 4 21 2 2 5" xfId="11928"/>
    <cellStyle name="표준 4 21 2 2 5 2" xfId="11929"/>
    <cellStyle name="표준 4 21 2 2 5 2 2" xfId="29070"/>
    <cellStyle name="표준 4 21 2 2 5 3" xfId="29069"/>
    <cellStyle name="표준 4 21 2 2 6" xfId="11930"/>
    <cellStyle name="표준 4 21 2 2 6 2" xfId="29071"/>
    <cellStyle name="표준 4 21 2 2 7" xfId="29062"/>
    <cellStyle name="표준 4 21 2 3" xfId="11931"/>
    <cellStyle name="표준 4 21 2 3 2" xfId="11932"/>
    <cellStyle name="표준 4 21 2 3 2 2" xfId="11933"/>
    <cellStyle name="표준 4 21 2 3 2 2 2" xfId="29074"/>
    <cellStyle name="표준 4 21 2 3 2 3" xfId="29073"/>
    <cellStyle name="표준 4 21 2 3 3" xfId="11934"/>
    <cellStyle name="표준 4 21 2 3 3 2" xfId="11935"/>
    <cellStyle name="표준 4 21 2 3 3 2 2" xfId="29076"/>
    <cellStyle name="표준 4 21 2 3 3 3" xfId="29075"/>
    <cellStyle name="표준 4 21 2 3 4" xfId="11936"/>
    <cellStyle name="표준 4 21 2 3 4 2" xfId="11937"/>
    <cellStyle name="표준 4 21 2 3 4 2 2" xfId="29078"/>
    <cellStyle name="표준 4 21 2 3 4 3" xfId="29077"/>
    <cellStyle name="표준 4 21 2 3 5" xfId="11938"/>
    <cellStyle name="표준 4 21 2 3 5 2" xfId="11939"/>
    <cellStyle name="표준 4 21 2 3 5 2 2" xfId="29080"/>
    <cellStyle name="표준 4 21 2 3 5 3" xfId="29079"/>
    <cellStyle name="표준 4 21 2 3 6" xfId="11940"/>
    <cellStyle name="표준 4 21 2 3 6 2" xfId="29081"/>
    <cellStyle name="표준 4 21 2 3 7" xfId="29072"/>
    <cellStyle name="표준 4 21 2 4" xfId="11941"/>
    <cellStyle name="표준 4 21 2 4 2" xfId="11942"/>
    <cellStyle name="표준 4 21 2 4 2 2" xfId="29083"/>
    <cellStyle name="표준 4 21 2 4 3" xfId="29082"/>
    <cellStyle name="표준 4 21 2 5" xfId="11943"/>
    <cellStyle name="표준 4 21 2 5 2" xfId="11944"/>
    <cellStyle name="표준 4 21 2 5 2 2" xfId="29085"/>
    <cellStyle name="표준 4 21 2 5 3" xfId="29084"/>
    <cellStyle name="표준 4 21 2 6" xfId="11945"/>
    <cellStyle name="표준 4 21 2 6 2" xfId="11946"/>
    <cellStyle name="표준 4 21 2 6 2 2" xfId="29087"/>
    <cellStyle name="표준 4 21 2 6 3" xfId="29086"/>
    <cellStyle name="표준 4 21 2 7" xfId="11947"/>
    <cellStyle name="표준 4 21 2 7 2" xfId="11948"/>
    <cellStyle name="표준 4 21 2 7 2 2" xfId="29089"/>
    <cellStyle name="표준 4 21 2 7 3" xfId="29088"/>
    <cellStyle name="표준 4 21 2 8" xfId="11949"/>
    <cellStyle name="표준 4 21 2 8 2" xfId="29090"/>
    <cellStyle name="표준 4 21 2 9" xfId="29061"/>
    <cellStyle name="표준 4 21 3" xfId="11950"/>
    <cellStyle name="표준 4 21 3 2" xfId="11951"/>
    <cellStyle name="표준 4 21 3 2 2" xfId="11952"/>
    <cellStyle name="표준 4 21 3 2 2 2" xfId="29093"/>
    <cellStyle name="표준 4 21 3 2 3" xfId="29092"/>
    <cellStyle name="표준 4 21 3 3" xfId="11953"/>
    <cellStyle name="표준 4 21 3 3 2" xfId="11954"/>
    <cellStyle name="표준 4 21 3 3 2 2" xfId="29095"/>
    <cellStyle name="표준 4 21 3 3 3" xfId="29094"/>
    <cellStyle name="표준 4 21 3 4" xfId="11955"/>
    <cellStyle name="표준 4 21 3 4 2" xfId="11956"/>
    <cellStyle name="표준 4 21 3 4 2 2" xfId="29097"/>
    <cellStyle name="표준 4 21 3 4 3" xfId="29096"/>
    <cellStyle name="표준 4 21 3 5" xfId="11957"/>
    <cellStyle name="표준 4 21 3 5 2" xfId="11958"/>
    <cellStyle name="표준 4 21 3 5 2 2" xfId="29099"/>
    <cellStyle name="표준 4 21 3 5 3" xfId="29098"/>
    <cellStyle name="표준 4 21 3 6" xfId="11959"/>
    <cellStyle name="표준 4 21 3 6 2" xfId="29100"/>
    <cellStyle name="표준 4 21 3 7" xfId="29091"/>
    <cellStyle name="표준 4 21 4" xfId="11960"/>
    <cellStyle name="표준 4 21 4 2" xfId="11961"/>
    <cellStyle name="표준 4 21 4 2 2" xfId="11962"/>
    <cellStyle name="표준 4 21 4 2 2 2" xfId="29103"/>
    <cellStyle name="표준 4 21 4 2 3" xfId="29102"/>
    <cellStyle name="표준 4 21 4 3" xfId="11963"/>
    <cellStyle name="표준 4 21 4 3 2" xfId="11964"/>
    <cellStyle name="표준 4 21 4 3 2 2" xfId="29105"/>
    <cellStyle name="표준 4 21 4 3 3" xfId="29104"/>
    <cellStyle name="표준 4 21 4 4" xfId="11965"/>
    <cellStyle name="표준 4 21 4 4 2" xfId="11966"/>
    <cellStyle name="표준 4 21 4 4 2 2" xfId="29107"/>
    <cellStyle name="표준 4 21 4 4 3" xfId="29106"/>
    <cellStyle name="표준 4 21 4 5" xfId="11967"/>
    <cellStyle name="표준 4 21 4 5 2" xfId="11968"/>
    <cellStyle name="표준 4 21 4 5 2 2" xfId="29109"/>
    <cellStyle name="표준 4 21 4 5 3" xfId="29108"/>
    <cellStyle name="표준 4 21 4 6" xfId="11969"/>
    <cellStyle name="표준 4 21 4 6 2" xfId="29110"/>
    <cellStyle name="표준 4 21 4 7" xfId="29101"/>
    <cellStyle name="표준 4 21 5" xfId="11970"/>
    <cellStyle name="표준 4 21 5 2" xfId="11971"/>
    <cellStyle name="표준 4 21 5 2 2" xfId="29112"/>
    <cellStyle name="표준 4 21 5 3" xfId="29111"/>
    <cellStyle name="표준 4 21 6" xfId="11972"/>
    <cellStyle name="표준 4 21 6 2" xfId="11973"/>
    <cellStyle name="표준 4 21 6 2 2" xfId="29114"/>
    <cellStyle name="표준 4 21 6 3" xfId="29113"/>
    <cellStyle name="표준 4 21 7" xfId="11974"/>
    <cellStyle name="표준 4 21 7 2" xfId="11975"/>
    <cellStyle name="표준 4 21 7 2 2" xfId="29116"/>
    <cellStyle name="표준 4 21 7 3" xfId="29115"/>
    <cellStyle name="표준 4 21 8" xfId="11976"/>
    <cellStyle name="표준 4 21 8 2" xfId="11977"/>
    <cellStyle name="표준 4 21 8 2 2" xfId="29118"/>
    <cellStyle name="표준 4 21 8 3" xfId="29117"/>
    <cellStyle name="표준 4 21 9" xfId="11978"/>
    <cellStyle name="표준 4 21 9 2" xfId="29119"/>
    <cellStyle name="표준 4 22" xfId="11979"/>
    <cellStyle name="표준 4 22 10" xfId="29120"/>
    <cellStyle name="표준 4 22 2" xfId="11980"/>
    <cellStyle name="표준 4 22 2 2" xfId="11981"/>
    <cellStyle name="표준 4 22 2 2 2" xfId="11982"/>
    <cellStyle name="표준 4 22 2 2 2 2" xfId="11983"/>
    <cellStyle name="표준 4 22 2 2 2 2 2" xfId="29124"/>
    <cellStyle name="표준 4 22 2 2 2 3" xfId="29123"/>
    <cellStyle name="표준 4 22 2 2 3" xfId="11984"/>
    <cellStyle name="표준 4 22 2 2 3 2" xfId="11985"/>
    <cellStyle name="표준 4 22 2 2 3 2 2" xfId="29126"/>
    <cellStyle name="표준 4 22 2 2 3 3" xfId="29125"/>
    <cellStyle name="표준 4 22 2 2 4" xfId="11986"/>
    <cellStyle name="표준 4 22 2 2 4 2" xfId="11987"/>
    <cellStyle name="표준 4 22 2 2 4 2 2" xfId="29128"/>
    <cellStyle name="표준 4 22 2 2 4 3" xfId="29127"/>
    <cellStyle name="표준 4 22 2 2 5" xfId="11988"/>
    <cellStyle name="표준 4 22 2 2 5 2" xfId="11989"/>
    <cellStyle name="표준 4 22 2 2 5 2 2" xfId="29130"/>
    <cellStyle name="표준 4 22 2 2 5 3" xfId="29129"/>
    <cellStyle name="표준 4 22 2 2 6" xfId="11990"/>
    <cellStyle name="표준 4 22 2 2 6 2" xfId="29131"/>
    <cellStyle name="표준 4 22 2 2 7" xfId="29122"/>
    <cellStyle name="표준 4 22 2 3" xfId="11991"/>
    <cellStyle name="표준 4 22 2 3 2" xfId="11992"/>
    <cellStyle name="표준 4 22 2 3 2 2" xfId="11993"/>
    <cellStyle name="표준 4 22 2 3 2 2 2" xfId="29134"/>
    <cellStyle name="표준 4 22 2 3 2 3" xfId="29133"/>
    <cellStyle name="표준 4 22 2 3 3" xfId="11994"/>
    <cellStyle name="표준 4 22 2 3 3 2" xfId="11995"/>
    <cellStyle name="표준 4 22 2 3 3 2 2" xfId="29136"/>
    <cellStyle name="표준 4 22 2 3 3 3" xfId="29135"/>
    <cellStyle name="표준 4 22 2 3 4" xfId="11996"/>
    <cellStyle name="표준 4 22 2 3 4 2" xfId="11997"/>
    <cellStyle name="표준 4 22 2 3 4 2 2" xfId="29138"/>
    <cellStyle name="표준 4 22 2 3 4 3" xfId="29137"/>
    <cellStyle name="표준 4 22 2 3 5" xfId="11998"/>
    <cellStyle name="표준 4 22 2 3 5 2" xfId="11999"/>
    <cellStyle name="표준 4 22 2 3 5 2 2" xfId="29140"/>
    <cellStyle name="표준 4 22 2 3 5 3" xfId="29139"/>
    <cellStyle name="표준 4 22 2 3 6" xfId="12000"/>
    <cellStyle name="표준 4 22 2 3 6 2" xfId="29141"/>
    <cellStyle name="표준 4 22 2 3 7" xfId="29132"/>
    <cellStyle name="표준 4 22 2 4" xfId="12001"/>
    <cellStyle name="표준 4 22 2 4 2" xfId="12002"/>
    <cellStyle name="표준 4 22 2 4 2 2" xfId="29143"/>
    <cellStyle name="표준 4 22 2 4 3" xfId="29142"/>
    <cellStyle name="표준 4 22 2 5" xfId="12003"/>
    <cellStyle name="표준 4 22 2 5 2" xfId="12004"/>
    <cellStyle name="표준 4 22 2 5 2 2" xfId="29145"/>
    <cellStyle name="표준 4 22 2 5 3" xfId="29144"/>
    <cellStyle name="표준 4 22 2 6" xfId="12005"/>
    <cellStyle name="표준 4 22 2 6 2" xfId="12006"/>
    <cellStyle name="표준 4 22 2 6 2 2" xfId="29147"/>
    <cellStyle name="표준 4 22 2 6 3" xfId="29146"/>
    <cellStyle name="표준 4 22 2 7" xfId="12007"/>
    <cellStyle name="표준 4 22 2 7 2" xfId="12008"/>
    <cellStyle name="표준 4 22 2 7 2 2" xfId="29149"/>
    <cellStyle name="표준 4 22 2 7 3" xfId="29148"/>
    <cellStyle name="표준 4 22 2 8" xfId="12009"/>
    <cellStyle name="표준 4 22 2 8 2" xfId="29150"/>
    <cellStyle name="표준 4 22 2 9" xfId="29121"/>
    <cellStyle name="표준 4 22 3" xfId="12010"/>
    <cellStyle name="표준 4 22 3 2" xfId="12011"/>
    <cellStyle name="표준 4 22 3 2 2" xfId="12012"/>
    <cellStyle name="표준 4 22 3 2 2 2" xfId="29153"/>
    <cellStyle name="표준 4 22 3 2 3" xfId="29152"/>
    <cellStyle name="표준 4 22 3 3" xfId="12013"/>
    <cellStyle name="표준 4 22 3 3 2" xfId="12014"/>
    <cellStyle name="표준 4 22 3 3 2 2" xfId="29155"/>
    <cellStyle name="표준 4 22 3 3 3" xfId="29154"/>
    <cellStyle name="표준 4 22 3 4" xfId="12015"/>
    <cellStyle name="표준 4 22 3 4 2" xfId="12016"/>
    <cellStyle name="표준 4 22 3 4 2 2" xfId="29157"/>
    <cellStyle name="표준 4 22 3 4 3" xfId="29156"/>
    <cellStyle name="표준 4 22 3 5" xfId="12017"/>
    <cellStyle name="표준 4 22 3 5 2" xfId="12018"/>
    <cellStyle name="표준 4 22 3 5 2 2" xfId="29159"/>
    <cellStyle name="표준 4 22 3 5 3" xfId="29158"/>
    <cellStyle name="표준 4 22 3 6" xfId="12019"/>
    <cellStyle name="표준 4 22 3 6 2" xfId="29160"/>
    <cellStyle name="표준 4 22 3 7" xfId="29151"/>
    <cellStyle name="표준 4 22 4" xfId="12020"/>
    <cellStyle name="표준 4 22 4 2" xfId="12021"/>
    <cellStyle name="표준 4 22 4 2 2" xfId="12022"/>
    <cellStyle name="표준 4 22 4 2 2 2" xfId="29163"/>
    <cellStyle name="표준 4 22 4 2 3" xfId="29162"/>
    <cellStyle name="표준 4 22 4 3" xfId="12023"/>
    <cellStyle name="표준 4 22 4 3 2" xfId="12024"/>
    <cellStyle name="표준 4 22 4 3 2 2" xfId="29165"/>
    <cellStyle name="표준 4 22 4 3 3" xfId="29164"/>
    <cellStyle name="표준 4 22 4 4" xfId="12025"/>
    <cellStyle name="표준 4 22 4 4 2" xfId="12026"/>
    <cellStyle name="표준 4 22 4 4 2 2" xfId="29167"/>
    <cellStyle name="표준 4 22 4 4 3" xfId="29166"/>
    <cellStyle name="표준 4 22 4 5" xfId="12027"/>
    <cellStyle name="표준 4 22 4 5 2" xfId="12028"/>
    <cellStyle name="표준 4 22 4 5 2 2" xfId="29169"/>
    <cellStyle name="표준 4 22 4 5 3" xfId="29168"/>
    <cellStyle name="표준 4 22 4 6" xfId="12029"/>
    <cellStyle name="표준 4 22 4 6 2" xfId="29170"/>
    <cellStyle name="표준 4 22 4 7" xfId="29161"/>
    <cellStyle name="표준 4 22 5" xfId="12030"/>
    <cellStyle name="표준 4 22 5 2" xfId="12031"/>
    <cellStyle name="표준 4 22 5 2 2" xfId="29172"/>
    <cellStyle name="표준 4 22 5 3" xfId="29171"/>
    <cellStyle name="표준 4 22 6" xfId="12032"/>
    <cellStyle name="표준 4 22 6 2" xfId="12033"/>
    <cellStyle name="표준 4 22 6 2 2" xfId="29174"/>
    <cellStyle name="표준 4 22 6 3" xfId="29173"/>
    <cellStyle name="표준 4 22 7" xfId="12034"/>
    <cellStyle name="표준 4 22 7 2" xfId="12035"/>
    <cellStyle name="표준 4 22 7 2 2" xfId="29176"/>
    <cellStyle name="표준 4 22 7 3" xfId="29175"/>
    <cellStyle name="표준 4 22 8" xfId="12036"/>
    <cellStyle name="표준 4 22 8 2" xfId="12037"/>
    <cellStyle name="표준 4 22 8 2 2" xfId="29178"/>
    <cellStyle name="표준 4 22 8 3" xfId="29177"/>
    <cellStyle name="표준 4 22 9" xfId="12038"/>
    <cellStyle name="표준 4 22 9 2" xfId="29179"/>
    <cellStyle name="표준 4 23" xfId="12039"/>
    <cellStyle name="표준 4 23 10" xfId="29180"/>
    <cellStyle name="표준 4 23 2" xfId="12040"/>
    <cellStyle name="표준 4 23 2 2" xfId="12041"/>
    <cellStyle name="표준 4 23 2 2 2" xfId="12042"/>
    <cellStyle name="표준 4 23 2 2 2 2" xfId="12043"/>
    <cellStyle name="표준 4 23 2 2 2 2 2" xfId="29184"/>
    <cellStyle name="표준 4 23 2 2 2 3" xfId="29183"/>
    <cellStyle name="표준 4 23 2 2 3" xfId="12044"/>
    <cellStyle name="표준 4 23 2 2 3 2" xfId="12045"/>
    <cellStyle name="표준 4 23 2 2 3 2 2" xfId="29186"/>
    <cellStyle name="표준 4 23 2 2 3 3" xfId="29185"/>
    <cellStyle name="표준 4 23 2 2 4" xfId="12046"/>
    <cellStyle name="표준 4 23 2 2 4 2" xfId="12047"/>
    <cellStyle name="표준 4 23 2 2 4 2 2" xfId="29188"/>
    <cellStyle name="표준 4 23 2 2 4 3" xfId="29187"/>
    <cellStyle name="표준 4 23 2 2 5" xfId="12048"/>
    <cellStyle name="표준 4 23 2 2 5 2" xfId="12049"/>
    <cellStyle name="표준 4 23 2 2 5 2 2" xfId="29190"/>
    <cellStyle name="표준 4 23 2 2 5 3" xfId="29189"/>
    <cellStyle name="표준 4 23 2 2 6" xfId="12050"/>
    <cellStyle name="표준 4 23 2 2 6 2" xfId="29191"/>
    <cellStyle name="표준 4 23 2 2 7" xfId="29182"/>
    <cellStyle name="표준 4 23 2 3" xfId="12051"/>
    <cellStyle name="표준 4 23 2 3 2" xfId="12052"/>
    <cellStyle name="표준 4 23 2 3 2 2" xfId="12053"/>
    <cellStyle name="표준 4 23 2 3 2 2 2" xfId="29194"/>
    <cellStyle name="표준 4 23 2 3 2 3" xfId="29193"/>
    <cellStyle name="표준 4 23 2 3 3" xfId="12054"/>
    <cellStyle name="표준 4 23 2 3 3 2" xfId="12055"/>
    <cellStyle name="표준 4 23 2 3 3 2 2" xfId="29196"/>
    <cellStyle name="표준 4 23 2 3 3 3" xfId="29195"/>
    <cellStyle name="표준 4 23 2 3 4" xfId="12056"/>
    <cellStyle name="표준 4 23 2 3 4 2" xfId="12057"/>
    <cellStyle name="표준 4 23 2 3 4 2 2" xfId="29198"/>
    <cellStyle name="표준 4 23 2 3 4 3" xfId="29197"/>
    <cellStyle name="표준 4 23 2 3 5" xfId="12058"/>
    <cellStyle name="표준 4 23 2 3 5 2" xfId="12059"/>
    <cellStyle name="표준 4 23 2 3 5 2 2" xfId="29200"/>
    <cellStyle name="표준 4 23 2 3 5 3" xfId="29199"/>
    <cellStyle name="표준 4 23 2 3 6" xfId="12060"/>
    <cellStyle name="표준 4 23 2 3 6 2" xfId="29201"/>
    <cellStyle name="표준 4 23 2 3 7" xfId="29192"/>
    <cellStyle name="표준 4 23 2 4" xfId="12061"/>
    <cellStyle name="표준 4 23 2 4 2" xfId="12062"/>
    <cellStyle name="표준 4 23 2 4 2 2" xfId="29203"/>
    <cellStyle name="표준 4 23 2 4 3" xfId="29202"/>
    <cellStyle name="표준 4 23 2 5" xfId="12063"/>
    <cellStyle name="표준 4 23 2 5 2" xfId="12064"/>
    <cellStyle name="표준 4 23 2 5 2 2" xfId="29205"/>
    <cellStyle name="표준 4 23 2 5 3" xfId="29204"/>
    <cellStyle name="표준 4 23 2 6" xfId="12065"/>
    <cellStyle name="표준 4 23 2 6 2" xfId="12066"/>
    <cellStyle name="표준 4 23 2 6 2 2" xfId="29207"/>
    <cellStyle name="표준 4 23 2 6 3" xfId="29206"/>
    <cellStyle name="표준 4 23 2 7" xfId="12067"/>
    <cellStyle name="표준 4 23 2 7 2" xfId="12068"/>
    <cellStyle name="표준 4 23 2 7 2 2" xfId="29209"/>
    <cellStyle name="표준 4 23 2 7 3" xfId="29208"/>
    <cellStyle name="표준 4 23 2 8" xfId="12069"/>
    <cellStyle name="표준 4 23 2 8 2" xfId="29210"/>
    <cellStyle name="표준 4 23 2 9" xfId="29181"/>
    <cellStyle name="표준 4 23 3" xfId="12070"/>
    <cellStyle name="표준 4 23 3 2" xfId="12071"/>
    <cellStyle name="표준 4 23 3 2 2" xfId="12072"/>
    <cellStyle name="표준 4 23 3 2 2 2" xfId="29213"/>
    <cellStyle name="표준 4 23 3 2 3" xfId="29212"/>
    <cellStyle name="표준 4 23 3 3" xfId="12073"/>
    <cellStyle name="표준 4 23 3 3 2" xfId="12074"/>
    <cellStyle name="표준 4 23 3 3 2 2" xfId="29215"/>
    <cellStyle name="표준 4 23 3 3 3" xfId="29214"/>
    <cellStyle name="표준 4 23 3 4" xfId="12075"/>
    <cellStyle name="표준 4 23 3 4 2" xfId="12076"/>
    <cellStyle name="표준 4 23 3 4 2 2" xfId="29217"/>
    <cellStyle name="표준 4 23 3 4 3" xfId="29216"/>
    <cellStyle name="표준 4 23 3 5" xfId="12077"/>
    <cellStyle name="표준 4 23 3 5 2" xfId="12078"/>
    <cellStyle name="표준 4 23 3 5 2 2" xfId="29219"/>
    <cellStyle name="표준 4 23 3 5 3" xfId="29218"/>
    <cellStyle name="표준 4 23 3 6" xfId="12079"/>
    <cellStyle name="표준 4 23 3 6 2" xfId="29220"/>
    <cellStyle name="표준 4 23 3 7" xfId="29211"/>
    <cellStyle name="표준 4 23 4" xfId="12080"/>
    <cellStyle name="표준 4 23 4 2" xfId="12081"/>
    <cellStyle name="표준 4 23 4 2 2" xfId="12082"/>
    <cellStyle name="표준 4 23 4 2 2 2" xfId="29223"/>
    <cellStyle name="표준 4 23 4 2 3" xfId="29222"/>
    <cellStyle name="표준 4 23 4 3" xfId="12083"/>
    <cellStyle name="표준 4 23 4 3 2" xfId="12084"/>
    <cellStyle name="표준 4 23 4 3 2 2" xfId="29225"/>
    <cellStyle name="표준 4 23 4 3 3" xfId="29224"/>
    <cellStyle name="표준 4 23 4 4" xfId="12085"/>
    <cellStyle name="표준 4 23 4 4 2" xfId="12086"/>
    <cellStyle name="표준 4 23 4 4 2 2" xfId="29227"/>
    <cellStyle name="표준 4 23 4 4 3" xfId="29226"/>
    <cellStyle name="표준 4 23 4 5" xfId="12087"/>
    <cellStyle name="표준 4 23 4 5 2" xfId="12088"/>
    <cellStyle name="표준 4 23 4 5 2 2" xfId="29229"/>
    <cellStyle name="표준 4 23 4 5 3" xfId="29228"/>
    <cellStyle name="표준 4 23 4 6" xfId="12089"/>
    <cellStyle name="표준 4 23 4 6 2" xfId="29230"/>
    <cellStyle name="표준 4 23 4 7" xfId="29221"/>
    <cellStyle name="표준 4 23 5" xfId="12090"/>
    <cellStyle name="표준 4 23 5 2" xfId="12091"/>
    <cellStyle name="표준 4 23 5 2 2" xfId="29232"/>
    <cellStyle name="표준 4 23 5 3" xfId="29231"/>
    <cellStyle name="표준 4 23 6" xfId="12092"/>
    <cellStyle name="표준 4 23 6 2" xfId="12093"/>
    <cellStyle name="표준 4 23 6 2 2" xfId="29234"/>
    <cellStyle name="표준 4 23 6 3" xfId="29233"/>
    <cellStyle name="표준 4 23 7" xfId="12094"/>
    <cellStyle name="표준 4 23 7 2" xfId="12095"/>
    <cellStyle name="표준 4 23 7 2 2" xfId="29236"/>
    <cellStyle name="표준 4 23 7 3" xfId="29235"/>
    <cellStyle name="표준 4 23 8" xfId="12096"/>
    <cellStyle name="표준 4 23 8 2" xfId="12097"/>
    <cellStyle name="표준 4 23 8 2 2" xfId="29238"/>
    <cellStyle name="표준 4 23 8 3" xfId="29237"/>
    <cellStyle name="표준 4 23 9" xfId="12098"/>
    <cellStyle name="표준 4 23 9 2" xfId="29239"/>
    <cellStyle name="표준 4 24" xfId="12099"/>
    <cellStyle name="표준 4 24 2" xfId="12100"/>
    <cellStyle name="표준 4 24 2 2" xfId="12101"/>
    <cellStyle name="표준 4 24 2 2 2" xfId="12102"/>
    <cellStyle name="표준 4 24 2 2 2 2" xfId="29243"/>
    <cellStyle name="표준 4 24 2 2 3" xfId="29242"/>
    <cellStyle name="표준 4 24 2 3" xfId="12103"/>
    <cellStyle name="표준 4 24 2 3 2" xfId="12104"/>
    <cellStyle name="표준 4 24 2 3 2 2" xfId="29245"/>
    <cellStyle name="표준 4 24 2 3 3" xfId="29244"/>
    <cellStyle name="표준 4 24 2 4" xfId="12105"/>
    <cellStyle name="표준 4 24 2 4 2" xfId="12106"/>
    <cellStyle name="표준 4 24 2 4 2 2" xfId="29247"/>
    <cellStyle name="표준 4 24 2 4 3" xfId="29246"/>
    <cellStyle name="표준 4 24 2 5" xfId="12107"/>
    <cellStyle name="표준 4 24 2 5 2" xfId="12108"/>
    <cellStyle name="표준 4 24 2 5 2 2" xfId="29249"/>
    <cellStyle name="표준 4 24 2 5 3" xfId="29248"/>
    <cellStyle name="표준 4 24 2 6" xfId="12109"/>
    <cellStyle name="표준 4 24 2 6 2" xfId="29250"/>
    <cellStyle name="표준 4 24 2 7" xfId="29241"/>
    <cellStyle name="표준 4 24 3" xfId="12110"/>
    <cellStyle name="표준 4 24 3 2" xfId="12111"/>
    <cellStyle name="표준 4 24 3 2 2" xfId="12112"/>
    <cellStyle name="표준 4 24 3 2 2 2" xfId="29253"/>
    <cellStyle name="표준 4 24 3 2 3" xfId="29252"/>
    <cellStyle name="표준 4 24 3 3" xfId="12113"/>
    <cellStyle name="표준 4 24 3 3 2" xfId="12114"/>
    <cellStyle name="표준 4 24 3 3 2 2" xfId="29255"/>
    <cellStyle name="표준 4 24 3 3 3" xfId="29254"/>
    <cellStyle name="표준 4 24 3 4" xfId="12115"/>
    <cellStyle name="표준 4 24 3 4 2" xfId="12116"/>
    <cellStyle name="표준 4 24 3 4 2 2" xfId="29257"/>
    <cellStyle name="표준 4 24 3 4 3" xfId="29256"/>
    <cellStyle name="표준 4 24 3 5" xfId="12117"/>
    <cellStyle name="표준 4 24 3 5 2" xfId="12118"/>
    <cellStyle name="표준 4 24 3 5 2 2" xfId="29259"/>
    <cellStyle name="표준 4 24 3 5 3" xfId="29258"/>
    <cellStyle name="표준 4 24 3 6" xfId="12119"/>
    <cellStyle name="표준 4 24 3 6 2" xfId="29260"/>
    <cellStyle name="표준 4 24 3 7" xfId="29251"/>
    <cellStyle name="표준 4 24 4" xfId="12120"/>
    <cellStyle name="표준 4 24 4 2" xfId="12121"/>
    <cellStyle name="표준 4 24 4 2 2" xfId="29262"/>
    <cellStyle name="표준 4 24 4 3" xfId="29261"/>
    <cellStyle name="표준 4 24 5" xfId="12122"/>
    <cellStyle name="표준 4 24 5 2" xfId="12123"/>
    <cellStyle name="표준 4 24 5 2 2" xfId="29264"/>
    <cellStyle name="표준 4 24 5 3" xfId="29263"/>
    <cellStyle name="표준 4 24 6" xfId="12124"/>
    <cellStyle name="표준 4 24 6 2" xfId="12125"/>
    <cellStyle name="표준 4 24 6 2 2" xfId="29266"/>
    <cellStyle name="표준 4 24 6 3" xfId="29265"/>
    <cellStyle name="표준 4 24 7" xfId="12126"/>
    <cellStyle name="표준 4 24 7 2" xfId="12127"/>
    <cellStyle name="표준 4 24 7 2 2" xfId="29268"/>
    <cellStyle name="표준 4 24 7 3" xfId="29267"/>
    <cellStyle name="표준 4 24 8" xfId="12128"/>
    <cellStyle name="표준 4 24 8 2" xfId="29269"/>
    <cellStyle name="표준 4 24 9" xfId="29240"/>
    <cellStyle name="표준 4 25" xfId="12129"/>
    <cellStyle name="표준 4 25 2" xfId="12130"/>
    <cellStyle name="표준 4 25 2 2" xfId="12131"/>
    <cellStyle name="표준 4 25 2 2 2" xfId="29272"/>
    <cellStyle name="표준 4 25 2 3" xfId="29271"/>
    <cellStyle name="표준 4 25 3" xfId="12132"/>
    <cellStyle name="표준 4 25 3 2" xfId="12133"/>
    <cellStyle name="표준 4 25 3 2 2" xfId="29274"/>
    <cellStyle name="표준 4 25 3 3" xfId="29273"/>
    <cellStyle name="표준 4 25 4" xfId="12134"/>
    <cellStyle name="표준 4 25 4 2" xfId="12135"/>
    <cellStyle name="표준 4 25 4 2 2" xfId="29276"/>
    <cellStyle name="표준 4 25 4 3" xfId="29275"/>
    <cellStyle name="표준 4 25 5" xfId="12136"/>
    <cellStyle name="표준 4 25 5 2" xfId="12137"/>
    <cellStyle name="표준 4 25 5 2 2" xfId="29278"/>
    <cellStyle name="표준 4 25 5 3" xfId="29277"/>
    <cellStyle name="표준 4 25 6" xfId="12138"/>
    <cellStyle name="표준 4 25 6 2" xfId="29279"/>
    <cellStyle name="표준 4 25 7" xfId="29270"/>
    <cellStyle name="표준 4 26" xfId="12139"/>
    <cellStyle name="표준 4 26 2" xfId="12140"/>
    <cellStyle name="표준 4 26 2 2" xfId="12141"/>
    <cellStyle name="표준 4 26 2 2 2" xfId="29282"/>
    <cellStyle name="표준 4 26 2 3" xfId="29281"/>
    <cellStyle name="표준 4 26 3" xfId="12142"/>
    <cellStyle name="표준 4 26 3 2" xfId="12143"/>
    <cellStyle name="표준 4 26 3 2 2" xfId="29284"/>
    <cellStyle name="표준 4 26 3 3" xfId="29283"/>
    <cellStyle name="표준 4 26 4" xfId="12144"/>
    <cellStyle name="표준 4 26 4 2" xfId="12145"/>
    <cellStyle name="표준 4 26 4 2 2" xfId="29286"/>
    <cellStyle name="표준 4 26 4 3" xfId="29285"/>
    <cellStyle name="표준 4 26 5" xfId="12146"/>
    <cellStyle name="표준 4 26 5 2" xfId="12147"/>
    <cellStyle name="표준 4 26 5 2 2" xfId="29288"/>
    <cellStyle name="표준 4 26 5 3" xfId="29287"/>
    <cellStyle name="표준 4 26 6" xfId="12148"/>
    <cellStyle name="표준 4 26 6 2" xfId="29289"/>
    <cellStyle name="표준 4 26 7" xfId="29280"/>
    <cellStyle name="표준 4 27" xfId="12149"/>
    <cellStyle name="표준 4 27 2" xfId="12150"/>
    <cellStyle name="표준 4 27 2 2" xfId="29291"/>
    <cellStyle name="표준 4 27 3" xfId="29290"/>
    <cellStyle name="표준 4 28" xfId="12151"/>
    <cellStyle name="표준 4 28 2" xfId="12152"/>
    <cellStyle name="표준 4 28 2 2" xfId="29293"/>
    <cellStyle name="표준 4 28 3" xfId="29292"/>
    <cellStyle name="표준 4 29" xfId="12153"/>
    <cellStyle name="표준 4 29 2" xfId="12154"/>
    <cellStyle name="표준 4 29 2 2" xfId="29295"/>
    <cellStyle name="표준 4 29 3" xfId="29294"/>
    <cellStyle name="표준 4 3" xfId="12155"/>
    <cellStyle name="표준 4 3 10" xfId="29296"/>
    <cellStyle name="표준 4 3 11" xfId="35850"/>
    <cellStyle name="표준 4 3 2" xfId="12156"/>
    <cellStyle name="표준 4 3 2 2" xfId="12157"/>
    <cellStyle name="표준 4 3 2 2 2" xfId="12158"/>
    <cellStyle name="표준 4 3 2 2 2 2" xfId="12159"/>
    <cellStyle name="표준 4 3 2 2 2 2 2" xfId="29300"/>
    <cellStyle name="표준 4 3 2 2 2 3" xfId="29299"/>
    <cellStyle name="표준 4 3 2 2 3" xfId="12160"/>
    <cellStyle name="표준 4 3 2 2 3 2" xfId="12161"/>
    <cellStyle name="표준 4 3 2 2 3 2 2" xfId="29302"/>
    <cellStyle name="표준 4 3 2 2 3 3" xfId="29301"/>
    <cellStyle name="표준 4 3 2 2 4" xfId="12162"/>
    <cellStyle name="표준 4 3 2 2 4 2" xfId="12163"/>
    <cellStyle name="표준 4 3 2 2 4 2 2" xfId="29304"/>
    <cellStyle name="표준 4 3 2 2 4 3" xfId="29303"/>
    <cellStyle name="표준 4 3 2 2 5" xfId="12164"/>
    <cellStyle name="표준 4 3 2 2 5 2" xfId="12165"/>
    <cellStyle name="표준 4 3 2 2 5 2 2" xfId="29306"/>
    <cellStyle name="표준 4 3 2 2 5 3" xfId="29305"/>
    <cellStyle name="표준 4 3 2 2 6" xfId="12166"/>
    <cellStyle name="표준 4 3 2 2 6 2" xfId="29307"/>
    <cellStyle name="표준 4 3 2 2 7" xfId="29298"/>
    <cellStyle name="표준 4 3 2 3" xfId="12167"/>
    <cellStyle name="표준 4 3 2 3 2" xfId="12168"/>
    <cellStyle name="표준 4 3 2 3 2 2" xfId="12169"/>
    <cellStyle name="표준 4 3 2 3 2 2 2" xfId="29310"/>
    <cellStyle name="표준 4 3 2 3 2 3" xfId="29309"/>
    <cellStyle name="표준 4 3 2 3 3" xfId="12170"/>
    <cellStyle name="표준 4 3 2 3 3 2" xfId="12171"/>
    <cellStyle name="표준 4 3 2 3 3 2 2" xfId="29312"/>
    <cellStyle name="표준 4 3 2 3 3 3" xfId="29311"/>
    <cellStyle name="표준 4 3 2 3 4" xfId="12172"/>
    <cellStyle name="표준 4 3 2 3 4 2" xfId="12173"/>
    <cellStyle name="표준 4 3 2 3 4 2 2" xfId="29314"/>
    <cellStyle name="표준 4 3 2 3 4 3" xfId="29313"/>
    <cellStyle name="표준 4 3 2 3 5" xfId="12174"/>
    <cellStyle name="표준 4 3 2 3 5 2" xfId="12175"/>
    <cellStyle name="표준 4 3 2 3 5 2 2" xfId="29316"/>
    <cellStyle name="표준 4 3 2 3 5 3" xfId="29315"/>
    <cellStyle name="표준 4 3 2 3 6" xfId="12176"/>
    <cellStyle name="표준 4 3 2 3 6 2" xfId="29317"/>
    <cellStyle name="표준 4 3 2 3 7" xfId="29308"/>
    <cellStyle name="표준 4 3 2 4" xfId="12177"/>
    <cellStyle name="표준 4 3 2 4 2" xfId="12178"/>
    <cellStyle name="표준 4 3 2 4 2 2" xfId="29319"/>
    <cellStyle name="표준 4 3 2 4 3" xfId="29318"/>
    <cellStyle name="표준 4 3 2 5" xfId="12179"/>
    <cellStyle name="표준 4 3 2 5 2" xfId="12180"/>
    <cellStyle name="표준 4 3 2 5 2 2" xfId="29321"/>
    <cellStyle name="표준 4 3 2 5 3" xfId="29320"/>
    <cellStyle name="표준 4 3 2 6" xfId="12181"/>
    <cellStyle name="표준 4 3 2 6 2" xfId="12182"/>
    <cellStyle name="표준 4 3 2 6 2 2" xfId="29323"/>
    <cellStyle name="표준 4 3 2 6 3" xfId="29322"/>
    <cellStyle name="표준 4 3 2 7" xfId="12183"/>
    <cellStyle name="표준 4 3 2 7 2" xfId="12184"/>
    <cellStyle name="표준 4 3 2 7 2 2" xfId="29325"/>
    <cellStyle name="표준 4 3 2 7 3" xfId="29324"/>
    <cellStyle name="표준 4 3 2 8" xfId="12185"/>
    <cellStyle name="표준 4 3 2 8 2" xfId="29326"/>
    <cellStyle name="표준 4 3 2 9" xfId="29297"/>
    <cellStyle name="표준 4 3 3" xfId="12186"/>
    <cellStyle name="표준 4 3 3 2" xfId="12187"/>
    <cellStyle name="표준 4 3 3 2 2" xfId="12188"/>
    <cellStyle name="표준 4 3 3 2 2 2" xfId="29329"/>
    <cellStyle name="표준 4 3 3 2 3" xfId="29328"/>
    <cellStyle name="표준 4 3 3 3" xfId="12189"/>
    <cellStyle name="표준 4 3 3 3 2" xfId="12190"/>
    <cellStyle name="표준 4 3 3 3 2 2" xfId="29331"/>
    <cellStyle name="표준 4 3 3 3 3" xfId="29330"/>
    <cellStyle name="표준 4 3 3 4" xfId="12191"/>
    <cellStyle name="표준 4 3 3 4 2" xfId="12192"/>
    <cellStyle name="표준 4 3 3 4 2 2" xfId="29333"/>
    <cellStyle name="표준 4 3 3 4 3" xfId="29332"/>
    <cellStyle name="표준 4 3 3 5" xfId="12193"/>
    <cellStyle name="표준 4 3 3 5 2" xfId="12194"/>
    <cellStyle name="표준 4 3 3 5 2 2" xfId="29335"/>
    <cellStyle name="표준 4 3 3 5 3" xfId="29334"/>
    <cellStyle name="표준 4 3 3 6" xfId="12195"/>
    <cellStyle name="표준 4 3 3 6 2" xfId="29336"/>
    <cellStyle name="표준 4 3 3 7" xfId="29327"/>
    <cellStyle name="표준 4 3 4" xfId="12196"/>
    <cellStyle name="표준 4 3 4 2" xfId="12197"/>
    <cellStyle name="표준 4 3 4 2 2" xfId="12198"/>
    <cellStyle name="표준 4 3 4 2 2 2" xfId="29339"/>
    <cellStyle name="표준 4 3 4 2 3" xfId="29338"/>
    <cellStyle name="표준 4 3 4 3" xfId="12199"/>
    <cellStyle name="표준 4 3 4 3 2" xfId="12200"/>
    <cellStyle name="표준 4 3 4 3 2 2" xfId="29341"/>
    <cellStyle name="표준 4 3 4 3 3" xfId="29340"/>
    <cellStyle name="표준 4 3 4 4" xfId="12201"/>
    <cellStyle name="표준 4 3 4 4 2" xfId="12202"/>
    <cellStyle name="표준 4 3 4 4 2 2" xfId="29343"/>
    <cellStyle name="표준 4 3 4 4 3" xfId="29342"/>
    <cellStyle name="표준 4 3 4 5" xfId="12203"/>
    <cellStyle name="표준 4 3 4 5 2" xfId="12204"/>
    <cellStyle name="표준 4 3 4 5 2 2" xfId="29345"/>
    <cellStyle name="표준 4 3 4 5 3" xfId="29344"/>
    <cellStyle name="표준 4 3 4 6" xfId="12205"/>
    <cellStyle name="표준 4 3 4 6 2" xfId="29346"/>
    <cellStyle name="표준 4 3 4 7" xfId="29337"/>
    <cellStyle name="표준 4 3 5" xfId="12206"/>
    <cellStyle name="표준 4 3 5 2" xfId="12207"/>
    <cellStyle name="표준 4 3 5 2 2" xfId="29348"/>
    <cellStyle name="표준 4 3 5 3" xfId="29347"/>
    <cellStyle name="표준 4 3 6" xfId="12208"/>
    <cellStyle name="표준 4 3 6 2" xfId="12209"/>
    <cellStyle name="표준 4 3 6 2 2" xfId="29350"/>
    <cellStyle name="표준 4 3 6 3" xfId="29349"/>
    <cellStyle name="표준 4 3 7" xfId="12210"/>
    <cellStyle name="표준 4 3 7 2" xfId="12211"/>
    <cellStyle name="표준 4 3 7 2 2" xfId="29352"/>
    <cellStyle name="표준 4 3 7 3" xfId="29351"/>
    <cellStyle name="표준 4 3 8" xfId="12212"/>
    <cellStyle name="표준 4 3 8 2" xfId="12213"/>
    <cellStyle name="표준 4 3 8 2 2" xfId="29354"/>
    <cellStyle name="표준 4 3 8 3" xfId="29353"/>
    <cellStyle name="표준 4 3 9" xfId="12214"/>
    <cellStyle name="표준 4 3 9 2" xfId="29355"/>
    <cellStyle name="표준 4 30" xfId="12215"/>
    <cellStyle name="표준 4 30 2" xfId="12216"/>
    <cellStyle name="표준 4 30 2 2" xfId="29357"/>
    <cellStyle name="표준 4 30 3" xfId="29356"/>
    <cellStyle name="표준 4 31" xfId="12217"/>
    <cellStyle name="표준 4 31 2" xfId="29358"/>
    <cellStyle name="표준 4 32" xfId="12218"/>
    <cellStyle name="표준 4 32 2" xfId="29359"/>
    <cellStyle name="표준 4 33" xfId="17290"/>
    <cellStyle name="표준 4 34" xfId="34932"/>
    <cellStyle name="표준 4 4" xfId="12219"/>
    <cellStyle name="표준 4 4 10" xfId="29360"/>
    <cellStyle name="표준 4 4 11" xfId="35851"/>
    <cellStyle name="표준 4 4 2" xfId="12220"/>
    <cellStyle name="표준 4 4 2 2" xfId="12221"/>
    <cellStyle name="표준 4 4 2 2 2" xfId="12222"/>
    <cellStyle name="표준 4 4 2 2 2 2" xfId="12223"/>
    <cellStyle name="표준 4 4 2 2 2 2 2" xfId="29364"/>
    <cellStyle name="표준 4 4 2 2 2 3" xfId="29363"/>
    <cellStyle name="표준 4 4 2 2 3" xfId="12224"/>
    <cellStyle name="표준 4 4 2 2 3 2" xfId="12225"/>
    <cellStyle name="표준 4 4 2 2 3 2 2" xfId="29366"/>
    <cellStyle name="표준 4 4 2 2 3 3" xfId="29365"/>
    <cellStyle name="표준 4 4 2 2 4" xfId="12226"/>
    <cellStyle name="표준 4 4 2 2 4 2" xfId="12227"/>
    <cellStyle name="표준 4 4 2 2 4 2 2" xfId="29368"/>
    <cellStyle name="표준 4 4 2 2 4 3" xfId="29367"/>
    <cellStyle name="표준 4 4 2 2 5" xfId="12228"/>
    <cellStyle name="표준 4 4 2 2 5 2" xfId="12229"/>
    <cellStyle name="표준 4 4 2 2 5 2 2" xfId="29370"/>
    <cellStyle name="표준 4 4 2 2 5 3" xfId="29369"/>
    <cellStyle name="표준 4 4 2 2 6" xfId="12230"/>
    <cellStyle name="표준 4 4 2 2 6 2" xfId="29371"/>
    <cellStyle name="표준 4 4 2 2 7" xfId="29362"/>
    <cellStyle name="표준 4 4 2 3" xfId="12231"/>
    <cellStyle name="표준 4 4 2 3 2" xfId="12232"/>
    <cellStyle name="표준 4 4 2 3 2 2" xfId="12233"/>
    <cellStyle name="표준 4 4 2 3 2 2 2" xfId="29374"/>
    <cellStyle name="표준 4 4 2 3 2 3" xfId="29373"/>
    <cellStyle name="표준 4 4 2 3 3" xfId="12234"/>
    <cellStyle name="표준 4 4 2 3 3 2" xfId="12235"/>
    <cellStyle name="표준 4 4 2 3 3 2 2" xfId="29376"/>
    <cellStyle name="표준 4 4 2 3 3 3" xfId="29375"/>
    <cellStyle name="표준 4 4 2 3 4" xfId="12236"/>
    <cellStyle name="표준 4 4 2 3 4 2" xfId="12237"/>
    <cellStyle name="표준 4 4 2 3 4 2 2" xfId="29378"/>
    <cellStyle name="표준 4 4 2 3 4 3" xfId="29377"/>
    <cellStyle name="표준 4 4 2 3 5" xfId="12238"/>
    <cellStyle name="표준 4 4 2 3 5 2" xfId="12239"/>
    <cellStyle name="표준 4 4 2 3 5 2 2" xfId="29380"/>
    <cellStyle name="표준 4 4 2 3 5 3" xfId="29379"/>
    <cellStyle name="표준 4 4 2 3 6" xfId="12240"/>
    <cellStyle name="표준 4 4 2 3 6 2" xfId="29381"/>
    <cellStyle name="표준 4 4 2 3 7" xfId="29372"/>
    <cellStyle name="표준 4 4 2 4" xfId="12241"/>
    <cellStyle name="표준 4 4 2 4 2" xfId="12242"/>
    <cellStyle name="표준 4 4 2 4 2 2" xfId="29383"/>
    <cellStyle name="표준 4 4 2 4 3" xfId="29382"/>
    <cellStyle name="표준 4 4 2 5" xfId="12243"/>
    <cellStyle name="표준 4 4 2 5 2" xfId="12244"/>
    <cellStyle name="표준 4 4 2 5 2 2" xfId="29385"/>
    <cellStyle name="표준 4 4 2 5 3" xfId="29384"/>
    <cellStyle name="표준 4 4 2 6" xfId="12245"/>
    <cellStyle name="표준 4 4 2 6 2" xfId="12246"/>
    <cellStyle name="표준 4 4 2 6 2 2" xfId="29387"/>
    <cellStyle name="표준 4 4 2 6 3" xfId="29386"/>
    <cellStyle name="표준 4 4 2 7" xfId="12247"/>
    <cellStyle name="표준 4 4 2 7 2" xfId="12248"/>
    <cellStyle name="표준 4 4 2 7 2 2" xfId="29389"/>
    <cellStyle name="표준 4 4 2 7 3" xfId="29388"/>
    <cellStyle name="표준 4 4 2 8" xfId="12249"/>
    <cellStyle name="표준 4 4 2 8 2" xfId="29390"/>
    <cellStyle name="표준 4 4 2 9" xfId="29361"/>
    <cellStyle name="표준 4 4 3" xfId="12250"/>
    <cellStyle name="표준 4 4 3 2" xfId="12251"/>
    <cellStyle name="표준 4 4 3 2 2" xfId="12252"/>
    <cellStyle name="표준 4 4 3 2 2 2" xfId="29393"/>
    <cellStyle name="표준 4 4 3 2 3" xfId="29392"/>
    <cellStyle name="표준 4 4 3 3" xfId="12253"/>
    <cellStyle name="표준 4 4 3 3 2" xfId="12254"/>
    <cellStyle name="표준 4 4 3 3 2 2" xfId="29395"/>
    <cellStyle name="표준 4 4 3 3 3" xfId="29394"/>
    <cellStyle name="표준 4 4 3 4" xfId="12255"/>
    <cellStyle name="표준 4 4 3 4 2" xfId="12256"/>
    <cellStyle name="표준 4 4 3 4 2 2" xfId="29397"/>
    <cellStyle name="표준 4 4 3 4 3" xfId="29396"/>
    <cellStyle name="표준 4 4 3 5" xfId="12257"/>
    <cellStyle name="표준 4 4 3 5 2" xfId="12258"/>
    <cellStyle name="표준 4 4 3 5 2 2" xfId="29399"/>
    <cellStyle name="표준 4 4 3 5 3" xfId="29398"/>
    <cellStyle name="표준 4 4 3 6" xfId="12259"/>
    <cellStyle name="표준 4 4 3 6 2" xfId="29400"/>
    <cellStyle name="표준 4 4 3 7" xfId="29391"/>
    <cellStyle name="표준 4 4 4" xfId="12260"/>
    <cellStyle name="표준 4 4 4 2" xfId="12261"/>
    <cellStyle name="표준 4 4 4 2 2" xfId="12262"/>
    <cellStyle name="표준 4 4 4 2 2 2" xfId="29403"/>
    <cellStyle name="표준 4 4 4 2 3" xfId="29402"/>
    <cellStyle name="표준 4 4 4 3" xfId="12263"/>
    <cellStyle name="표준 4 4 4 3 2" xfId="12264"/>
    <cellStyle name="표준 4 4 4 3 2 2" xfId="29405"/>
    <cellStyle name="표준 4 4 4 3 3" xfId="29404"/>
    <cellStyle name="표준 4 4 4 4" xfId="12265"/>
    <cellStyle name="표준 4 4 4 4 2" xfId="12266"/>
    <cellStyle name="표준 4 4 4 4 2 2" xfId="29407"/>
    <cellStyle name="표준 4 4 4 4 3" xfId="29406"/>
    <cellStyle name="표준 4 4 4 5" xfId="12267"/>
    <cellStyle name="표준 4 4 4 5 2" xfId="12268"/>
    <cellStyle name="표준 4 4 4 5 2 2" xfId="29409"/>
    <cellStyle name="표준 4 4 4 5 3" xfId="29408"/>
    <cellStyle name="표준 4 4 4 6" xfId="12269"/>
    <cellStyle name="표준 4 4 4 6 2" xfId="29410"/>
    <cellStyle name="표준 4 4 4 7" xfId="29401"/>
    <cellStyle name="표준 4 4 5" xfId="12270"/>
    <cellStyle name="표준 4 4 5 2" xfId="12271"/>
    <cellStyle name="표준 4 4 5 2 2" xfId="29412"/>
    <cellStyle name="표준 4 4 5 3" xfId="29411"/>
    <cellStyle name="표준 4 4 6" xfId="12272"/>
    <cellStyle name="표준 4 4 6 2" xfId="12273"/>
    <cellStyle name="표준 4 4 6 2 2" xfId="29414"/>
    <cellStyle name="표준 4 4 6 3" xfId="29413"/>
    <cellStyle name="표준 4 4 7" xfId="12274"/>
    <cellStyle name="표준 4 4 7 2" xfId="12275"/>
    <cellStyle name="표준 4 4 7 2 2" xfId="29416"/>
    <cellStyle name="표준 4 4 7 3" xfId="29415"/>
    <cellStyle name="표준 4 4 8" xfId="12276"/>
    <cellStyle name="표준 4 4 8 2" xfId="12277"/>
    <cellStyle name="표준 4 4 8 2 2" xfId="29418"/>
    <cellStyle name="표준 4 4 8 3" xfId="29417"/>
    <cellStyle name="표준 4 4 9" xfId="12278"/>
    <cellStyle name="표준 4 4 9 2" xfId="29419"/>
    <cellStyle name="표준 4 5" xfId="12279"/>
    <cellStyle name="표준 4 5 10" xfId="29420"/>
    <cellStyle name="표준 4 5 11" xfId="35852"/>
    <cellStyle name="표준 4 5 2" xfId="12280"/>
    <cellStyle name="표준 4 5 2 2" xfId="12281"/>
    <cellStyle name="표준 4 5 2 2 2" xfId="12282"/>
    <cellStyle name="표준 4 5 2 2 2 2" xfId="12283"/>
    <cellStyle name="표준 4 5 2 2 2 2 2" xfId="29424"/>
    <cellStyle name="표준 4 5 2 2 2 3" xfId="29423"/>
    <cellStyle name="표준 4 5 2 2 3" xfId="12284"/>
    <cellStyle name="표준 4 5 2 2 3 2" xfId="12285"/>
    <cellStyle name="표준 4 5 2 2 3 2 2" xfId="29426"/>
    <cellStyle name="표준 4 5 2 2 3 3" xfId="29425"/>
    <cellStyle name="표준 4 5 2 2 4" xfId="12286"/>
    <cellStyle name="표준 4 5 2 2 4 2" xfId="12287"/>
    <cellStyle name="표준 4 5 2 2 4 2 2" xfId="29428"/>
    <cellStyle name="표준 4 5 2 2 4 3" xfId="29427"/>
    <cellStyle name="표준 4 5 2 2 5" xfId="12288"/>
    <cellStyle name="표준 4 5 2 2 5 2" xfId="12289"/>
    <cellStyle name="표준 4 5 2 2 5 2 2" xfId="29430"/>
    <cellStyle name="표준 4 5 2 2 5 3" xfId="29429"/>
    <cellStyle name="표준 4 5 2 2 6" xfId="12290"/>
    <cellStyle name="표준 4 5 2 2 6 2" xfId="29431"/>
    <cellStyle name="표준 4 5 2 2 7" xfId="29422"/>
    <cellStyle name="표준 4 5 2 3" xfId="12291"/>
    <cellStyle name="표준 4 5 2 3 2" xfId="12292"/>
    <cellStyle name="표준 4 5 2 3 2 2" xfId="12293"/>
    <cellStyle name="표준 4 5 2 3 2 2 2" xfId="29434"/>
    <cellStyle name="표준 4 5 2 3 2 3" xfId="29433"/>
    <cellStyle name="표준 4 5 2 3 3" xfId="12294"/>
    <cellStyle name="표준 4 5 2 3 3 2" xfId="12295"/>
    <cellStyle name="표준 4 5 2 3 3 2 2" xfId="29436"/>
    <cellStyle name="표준 4 5 2 3 3 3" xfId="29435"/>
    <cellStyle name="표준 4 5 2 3 4" xfId="12296"/>
    <cellStyle name="표준 4 5 2 3 4 2" xfId="12297"/>
    <cellStyle name="표준 4 5 2 3 4 2 2" xfId="29438"/>
    <cellStyle name="표준 4 5 2 3 4 3" xfId="29437"/>
    <cellStyle name="표준 4 5 2 3 5" xfId="12298"/>
    <cellStyle name="표준 4 5 2 3 5 2" xfId="12299"/>
    <cellStyle name="표준 4 5 2 3 5 2 2" xfId="29440"/>
    <cellStyle name="표준 4 5 2 3 5 3" xfId="29439"/>
    <cellStyle name="표준 4 5 2 3 6" xfId="12300"/>
    <cellStyle name="표준 4 5 2 3 6 2" xfId="29441"/>
    <cellStyle name="표준 4 5 2 3 7" xfId="29432"/>
    <cellStyle name="표준 4 5 2 4" xfId="12301"/>
    <cellStyle name="표준 4 5 2 4 2" xfId="12302"/>
    <cellStyle name="표준 4 5 2 4 2 2" xfId="29443"/>
    <cellStyle name="표준 4 5 2 4 3" xfId="29442"/>
    <cellStyle name="표준 4 5 2 5" xfId="12303"/>
    <cellStyle name="표준 4 5 2 5 2" xfId="12304"/>
    <cellStyle name="표준 4 5 2 5 2 2" xfId="29445"/>
    <cellStyle name="표준 4 5 2 5 3" xfId="29444"/>
    <cellStyle name="표준 4 5 2 6" xfId="12305"/>
    <cellStyle name="표준 4 5 2 6 2" xfId="12306"/>
    <cellStyle name="표준 4 5 2 6 2 2" xfId="29447"/>
    <cellStyle name="표준 4 5 2 6 3" xfId="29446"/>
    <cellStyle name="표준 4 5 2 7" xfId="12307"/>
    <cellStyle name="표준 4 5 2 7 2" xfId="12308"/>
    <cellStyle name="표준 4 5 2 7 2 2" xfId="29449"/>
    <cellStyle name="표준 4 5 2 7 3" xfId="29448"/>
    <cellStyle name="표준 4 5 2 8" xfId="12309"/>
    <cellStyle name="표준 4 5 2 8 2" xfId="29450"/>
    <cellStyle name="표준 4 5 2 9" xfId="29421"/>
    <cellStyle name="표준 4 5 3" xfId="12310"/>
    <cellStyle name="표준 4 5 3 2" xfId="12311"/>
    <cellStyle name="표준 4 5 3 2 2" xfId="12312"/>
    <cellStyle name="표준 4 5 3 2 2 2" xfId="29453"/>
    <cellStyle name="표준 4 5 3 2 3" xfId="29452"/>
    <cellStyle name="표준 4 5 3 3" xfId="12313"/>
    <cellStyle name="표준 4 5 3 3 2" xfId="12314"/>
    <cellStyle name="표준 4 5 3 3 2 2" xfId="29455"/>
    <cellStyle name="표준 4 5 3 3 3" xfId="29454"/>
    <cellStyle name="표준 4 5 3 4" xfId="12315"/>
    <cellStyle name="표준 4 5 3 4 2" xfId="12316"/>
    <cellStyle name="표준 4 5 3 4 2 2" xfId="29457"/>
    <cellStyle name="표준 4 5 3 4 3" xfId="29456"/>
    <cellStyle name="표준 4 5 3 5" xfId="12317"/>
    <cellStyle name="표준 4 5 3 5 2" xfId="12318"/>
    <cellStyle name="표준 4 5 3 5 2 2" xfId="29459"/>
    <cellStyle name="표준 4 5 3 5 3" xfId="29458"/>
    <cellStyle name="표준 4 5 3 6" xfId="12319"/>
    <cellStyle name="표준 4 5 3 6 2" xfId="29460"/>
    <cellStyle name="표준 4 5 3 7" xfId="29451"/>
    <cellStyle name="표준 4 5 4" xfId="12320"/>
    <cellStyle name="표준 4 5 4 2" xfId="12321"/>
    <cellStyle name="표준 4 5 4 2 2" xfId="12322"/>
    <cellStyle name="표준 4 5 4 2 2 2" xfId="29463"/>
    <cellStyle name="표준 4 5 4 2 3" xfId="29462"/>
    <cellStyle name="표준 4 5 4 3" xfId="12323"/>
    <cellStyle name="표준 4 5 4 3 2" xfId="12324"/>
    <cellStyle name="표준 4 5 4 3 2 2" xfId="29465"/>
    <cellStyle name="표준 4 5 4 3 3" xfId="29464"/>
    <cellStyle name="표준 4 5 4 4" xfId="12325"/>
    <cellStyle name="표준 4 5 4 4 2" xfId="12326"/>
    <cellStyle name="표준 4 5 4 4 2 2" xfId="29467"/>
    <cellStyle name="표준 4 5 4 4 3" xfId="29466"/>
    <cellStyle name="표준 4 5 4 5" xfId="12327"/>
    <cellStyle name="표준 4 5 4 5 2" xfId="12328"/>
    <cellStyle name="표준 4 5 4 5 2 2" xfId="29469"/>
    <cellStyle name="표준 4 5 4 5 3" xfId="29468"/>
    <cellStyle name="표준 4 5 4 6" xfId="12329"/>
    <cellStyle name="표준 4 5 4 6 2" xfId="29470"/>
    <cellStyle name="표준 4 5 4 7" xfId="29461"/>
    <cellStyle name="표준 4 5 5" xfId="12330"/>
    <cellStyle name="표준 4 5 5 2" xfId="12331"/>
    <cellStyle name="표준 4 5 5 2 2" xfId="29472"/>
    <cellStyle name="표준 4 5 5 3" xfId="29471"/>
    <cellStyle name="표준 4 5 6" xfId="12332"/>
    <cellStyle name="표준 4 5 6 2" xfId="12333"/>
    <cellStyle name="표준 4 5 6 2 2" xfId="29474"/>
    <cellStyle name="표준 4 5 6 3" xfId="29473"/>
    <cellStyle name="표준 4 5 7" xfId="12334"/>
    <cellStyle name="표준 4 5 7 2" xfId="12335"/>
    <cellStyle name="표준 4 5 7 2 2" xfId="29476"/>
    <cellStyle name="표준 4 5 7 3" xfId="29475"/>
    <cellStyle name="표준 4 5 8" xfId="12336"/>
    <cellStyle name="표준 4 5 8 2" xfId="12337"/>
    <cellStyle name="표준 4 5 8 2 2" xfId="29478"/>
    <cellStyle name="표준 4 5 8 3" xfId="29477"/>
    <cellStyle name="표준 4 5 9" xfId="12338"/>
    <cellStyle name="표준 4 5 9 2" xfId="29479"/>
    <cellStyle name="표준 4 6" xfId="12339"/>
    <cellStyle name="표준 4 6 10" xfId="29480"/>
    <cellStyle name="표준 4 6 11" xfId="35853"/>
    <cellStyle name="표준 4 6 2" xfId="12340"/>
    <cellStyle name="표준 4 6 2 2" xfId="12341"/>
    <cellStyle name="표준 4 6 2 2 2" xfId="12342"/>
    <cellStyle name="표준 4 6 2 2 2 2" xfId="12343"/>
    <cellStyle name="표준 4 6 2 2 2 2 2" xfId="29484"/>
    <cellStyle name="표준 4 6 2 2 2 3" xfId="29483"/>
    <cellStyle name="표준 4 6 2 2 3" xfId="12344"/>
    <cellStyle name="표준 4 6 2 2 3 2" xfId="12345"/>
    <cellStyle name="표준 4 6 2 2 3 2 2" xfId="29486"/>
    <cellStyle name="표준 4 6 2 2 3 3" xfId="29485"/>
    <cellStyle name="표준 4 6 2 2 4" xfId="12346"/>
    <cellStyle name="표준 4 6 2 2 4 2" xfId="12347"/>
    <cellStyle name="표준 4 6 2 2 4 2 2" xfId="29488"/>
    <cellStyle name="표준 4 6 2 2 4 3" xfId="29487"/>
    <cellStyle name="표준 4 6 2 2 5" xfId="12348"/>
    <cellStyle name="표준 4 6 2 2 5 2" xfId="12349"/>
    <cellStyle name="표준 4 6 2 2 5 2 2" xfId="29490"/>
    <cellStyle name="표준 4 6 2 2 5 3" xfId="29489"/>
    <cellStyle name="표준 4 6 2 2 6" xfId="12350"/>
    <cellStyle name="표준 4 6 2 2 6 2" xfId="29491"/>
    <cellStyle name="표준 4 6 2 2 7" xfId="29482"/>
    <cellStyle name="표준 4 6 2 3" xfId="12351"/>
    <cellStyle name="표준 4 6 2 3 2" xfId="12352"/>
    <cellStyle name="표준 4 6 2 3 2 2" xfId="12353"/>
    <cellStyle name="표준 4 6 2 3 2 2 2" xfId="29494"/>
    <cellStyle name="표준 4 6 2 3 2 3" xfId="29493"/>
    <cellStyle name="표준 4 6 2 3 3" xfId="12354"/>
    <cellStyle name="표준 4 6 2 3 3 2" xfId="12355"/>
    <cellStyle name="표준 4 6 2 3 3 2 2" xfId="29496"/>
    <cellStyle name="표준 4 6 2 3 3 3" xfId="29495"/>
    <cellStyle name="표준 4 6 2 3 4" xfId="12356"/>
    <cellStyle name="표준 4 6 2 3 4 2" xfId="12357"/>
    <cellStyle name="표준 4 6 2 3 4 2 2" xfId="29498"/>
    <cellStyle name="표준 4 6 2 3 4 3" xfId="29497"/>
    <cellStyle name="표준 4 6 2 3 5" xfId="12358"/>
    <cellStyle name="표준 4 6 2 3 5 2" xfId="12359"/>
    <cellStyle name="표준 4 6 2 3 5 2 2" xfId="29500"/>
    <cellStyle name="표준 4 6 2 3 5 3" xfId="29499"/>
    <cellStyle name="표준 4 6 2 3 6" xfId="12360"/>
    <cellStyle name="표준 4 6 2 3 6 2" xfId="29501"/>
    <cellStyle name="표준 4 6 2 3 7" xfId="29492"/>
    <cellStyle name="표준 4 6 2 4" xfId="12361"/>
    <cellStyle name="표준 4 6 2 4 2" xfId="12362"/>
    <cellStyle name="표준 4 6 2 4 2 2" xfId="29503"/>
    <cellStyle name="표준 4 6 2 4 3" xfId="29502"/>
    <cellStyle name="표준 4 6 2 5" xfId="12363"/>
    <cellStyle name="표준 4 6 2 5 2" xfId="12364"/>
    <cellStyle name="표준 4 6 2 5 2 2" xfId="29505"/>
    <cellStyle name="표준 4 6 2 5 3" xfId="29504"/>
    <cellStyle name="표준 4 6 2 6" xfId="12365"/>
    <cellStyle name="표준 4 6 2 6 2" xfId="12366"/>
    <cellStyle name="표준 4 6 2 6 2 2" xfId="29507"/>
    <cellStyle name="표준 4 6 2 6 3" xfId="29506"/>
    <cellStyle name="표준 4 6 2 7" xfId="12367"/>
    <cellStyle name="표준 4 6 2 7 2" xfId="12368"/>
    <cellStyle name="표준 4 6 2 7 2 2" xfId="29509"/>
    <cellStyle name="표준 4 6 2 7 3" xfId="29508"/>
    <cellStyle name="표준 4 6 2 8" xfId="12369"/>
    <cellStyle name="표준 4 6 2 8 2" xfId="29510"/>
    <cellStyle name="표준 4 6 2 9" xfId="29481"/>
    <cellStyle name="표준 4 6 3" xfId="12370"/>
    <cellStyle name="표준 4 6 3 2" xfId="12371"/>
    <cellStyle name="표준 4 6 3 2 2" xfId="12372"/>
    <cellStyle name="표준 4 6 3 2 2 2" xfId="29513"/>
    <cellStyle name="표준 4 6 3 2 3" xfId="29512"/>
    <cellStyle name="표준 4 6 3 3" xfId="12373"/>
    <cellStyle name="표준 4 6 3 3 2" xfId="12374"/>
    <cellStyle name="표준 4 6 3 3 2 2" xfId="29515"/>
    <cellStyle name="표준 4 6 3 3 3" xfId="29514"/>
    <cellStyle name="표준 4 6 3 4" xfId="12375"/>
    <cellStyle name="표준 4 6 3 4 2" xfId="12376"/>
    <cellStyle name="표준 4 6 3 4 2 2" xfId="29517"/>
    <cellStyle name="표준 4 6 3 4 3" xfId="29516"/>
    <cellStyle name="표준 4 6 3 5" xfId="12377"/>
    <cellStyle name="표준 4 6 3 5 2" xfId="12378"/>
    <cellStyle name="표준 4 6 3 5 2 2" xfId="29519"/>
    <cellStyle name="표준 4 6 3 5 3" xfId="29518"/>
    <cellStyle name="표준 4 6 3 6" xfId="12379"/>
    <cellStyle name="표준 4 6 3 6 2" xfId="29520"/>
    <cellStyle name="표준 4 6 3 7" xfId="29511"/>
    <cellStyle name="표준 4 6 4" xfId="12380"/>
    <cellStyle name="표준 4 6 4 2" xfId="12381"/>
    <cellStyle name="표준 4 6 4 2 2" xfId="12382"/>
    <cellStyle name="표준 4 6 4 2 2 2" xfId="29523"/>
    <cellStyle name="표준 4 6 4 2 3" xfId="29522"/>
    <cellStyle name="표준 4 6 4 3" xfId="12383"/>
    <cellStyle name="표준 4 6 4 3 2" xfId="12384"/>
    <cellStyle name="표준 4 6 4 3 2 2" xfId="29525"/>
    <cellStyle name="표준 4 6 4 3 3" xfId="29524"/>
    <cellStyle name="표준 4 6 4 4" xfId="12385"/>
    <cellStyle name="표준 4 6 4 4 2" xfId="12386"/>
    <cellStyle name="표준 4 6 4 4 2 2" xfId="29527"/>
    <cellStyle name="표준 4 6 4 4 3" xfId="29526"/>
    <cellStyle name="표준 4 6 4 5" xfId="12387"/>
    <cellStyle name="표준 4 6 4 5 2" xfId="12388"/>
    <cellStyle name="표준 4 6 4 5 2 2" xfId="29529"/>
    <cellStyle name="표준 4 6 4 5 3" xfId="29528"/>
    <cellStyle name="표준 4 6 4 6" xfId="12389"/>
    <cellStyle name="표준 4 6 4 6 2" xfId="29530"/>
    <cellStyle name="표준 4 6 4 7" xfId="29521"/>
    <cellStyle name="표준 4 6 5" xfId="12390"/>
    <cellStyle name="표준 4 6 5 2" xfId="12391"/>
    <cellStyle name="표준 4 6 5 2 2" xfId="29532"/>
    <cellStyle name="표준 4 6 5 3" xfId="29531"/>
    <cellStyle name="표준 4 6 6" xfId="12392"/>
    <cellStyle name="표준 4 6 6 2" xfId="12393"/>
    <cellStyle name="표준 4 6 6 2 2" xfId="29534"/>
    <cellStyle name="표준 4 6 6 3" xfId="29533"/>
    <cellStyle name="표준 4 6 7" xfId="12394"/>
    <cellStyle name="표준 4 6 7 2" xfId="12395"/>
    <cellStyle name="표준 4 6 7 2 2" xfId="29536"/>
    <cellStyle name="표준 4 6 7 3" xfId="29535"/>
    <cellStyle name="표준 4 6 8" xfId="12396"/>
    <cellStyle name="표준 4 6 8 2" xfId="12397"/>
    <cellStyle name="표준 4 6 8 2 2" xfId="29538"/>
    <cellStyle name="표준 4 6 8 3" xfId="29537"/>
    <cellStyle name="표준 4 6 9" xfId="12398"/>
    <cellStyle name="표준 4 6 9 2" xfId="29539"/>
    <cellStyle name="표준 4 7" xfId="12399"/>
    <cellStyle name="표준 4 7 10" xfId="29540"/>
    <cellStyle name="표준 4 7 11" xfId="35854"/>
    <cellStyle name="표준 4 7 2" xfId="12400"/>
    <cellStyle name="표준 4 7 2 2" xfId="12401"/>
    <cellStyle name="표준 4 7 2 2 2" xfId="12402"/>
    <cellStyle name="표준 4 7 2 2 2 2" xfId="12403"/>
    <cellStyle name="표준 4 7 2 2 2 2 2" xfId="29544"/>
    <cellStyle name="표준 4 7 2 2 2 3" xfId="29543"/>
    <cellStyle name="표준 4 7 2 2 3" xfId="12404"/>
    <cellStyle name="표준 4 7 2 2 3 2" xfId="12405"/>
    <cellStyle name="표준 4 7 2 2 3 2 2" xfId="29546"/>
    <cellStyle name="표준 4 7 2 2 3 3" xfId="29545"/>
    <cellStyle name="표준 4 7 2 2 4" xfId="12406"/>
    <cellStyle name="표준 4 7 2 2 4 2" xfId="12407"/>
    <cellStyle name="표준 4 7 2 2 4 2 2" xfId="29548"/>
    <cellStyle name="표준 4 7 2 2 4 3" xfId="29547"/>
    <cellStyle name="표준 4 7 2 2 5" xfId="12408"/>
    <cellStyle name="표준 4 7 2 2 5 2" xfId="12409"/>
    <cellStyle name="표준 4 7 2 2 5 2 2" xfId="29550"/>
    <cellStyle name="표준 4 7 2 2 5 3" xfId="29549"/>
    <cellStyle name="표준 4 7 2 2 6" xfId="12410"/>
    <cellStyle name="표준 4 7 2 2 6 2" xfId="29551"/>
    <cellStyle name="표준 4 7 2 2 7" xfId="29542"/>
    <cellStyle name="표준 4 7 2 3" xfId="12411"/>
    <cellStyle name="표준 4 7 2 3 2" xfId="12412"/>
    <cellStyle name="표준 4 7 2 3 2 2" xfId="12413"/>
    <cellStyle name="표준 4 7 2 3 2 2 2" xfId="29554"/>
    <cellStyle name="표준 4 7 2 3 2 3" xfId="29553"/>
    <cellStyle name="표준 4 7 2 3 3" xfId="12414"/>
    <cellStyle name="표준 4 7 2 3 3 2" xfId="12415"/>
    <cellStyle name="표준 4 7 2 3 3 2 2" xfId="29556"/>
    <cellStyle name="표준 4 7 2 3 3 3" xfId="29555"/>
    <cellStyle name="표준 4 7 2 3 4" xfId="12416"/>
    <cellStyle name="표준 4 7 2 3 4 2" xfId="12417"/>
    <cellStyle name="표준 4 7 2 3 4 2 2" xfId="29558"/>
    <cellStyle name="표준 4 7 2 3 4 3" xfId="29557"/>
    <cellStyle name="표준 4 7 2 3 5" xfId="12418"/>
    <cellStyle name="표준 4 7 2 3 5 2" xfId="12419"/>
    <cellStyle name="표준 4 7 2 3 5 2 2" xfId="29560"/>
    <cellStyle name="표준 4 7 2 3 5 3" xfId="29559"/>
    <cellStyle name="표준 4 7 2 3 6" xfId="12420"/>
    <cellStyle name="표준 4 7 2 3 6 2" xfId="29561"/>
    <cellStyle name="표준 4 7 2 3 7" xfId="29552"/>
    <cellStyle name="표준 4 7 2 4" xfId="12421"/>
    <cellStyle name="표준 4 7 2 4 2" xfId="12422"/>
    <cellStyle name="표준 4 7 2 4 2 2" xfId="29563"/>
    <cellStyle name="표준 4 7 2 4 3" xfId="29562"/>
    <cellStyle name="표준 4 7 2 5" xfId="12423"/>
    <cellStyle name="표준 4 7 2 5 2" xfId="12424"/>
    <cellStyle name="표준 4 7 2 5 2 2" xfId="29565"/>
    <cellStyle name="표준 4 7 2 5 3" xfId="29564"/>
    <cellStyle name="표준 4 7 2 6" xfId="12425"/>
    <cellStyle name="표준 4 7 2 6 2" xfId="12426"/>
    <cellStyle name="표준 4 7 2 6 2 2" xfId="29567"/>
    <cellStyle name="표준 4 7 2 6 3" xfId="29566"/>
    <cellStyle name="표준 4 7 2 7" xfId="12427"/>
    <cellStyle name="표준 4 7 2 7 2" xfId="12428"/>
    <cellStyle name="표준 4 7 2 7 2 2" xfId="29569"/>
    <cellStyle name="표준 4 7 2 7 3" xfId="29568"/>
    <cellStyle name="표준 4 7 2 8" xfId="12429"/>
    <cellStyle name="표준 4 7 2 8 2" xfId="29570"/>
    <cellStyle name="표준 4 7 2 9" xfId="29541"/>
    <cellStyle name="표준 4 7 3" xfId="12430"/>
    <cellStyle name="표준 4 7 3 2" xfId="12431"/>
    <cellStyle name="표준 4 7 3 2 2" xfId="12432"/>
    <cellStyle name="표준 4 7 3 2 2 2" xfId="29573"/>
    <cellStyle name="표준 4 7 3 2 3" xfId="29572"/>
    <cellStyle name="표준 4 7 3 3" xfId="12433"/>
    <cellStyle name="표준 4 7 3 3 2" xfId="12434"/>
    <cellStyle name="표준 4 7 3 3 2 2" xfId="29575"/>
    <cellStyle name="표준 4 7 3 3 3" xfId="29574"/>
    <cellStyle name="표준 4 7 3 4" xfId="12435"/>
    <cellStyle name="표준 4 7 3 4 2" xfId="12436"/>
    <cellStyle name="표준 4 7 3 4 2 2" xfId="29577"/>
    <cellStyle name="표준 4 7 3 4 3" xfId="29576"/>
    <cellStyle name="표준 4 7 3 5" xfId="12437"/>
    <cellStyle name="표준 4 7 3 5 2" xfId="12438"/>
    <cellStyle name="표준 4 7 3 5 2 2" xfId="29579"/>
    <cellStyle name="표준 4 7 3 5 3" xfId="29578"/>
    <cellStyle name="표준 4 7 3 6" xfId="12439"/>
    <cellStyle name="표준 4 7 3 6 2" xfId="29580"/>
    <cellStyle name="표준 4 7 3 7" xfId="29571"/>
    <cellStyle name="표준 4 7 4" xfId="12440"/>
    <cellStyle name="표준 4 7 4 2" xfId="12441"/>
    <cellStyle name="표준 4 7 4 2 2" xfId="12442"/>
    <cellStyle name="표준 4 7 4 2 2 2" xfId="29583"/>
    <cellStyle name="표준 4 7 4 2 3" xfId="29582"/>
    <cellStyle name="표준 4 7 4 3" xfId="12443"/>
    <cellStyle name="표준 4 7 4 3 2" xfId="12444"/>
    <cellStyle name="표준 4 7 4 3 2 2" xfId="29585"/>
    <cellStyle name="표준 4 7 4 3 3" xfId="29584"/>
    <cellStyle name="표준 4 7 4 4" xfId="12445"/>
    <cellStyle name="표준 4 7 4 4 2" xfId="12446"/>
    <cellStyle name="표준 4 7 4 4 2 2" xfId="29587"/>
    <cellStyle name="표준 4 7 4 4 3" xfId="29586"/>
    <cellStyle name="표준 4 7 4 5" xfId="12447"/>
    <cellStyle name="표준 4 7 4 5 2" xfId="12448"/>
    <cellStyle name="표준 4 7 4 5 2 2" xfId="29589"/>
    <cellStyle name="표준 4 7 4 5 3" xfId="29588"/>
    <cellStyle name="표준 4 7 4 6" xfId="12449"/>
    <cellStyle name="표준 4 7 4 6 2" xfId="29590"/>
    <cellStyle name="표준 4 7 4 7" xfId="29581"/>
    <cellStyle name="표준 4 7 5" xfId="12450"/>
    <cellStyle name="표준 4 7 5 2" xfId="12451"/>
    <cellStyle name="표준 4 7 5 2 2" xfId="29592"/>
    <cellStyle name="표준 4 7 5 3" xfId="29591"/>
    <cellStyle name="표준 4 7 6" xfId="12452"/>
    <cellStyle name="표준 4 7 6 2" xfId="12453"/>
    <cellStyle name="표준 4 7 6 2 2" xfId="29594"/>
    <cellStyle name="표준 4 7 6 3" xfId="29593"/>
    <cellStyle name="표준 4 7 7" xfId="12454"/>
    <cellStyle name="표준 4 7 7 2" xfId="12455"/>
    <cellStyle name="표준 4 7 7 2 2" xfId="29596"/>
    <cellStyle name="표준 4 7 7 3" xfId="29595"/>
    <cellStyle name="표준 4 7 8" xfId="12456"/>
    <cellStyle name="표준 4 7 8 2" xfId="12457"/>
    <cellStyle name="표준 4 7 8 2 2" xfId="29598"/>
    <cellStyle name="표준 4 7 8 3" xfId="29597"/>
    <cellStyle name="표준 4 7 9" xfId="12458"/>
    <cellStyle name="표준 4 7 9 2" xfId="29599"/>
    <cellStyle name="표준 4 8" xfId="12459"/>
    <cellStyle name="표준 4 8 10" xfId="29600"/>
    <cellStyle name="표준 4 8 11" xfId="35855"/>
    <cellStyle name="표준 4 8 2" xfId="12460"/>
    <cellStyle name="표준 4 8 2 2" xfId="12461"/>
    <cellStyle name="표준 4 8 2 2 2" xfId="12462"/>
    <cellStyle name="표준 4 8 2 2 2 2" xfId="12463"/>
    <cellStyle name="표준 4 8 2 2 2 2 2" xfId="29604"/>
    <cellStyle name="표준 4 8 2 2 2 3" xfId="29603"/>
    <cellStyle name="표준 4 8 2 2 3" xfId="12464"/>
    <cellStyle name="표준 4 8 2 2 3 2" xfId="12465"/>
    <cellStyle name="표준 4 8 2 2 3 2 2" xfId="29606"/>
    <cellStyle name="표준 4 8 2 2 3 3" xfId="29605"/>
    <cellStyle name="표준 4 8 2 2 4" xfId="12466"/>
    <cellStyle name="표준 4 8 2 2 4 2" xfId="12467"/>
    <cellStyle name="표준 4 8 2 2 4 2 2" xfId="29608"/>
    <cellStyle name="표준 4 8 2 2 4 3" xfId="29607"/>
    <cellStyle name="표준 4 8 2 2 5" xfId="12468"/>
    <cellStyle name="표준 4 8 2 2 5 2" xfId="12469"/>
    <cellStyle name="표준 4 8 2 2 5 2 2" xfId="29610"/>
    <cellStyle name="표준 4 8 2 2 5 3" xfId="29609"/>
    <cellStyle name="표준 4 8 2 2 6" xfId="12470"/>
    <cellStyle name="표준 4 8 2 2 6 2" xfId="29611"/>
    <cellStyle name="표준 4 8 2 2 7" xfId="29602"/>
    <cellStyle name="표준 4 8 2 3" xfId="12471"/>
    <cellStyle name="표준 4 8 2 3 2" xfId="12472"/>
    <cellStyle name="표준 4 8 2 3 2 2" xfId="12473"/>
    <cellStyle name="표준 4 8 2 3 2 2 2" xfId="29614"/>
    <cellStyle name="표준 4 8 2 3 2 3" xfId="29613"/>
    <cellStyle name="표준 4 8 2 3 3" xfId="12474"/>
    <cellStyle name="표준 4 8 2 3 3 2" xfId="12475"/>
    <cellStyle name="표준 4 8 2 3 3 2 2" xfId="29616"/>
    <cellStyle name="표준 4 8 2 3 3 3" xfId="29615"/>
    <cellStyle name="표준 4 8 2 3 4" xfId="12476"/>
    <cellStyle name="표준 4 8 2 3 4 2" xfId="12477"/>
    <cellStyle name="표준 4 8 2 3 4 2 2" xfId="29618"/>
    <cellStyle name="표준 4 8 2 3 4 3" xfId="29617"/>
    <cellStyle name="표준 4 8 2 3 5" xfId="12478"/>
    <cellStyle name="표준 4 8 2 3 5 2" xfId="12479"/>
    <cellStyle name="표준 4 8 2 3 5 2 2" xfId="29620"/>
    <cellStyle name="표준 4 8 2 3 5 3" xfId="29619"/>
    <cellStyle name="표준 4 8 2 3 6" xfId="12480"/>
    <cellStyle name="표준 4 8 2 3 6 2" xfId="29621"/>
    <cellStyle name="표준 4 8 2 3 7" xfId="29612"/>
    <cellStyle name="표준 4 8 2 4" xfId="12481"/>
    <cellStyle name="표준 4 8 2 4 2" xfId="12482"/>
    <cellStyle name="표준 4 8 2 4 2 2" xfId="29623"/>
    <cellStyle name="표준 4 8 2 4 3" xfId="29622"/>
    <cellStyle name="표준 4 8 2 5" xfId="12483"/>
    <cellStyle name="표준 4 8 2 5 2" xfId="12484"/>
    <cellStyle name="표준 4 8 2 5 2 2" xfId="29625"/>
    <cellStyle name="표준 4 8 2 5 3" xfId="29624"/>
    <cellStyle name="표준 4 8 2 6" xfId="12485"/>
    <cellStyle name="표준 4 8 2 6 2" xfId="12486"/>
    <cellStyle name="표준 4 8 2 6 2 2" xfId="29627"/>
    <cellStyle name="표준 4 8 2 6 3" xfId="29626"/>
    <cellStyle name="표준 4 8 2 7" xfId="12487"/>
    <cellStyle name="표준 4 8 2 7 2" xfId="12488"/>
    <cellStyle name="표준 4 8 2 7 2 2" xfId="29629"/>
    <cellStyle name="표준 4 8 2 7 3" xfId="29628"/>
    <cellStyle name="표준 4 8 2 8" xfId="12489"/>
    <cellStyle name="표준 4 8 2 8 2" xfId="29630"/>
    <cellStyle name="표준 4 8 2 9" xfId="29601"/>
    <cellStyle name="표준 4 8 3" xfId="12490"/>
    <cellStyle name="표준 4 8 3 2" xfId="12491"/>
    <cellStyle name="표준 4 8 3 2 2" xfId="12492"/>
    <cellStyle name="표준 4 8 3 2 2 2" xfId="29633"/>
    <cellStyle name="표준 4 8 3 2 3" xfId="29632"/>
    <cellStyle name="표준 4 8 3 3" xfId="12493"/>
    <cellStyle name="표준 4 8 3 3 2" xfId="12494"/>
    <cellStyle name="표준 4 8 3 3 2 2" xfId="29635"/>
    <cellStyle name="표준 4 8 3 3 3" xfId="29634"/>
    <cellStyle name="표준 4 8 3 4" xfId="12495"/>
    <cellStyle name="표준 4 8 3 4 2" xfId="12496"/>
    <cellStyle name="표준 4 8 3 4 2 2" xfId="29637"/>
    <cellStyle name="표준 4 8 3 4 3" xfId="29636"/>
    <cellStyle name="표준 4 8 3 5" xfId="12497"/>
    <cellStyle name="표준 4 8 3 5 2" xfId="12498"/>
    <cellStyle name="표준 4 8 3 5 2 2" xfId="29639"/>
    <cellStyle name="표준 4 8 3 5 3" xfId="29638"/>
    <cellStyle name="표준 4 8 3 6" xfId="12499"/>
    <cellStyle name="표준 4 8 3 6 2" xfId="29640"/>
    <cellStyle name="표준 4 8 3 7" xfId="29631"/>
    <cellStyle name="표준 4 8 4" xfId="12500"/>
    <cellStyle name="표준 4 8 4 2" xfId="12501"/>
    <cellStyle name="표준 4 8 4 2 2" xfId="12502"/>
    <cellStyle name="표준 4 8 4 2 2 2" xfId="29643"/>
    <cellStyle name="표준 4 8 4 2 3" xfId="29642"/>
    <cellStyle name="표준 4 8 4 3" xfId="12503"/>
    <cellStyle name="표준 4 8 4 3 2" xfId="12504"/>
    <cellStyle name="표준 4 8 4 3 2 2" xfId="29645"/>
    <cellStyle name="표준 4 8 4 3 3" xfId="29644"/>
    <cellStyle name="표준 4 8 4 4" xfId="12505"/>
    <cellStyle name="표준 4 8 4 4 2" xfId="12506"/>
    <cellStyle name="표준 4 8 4 4 2 2" xfId="29647"/>
    <cellStyle name="표준 4 8 4 4 3" xfId="29646"/>
    <cellStyle name="표준 4 8 4 5" xfId="12507"/>
    <cellStyle name="표준 4 8 4 5 2" xfId="12508"/>
    <cellStyle name="표준 4 8 4 5 2 2" xfId="29649"/>
    <cellStyle name="표준 4 8 4 5 3" xfId="29648"/>
    <cellStyle name="표준 4 8 4 6" xfId="12509"/>
    <cellStyle name="표준 4 8 4 6 2" xfId="29650"/>
    <cellStyle name="표준 4 8 4 7" xfId="29641"/>
    <cellStyle name="표준 4 8 5" xfId="12510"/>
    <cellStyle name="표준 4 8 5 2" xfId="12511"/>
    <cellStyle name="표준 4 8 5 2 2" xfId="29652"/>
    <cellStyle name="표준 4 8 5 3" xfId="29651"/>
    <cellStyle name="표준 4 8 6" xfId="12512"/>
    <cellStyle name="표준 4 8 6 2" xfId="12513"/>
    <cellStyle name="표준 4 8 6 2 2" xfId="29654"/>
    <cellStyle name="표준 4 8 6 3" xfId="29653"/>
    <cellStyle name="표준 4 8 7" xfId="12514"/>
    <cellStyle name="표준 4 8 7 2" xfId="12515"/>
    <cellStyle name="표준 4 8 7 2 2" xfId="29656"/>
    <cellStyle name="표준 4 8 7 3" xfId="29655"/>
    <cellStyle name="표준 4 8 8" xfId="12516"/>
    <cellStyle name="표준 4 8 8 2" xfId="12517"/>
    <cellStyle name="표준 4 8 8 2 2" xfId="29658"/>
    <cellStyle name="표준 4 8 8 3" xfId="29657"/>
    <cellStyle name="표준 4 8 9" xfId="12518"/>
    <cellStyle name="표준 4 8 9 2" xfId="29659"/>
    <cellStyle name="표준 4 9" xfId="12519"/>
    <cellStyle name="표준 4 9 10" xfId="29660"/>
    <cellStyle name="표준 4 9 11" xfId="35856"/>
    <cellStyle name="표준 4 9 2" xfId="12520"/>
    <cellStyle name="표준 4 9 2 2" xfId="12521"/>
    <cellStyle name="표준 4 9 2 2 2" xfId="12522"/>
    <cellStyle name="표준 4 9 2 2 2 2" xfId="12523"/>
    <cellStyle name="표준 4 9 2 2 2 2 2" xfId="29664"/>
    <cellStyle name="표준 4 9 2 2 2 3" xfId="29663"/>
    <cellStyle name="표준 4 9 2 2 3" xfId="12524"/>
    <cellStyle name="표준 4 9 2 2 3 2" xfId="12525"/>
    <cellStyle name="표준 4 9 2 2 3 2 2" xfId="29666"/>
    <cellStyle name="표준 4 9 2 2 3 3" xfId="29665"/>
    <cellStyle name="표준 4 9 2 2 4" xfId="12526"/>
    <cellStyle name="표준 4 9 2 2 4 2" xfId="12527"/>
    <cellStyle name="표준 4 9 2 2 4 2 2" xfId="29668"/>
    <cellStyle name="표준 4 9 2 2 4 3" xfId="29667"/>
    <cellStyle name="표준 4 9 2 2 5" xfId="12528"/>
    <cellStyle name="표준 4 9 2 2 5 2" xfId="12529"/>
    <cellStyle name="표준 4 9 2 2 5 2 2" xfId="29670"/>
    <cellStyle name="표준 4 9 2 2 5 3" xfId="29669"/>
    <cellStyle name="표준 4 9 2 2 6" xfId="12530"/>
    <cellStyle name="표준 4 9 2 2 6 2" xfId="29671"/>
    <cellStyle name="표준 4 9 2 2 7" xfId="29662"/>
    <cellStyle name="표준 4 9 2 3" xfId="12531"/>
    <cellStyle name="표준 4 9 2 3 2" xfId="12532"/>
    <cellStyle name="표준 4 9 2 3 2 2" xfId="12533"/>
    <cellStyle name="표준 4 9 2 3 2 2 2" xfId="29674"/>
    <cellStyle name="표준 4 9 2 3 2 3" xfId="29673"/>
    <cellStyle name="표준 4 9 2 3 3" xfId="12534"/>
    <cellStyle name="표준 4 9 2 3 3 2" xfId="12535"/>
    <cellStyle name="표준 4 9 2 3 3 2 2" xfId="29676"/>
    <cellStyle name="표준 4 9 2 3 3 3" xfId="29675"/>
    <cellStyle name="표준 4 9 2 3 4" xfId="12536"/>
    <cellStyle name="표준 4 9 2 3 4 2" xfId="12537"/>
    <cellStyle name="표준 4 9 2 3 4 2 2" xfId="29678"/>
    <cellStyle name="표준 4 9 2 3 4 3" xfId="29677"/>
    <cellStyle name="표준 4 9 2 3 5" xfId="12538"/>
    <cellStyle name="표준 4 9 2 3 5 2" xfId="12539"/>
    <cellStyle name="표준 4 9 2 3 5 2 2" xfId="29680"/>
    <cellStyle name="표준 4 9 2 3 5 3" xfId="29679"/>
    <cellStyle name="표준 4 9 2 3 6" xfId="12540"/>
    <cellStyle name="표준 4 9 2 3 6 2" xfId="29681"/>
    <cellStyle name="표준 4 9 2 3 7" xfId="29672"/>
    <cellStyle name="표준 4 9 2 4" xfId="12541"/>
    <cellStyle name="표준 4 9 2 4 2" xfId="12542"/>
    <cellStyle name="표준 4 9 2 4 2 2" xfId="29683"/>
    <cellStyle name="표준 4 9 2 4 3" xfId="29682"/>
    <cellStyle name="표준 4 9 2 5" xfId="12543"/>
    <cellStyle name="표준 4 9 2 5 2" xfId="12544"/>
    <cellStyle name="표준 4 9 2 5 2 2" xfId="29685"/>
    <cellStyle name="표준 4 9 2 5 3" xfId="29684"/>
    <cellStyle name="표준 4 9 2 6" xfId="12545"/>
    <cellStyle name="표준 4 9 2 6 2" xfId="12546"/>
    <cellStyle name="표준 4 9 2 6 2 2" xfId="29687"/>
    <cellStyle name="표준 4 9 2 6 3" xfId="29686"/>
    <cellStyle name="표준 4 9 2 7" xfId="12547"/>
    <cellStyle name="표준 4 9 2 7 2" xfId="12548"/>
    <cellStyle name="표준 4 9 2 7 2 2" xfId="29689"/>
    <cellStyle name="표준 4 9 2 7 3" xfId="29688"/>
    <cellStyle name="표준 4 9 2 8" xfId="12549"/>
    <cellStyle name="표준 4 9 2 8 2" xfId="29690"/>
    <cellStyle name="표준 4 9 2 9" xfId="29661"/>
    <cellStyle name="표준 4 9 3" xfId="12550"/>
    <cellStyle name="표준 4 9 3 2" xfId="12551"/>
    <cellStyle name="표준 4 9 3 2 2" xfId="12552"/>
    <cellStyle name="표준 4 9 3 2 2 2" xfId="29693"/>
    <cellStyle name="표준 4 9 3 2 3" xfId="29692"/>
    <cellStyle name="표준 4 9 3 3" xfId="12553"/>
    <cellStyle name="표준 4 9 3 3 2" xfId="12554"/>
    <cellStyle name="표준 4 9 3 3 2 2" xfId="29695"/>
    <cellStyle name="표준 4 9 3 3 3" xfId="29694"/>
    <cellStyle name="표준 4 9 3 4" xfId="12555"/>
    <cellStyle name="표준 4 9 3 4 2" xfId="12556"/>
    <cellStyle name="표준 4 9 3 4 2 2" xfId="29697"/>
    <cellStyle name="표준 4 9 3 4 3" xfId="29696"/>
    <cellStyle name="표준 4 9 3 5" xfId="12557"/>
    <cellStyle name="표준 4 9 3 5 2" xfId="12558"/>
    <cellStyle name="표준 4 9 3 5 2 2" xfId="29699"/>
    <cellStyle name="표준 4 9 3 5 3" xfId="29698"/>
    <cellStyle name="표준 4 9 3 6" xfId="12559"/>
    <cellStyle name="표준 4 9 3 6 2" xfId="29700"/>
    <cellStyle name="표준 4 9 3 7" xfId="29691"/>
    <cellStyle name="표준 4 9 4" xfId="12560"/>
    <cellStyle name="표준 4 9 4 2" xfId="12561"/>
    <cellStyle name="표준 4 9 4 2 2" xfId="12562"/>
    <cellStyle name="표준 4 9 4 2 2 2" xfId="29703"/>
    <cellStyle name="표준 4 9 4 2 3" xfId="29702"/>
    <cellStyle name="표준 4 9 4 3" xfId="12563"/>
    <cellStyle name="표준 4 9 4 3 2" xfId="12564"/>
    <cellStyle name="표준 4 9 4 3 2 2" xfId="29705"/>
    <cellStyle name="표준 4 9 4 3 3" xfId="29704"/>
    <cellStyle name="표준 4 9 4 4" xfId="12565"/>
    <cellStyle name="표준 4 9 4 4 2" xfId="12566"/>
    <cellStyle name="표준 4 9 4 4 2 2" xfId="29707"/>
    <cellStyle name="표준 4 9 4 4 3" xfId="29706"/>
    <cellStyle name="표준 4 9 4 5" xfId="12567"/>
    <cellStyle name="표준 4 9 4 5 2" xfId="12568"/>
    <cellStyle name="표준 4 9 4 5 2 2" xfId="29709"/>
    <cellStyle name="표준 4 9 4 5 3" xfId="29708"/>
    <cellStyle name="표준 4 9 4 6" xfId="12569"/>
    <cellStyle name="표준 4 9 4 6 2" xfId="29710"/>
    <cellStyle name="표준 4 9 4 7" xfId="29701"/>
    <cellStyle name="표준 4 9 5" xfId="12570"/>
    <cellStyle name="표준 4 9 5 2" xfId="12571"/>
    <cellStyle name="표준 4 9 5 2 2" xfId="29712"/>
    <cellStyle name="표준 4 9 5 3" xfId="29711"/>
    <cellStyle name="표준 4 9 6" xfId="12572"/>
    <cellStyle name="표준 4 9 6 2" xfId="12573"/>
    <cellStyle name="표준 4 9 6 2 2" xfId="29714"/>
    <cellStyle name="표준 4 9 6 3" xfId="29713"/>
    <cellStyle name="표준 4 9 7" xfId="12574"/>
    <cellStyle name="표준 4 9 7 2" xfId="12575"/>
    <cellStyle name="표준 4 9 7 2 2" xfId="29716"/>
    <cellStyle name="표준 4 9 7 3" xfId="29715"/>
    <cellStyle name="표준 4 9 8" xfId="12576"/>
    <cellStyle name="표준 4 9 8 2" xfId="12577"/>
    <cellStyle name="표준 4 9 8 2 2" xfId="29718"/>
    <cellStyle name="표준 4 9 8 3" xfId="29717"/>
    <cellStyle name="표준 4 9 9" xfId="12578"/>
    <cellStyle name="표준 4 9 9 2" xfId="29719"/>
    <cellStyle name="표준 40" xfId="34933"/>
    <cellStyle name="표준 41" xfId="34934"/>
    <cellStyle name="표준 42" xfId="34935"/>
    <cellStyle name="표준 43" xfId="34936"/>
    <cellStyle name="표준 44" xfId="34937"/>
    <cellStyle name="표준 45" xfId="34938"/>
    <cellStyle name="표준 46" xfId="34939"/>
    <cellStyle name="표준 47" xfId="34940"/>
    <cellStyle name="표준 48" xfId="34941"/>
    <cellStyle name="표준 49" xfId="34942"/>
    <cellStyle name="표준 5" xfId="146"/>
    <cellStyle name="표준 5 2" xfId="12579"/>
    <cellStyle name="표준 5 2 2" xfId="29720"/>
    <cellStyle name="표준 5 2 3" xfId="35857"/>
    <cellStyle name="표준 5 3" xfId="17291"/>
    <cellStyle name="표준 5 4" xfId="34943"/>
    <cellStyle name="표준 5 5" xfId="36905"/>
    <cellStyle name="표준 50" xfId="34944"/>
    <cellStyle name="표준 51" xfId="34945"/>
    <cellStyle name="표준 52" xfId="34946"/>
    <cellStyle name="표준 53" xfId="34947"/>
    <cellStyle name="표준 54" xfId="34948"/>
    <cellStyle name="표준 55" xfId="34949"/>
    <cellStyle name="표준 56" xfId="34950"/>
    <cellStyle name="표준 57" xfId="34951"/>
    <cellStyle name="표준 58" xfId="34952"/>
    <cellStyle name="표준 59" xfId="34953"/>
    <cellStyle name="표준 6" xfId="170"/>
    <cellStyle name="표준 6 10" xfId="34955"/>
    <cellStyle name="표준 6 11" xfId="34956"/>
    <cellStyle name="표준 6 12" xfId="34957"/>
    <cellStyle name="표준 6 13" xfId="34958"/>
    <cellStyle name="표준 6 14" xfId="34959"/>
    <cellStyle name="표준 6 15" xfId="34960"/>
    <cellStyle name="표준 6 16" xfId="34961"/>
    <cellStyle name="표준 6 17" xfId="34962"/>
    <cellStyle name="표준 6 18" xfId="34963"/>
    <cellStyle name="표준 6 19" xfId="34964"/>
    <cellStyle name="표준 6 2" xfId="309"/>
    <cellStyle name="표준 6 2 2" xfId="17452"/>
    <cellStyle name="표준 6 2 3" xfId="34965"/>
    <cellStyle name="표준 6 20" xfId="34966"/>
    <cellStyle name="표준 6 21" xfId="34967"/>
    <cellStyle name="표준 6 22" xfId="34968"/>
    <cellStyle name="표준 6 23" xfId="34954"/>
    <cellStyle name="표준 6 3" xfId="17313"/>
    <cellStyle name="표준 6 3 2" xfId="34969"/>
    <cellStyle name="표준 6 4" xfId="34970"/>
    <cellStyle name="표준 6 5" xfId="34971"/>
    <cellStyle name="표준 6 6" xfId="34972"/>
    <cellStyle name="표준 6 7" xfId="34973"/>
    <cellStyle name="표준 6 8" xfId="34974"/>
    <cellStyle name="표준 6 9" xfId="34975"/>
    <cellStyle name="표준 60" xfId="183"/>
    <cellStyle name="표준 60 2" xfId="17326"/>
    <cellStyle name="표준 60 3" xfId="34976"/>
    <cellStyle name="표준 61" xfId="34977"/>
    <cellStyle name="표준 62" xfId="34978"/>
    <cellStyle name="표준 63" xfId="34979"/>
    <cellStyle name="표준 64" xfId="34980"/>
    <cellStyle name="표준 65" xfId="34981"/>
    <cellStyle name="표준 66" xfId="34982"/>
    <cellStyle name="표준 67" xfId="34983"/>
    <cellStyle name="표준 68" xfId="34984"/>
    <cellStyle name="표준 69" xfId="34985"/>
    <cellStyle name="표준 7" xfId="171"/>
    <cellStyle name="표준 7 10" xfId="34987"/>
    <cellStyle name="표준 7 11" xfId="34988"/>
    <cellStyle name="표준 7 12" xfId="13837"/>
    <cellStyle name="표준 7 12 2" xfId="30978"/>
    <cellStyle name="표준 7 12 3" xfId="34989"/>
    <cellStyle name="표준 7 13" xfId="34990"/>
    <cellStyle name="표준 7 14" xfId="34991"/>
    <cellStyle name="표준 7 15" xfId="34992"/>
    <cellStyle name="표준 7 16" xfId="34993"/>
    <cellStyle name="표준 7 17" xfId="34994"/>
    <cellStyle name="표준 7 18" xfId="34995"/>
    <cellStyle name="표준 7 19" xfId="34996"/>
    <cellStyle name="표준 7 2" xfId="310"/>
    <cellStyle name="표준 7 2 2" xfId="17453"/>
    <cellStyle name="표준 7 2 3" xfId="34997"/>
    <cellStyle name="표준 7 20" xfId="34998"/>
    <cellStyle name="표준 7 21" xfId="34999"/>
    <cellStyle name="표준 7 22" xfId="34986"/>
    <cellStyle name="표준 7 3" xfId="17314"/>
    <cellStyle name="표준 7 3 2" xfId="35000"/>
    <cellStyle name="표준 7 4" xfId="35001"/>
    <cellStyle name="표준 7 5" xfId="35002"/>
    <cellStyle name="표준 7 6" xfId="35003"/>
    <cellStyle name="표준 7 7" xfId="35004"/>
    <cellStyle name="표준 7 8" xfId="35005"/>
    <cellStyle name="표준 7 9" xfId="35006"/>
    <cellStyle name="표준 70" xfId="35007"/>
    <cellStyle name="표준 71" xfId="35008"/>
    <cellStyle name="표준 72" xfId="35009"/>
    <cellStyle name="표준 73" xfId="35010"/>
    <cellStyle name="표준 74" xfId="35011"/>
    <cellStyle name="표준 75" xfId="35012"/>
    <cellStyle name="표준 76" xfId="35861"/>
    <cellStyle name="표준 77" xfId="35013"/>
    <cellStyle name="표준 78" xfId="35864"/>
    <cellStyle name="표준 79" xfId="34321"/>
    <cellStyle name="표준 8" xfId="172"/>
    <cellStyle name="표준 8 10" xfId="35015"/>
    <cellStyle name="표준 8 2" xfId="12580"/>
    <cellStyle name="표준 8 2 2" xfId="29721"/>
    <cellStyle name="표준 8 2 3" xfId="35016"/>
    <cellStyle name="표준 8 3" xfId="17315"/>
    <cellStyle name="표준 8 4" xfId="35014"/>
    <cellStyle name="표준 80" xfId="34319"/>
    <cellStyle name="표준 81" xfId="6"/>
    <cellStyle name="표준 82" xfId="35873"/>
    <cellStyle name="표준 83" xfId="35875"/>
    <cellStyle name="표준 84" xfId="35877"/>
    <cellStyle name="표준 85" xfId="36914"/>
    <cellStyle name="표준 86" xfId="36916"/>
    <cellStyle name="표준 87" xfId="36917"/>
    <cellStyle name="표준 87 2" xfId="36919"/>
    <cellStyle name="표준 88" xfId="36929"/>
    <cellStyle name="표준 89" xfId="36930"/>
    <cellStyle name="표준 9" xfId="181"/>
    <cellStyle name="표준 9 2" xfId="317"/>
    <cellStyle name="표준 9 2 2" xfId="829"/>
    <cellStyle name="표준 9 2 2 2" xfId="17972"/>
    <cellStyle name="표준 9 2 3" xfId="577"/>
    <cellStyle name="표준 9 2 3 2" xfId="17720"/>
    <cellStyle name="표준 9 2 4" xfId="12817"/>
    <cellStyle name="표준 9 2 4 2" xfId="29958"/>
    <cellStyle name="표준 9 2 5" xfId="13772"/>
    <cellStyle name="표준 9 2 5 2" xfId="30913"/>
    <cellStyle name="표준 9 2 6" xfId="17460"/>
    <cellStyle name="표준 9 3" xfId="493"/>
    <cellStyle name="표준 9 3 2" xfId="954"/>
    <cellStyle name="표준 9 3 2 2" xfId="18097"/>
    <cellStyle name="표준 9 3 3" xfId="700"/>
    <cellStyle name="표준 9 3 3 2" xfId="17843"/>
    <cellStyle name="표준 9 3 4" xfId="12974"/>
    <cellStyle name="표준 9 3 4 2" xfId="30115"/>
    <cellStyle name="표준 9 3 5" xfId="13813"/>
    <cellStyle name="표준 9 3 5 2" xfId="30954"/>
    <cellStyle name="표준 9 3 6" xfId="17636"/>
    <cellStyle name="표준 9 4" xfId="17324"/>
    <cellStyle name="표준 9 5" xfId="35017"/>
    <cellStyle name="표준 90" xfId="36931"/>
    <cellStyle name="표준 91" xfId="36932"/>
    <cellStyle name="표준 92" xfId="36933"/>
    <cellStyle name="標準_PLDT" xfId="36906"/>
    <cellStyle name="표준_수지분석표" xfId="3"/>
    <cellStyle name="표준_수지분석표_수지분석(최종판)" xfId="4"/>
    <cellStyle name="하이퍼링크 2" xfId="35858"/>
    <cellStyle name="합계" xfId="36907"/>
    <cellStyle name="합산" xfId="82"/>
    <cellStyle name="합산 2" xfId="254"/>
    <cellStyle name="합산 2 2" xfId="818"/>
    <cellStyle name="합산 2 2 2" xfId="17961"/>
    <cellStyle name="합산 2 3" xfId="566"/>
    <cellStyle name="합산 2 3 2" xfId="17709"/>
    <cellStyle name="합산 2 4" xfId="12749"/>
    <cellStyle name="합산 2 4 2" xfId="16112"/>
    <cellStyle name="합산 2 4 2 2" xfId="33253"/>
    <cellStyle name="합산 2 4 3" xfId="29890"/>
    <cellStyle name="합산 2 5" xfId="12877"/>
    <cellStyle name="합산 2 5 2" xfId="16235"/>
    <cellStyle name="합산 2 5 2 2" xfId="33376"/>
    <cellStyle name="합산 2 5 3" xfId="30018"/>
    <cellStyle name="합산 2 6" xfId="12782"/>
    <cellStyle name="합산 2 6 2" xfId="16145"/>
    <cellStyle name="합산 2 6 2 2" xfId="33286"/>
    <cellStyle name="합산 2 6 3" xfId="29923"/>
    <cellStyle name="합산 2 7" xfId="13436"/>
    <cellStyle name="합산 2 7 2" xfId="16787"/>
    <cellStyle name="합산 2 7 2 2" xfId="33928"/>
    <cellStyle name="합산 2 7 3" xfId="30577"/>
    <cellStyle name="합산 2 8" xfId="17397"/>
    <cellStyle name="합산 3" xfId="352"/>
    <cellStyle name="합산 3 2" xfId="859"/>
    <cellStyle name="합산 3 2 2" xfId="18002"/>
    <cellStyle name="합산 3 3" xfId="607"/>
    <cellStyle name="합산 3 3 2" xfId="17750"/>
    <cellStyle name="합산 3 4" xfId="12693"/>
    <cellStyle name="합산 3 4 2" xfId="16056"/>
    <cellStyle name="합산 3 4 2 2" xfId="33197"/>
    <cellStyle name="합산 3 4 3" xfId="29834"/>
    <cellStyle name="합산 3 5" xfId="12631"/>
    <cellStyle name="합산 3 5 2" xfId="15994"/>
    <cellStyle name="합산 3 5 2 2" xfId="33135"/>
    <cellStyle name="합산 3 5 3" xfId="29772"/>
    <cellStyle name="합산 3 6" xfId="13276"/>
    <cellStyle name="합산 3 6 2" xfId="16627"/>
    <cellStyle name="합산 3 6 2 2" xfId="33768"/>
    <cellStyle name="합산 3 6 3" xfId="30417"/>
    <cellStyle name="합산 3 7" xfId="13351"/>
    <cellStyle name="합산 3 7 2" xfId="16702"/>
    <cellStyle name="합산 3 7 2 2" xfId="33843"/>
    <cellStyle name="합산 3 7 3" xfId="30492"/>
    <cellStyle name="합산 3 8" xfId="17495"/>
    <cellStyle name="합산 4" xfId="473"/>
    <cellStyle name="합산 4 2" xfId="13148"/>
    <cellStyle name="합산 4 2 2" xfId="16499"/>
    <cellStyle name="합산 4 2 2 2" xfId="33640"/>
    <cellStyle name="합산 4 2 3" xfId="30289"/>
    <cellStyle name="합산 4 3" xfId="13299"/>
    <cellStyle name="합산 4 3 2" xfId="16650"/>
    <cellStyle name="합산 4 3 2 2" xfId="33791"/>
    <cellStyle name="합산 4 3 3" xfId="30440"/>
    <cellStyle name="합산 4 4" xfId="13328"/>
    <cellStyle name="합산 4 4 2" xfId="16679"/>
    <cellStyle name="합산 4 4 2 2" xfId="33820"/>
    <cellStyle name="합산 4 4 3" xfId="30469"/>
    <cellStyle name="합산 4 5" xfId="13552"/>
    <cellStyle name="합산 4 5 2" xfId="16903"/>
    <cellStyle name="합산 4 5 2 2" xfId="34044"/>
    <cellStyle name="합산 4 5 3" xfId="30693"/>
    <cellStyle name="합산 4 6" xfId="17616"/>
    <cellStyle name="합산 5" xfId="17254"/>
    <cellStyle name="桁区切り [0.00]_hr" xfId="36908"/>
    <cellStyle name="桁区切り_hr" xfId="36909"/>
    <cellStyle name="항목" xfId="36910"/>
    <cellStyle name="貨幣 [0]_PERSONAL" xfId="36911"/>
    <cellStyle name="貨幣_PERSONAL" xfId="36912"/>
    <cellStyle name="화폐기호" xfId="83"/>
    <cellStyle name="화폐기호 2" xfId="255"/>
    <cellStyle name="화폐기호 2 2" xfId="17398"/>
    <cellStyle name="화폐기호 3" xfId="17255"/>
    <cellStyle name="화폐기호 4" xfId="35859"/>
    <cellStyle name="화폐기호0" xfId="84"/>
    <cellStyle name="화폐기호0 2" xfId="256"/>
    <cellStyle name="화폐기호0 2 2" xfId="17399"/>
    <cellStyle name="화폐기호0 3" xfId="17256"/>
    <cellStyle name="화폐기호0 4" xfId="35860"/>
    <cellStyle name="회색테두리" xfId="36913"/>
  </cellStyles>
  <dxfs count="0"/>
  <tableStyles count="0" defaultTableStyle="TableStyleMedium2" defaultPivotStyle="PivotStyleLight16"/>
  <colors>
    <mruColors>
      <color rgb="FFFF0066"/>
      <color rgb="FF99FF99"/>
      <color rgb="FFFFFF99"/>
      <color rgb="FF0000FF"/>
      <color rgb="FFCCFFCC"/>
      <color rgb="FF66FFCC"/>
      <color rgb="FF990033"/>
      <color rgb="FFFF99FF"/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y%20Documents\&#49437;&#50864;&#44368;%20&#45909;&#46020;&#48169;&#5469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2268;&#49453;\2004&#45380;&#50896;&#44032;\2004&#45380;&#50896;&#44032;\&#51228;&#51312;&#50896;&#44032;\&#54620;&#44397;&#49548;&#54532;&#53944;&#50920;&#50612;&#51652;&#55141;&#50896;\&#44221;&#50689;&#51648;&#50896;&#54016;\&#51060;&#48337;&#47925;&#49440;&#51076;\&#52572;&#51333;\Documents%20and%20Settings\SOONDAENG\My%20Documents\&#51089;&#50629;\2002&#45380;\June\&#51312;&#49464;-&#49884;&#44277;&#53580;&#53356;\&#51089;&#50629;\&#44277;&#5097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4&#44396;&#51312;&#47932;&#44277;\&#44368;&#47049;\&#47560;&#55128;1&#44368;\&#54616;&#48512;\A1&#47924;&#50504;&#48169;&#54693;&#49688;&#4704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SO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9849;&#54788;\shareddocs\Documents%20and%20Settings\&#51312;&#48276;&#47536;1\My%20Documents\&#48155;&#51008;%20&#54028;&#51068;\Cash%20Flow(Template)(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9849;&#54788;\shareddocs\Documents%20and%20Settings\Administrator\&#48148;&#53461;%20&#54868;&#47732;\combo_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44277;&#50689;&#55148;\&#50689;&#50629;&#44288;&#47532;\0JHKIM\&#54032;&#47588;\96\GC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805;&#44508;\&#50857;&#51008;&#44368;\ALL-WORK\DWG\&#49345;&#54032;&#51201;&#47785;\&#44552;&#54840;3&#44368;\&#49688;&#47049;\&#44552;&#54840;3&#4436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dmf27\&#50629;&#47924;\4-&#44592;&#49696;&#51088;&#47308;\&#45236;&#48512;\&#49888;&#51077;&#49324;&#50896;&#44368;&#50977;\&#49888;&#51077;&#49324;&#50896;&#44368;&#5050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980;&#49885;\&#54644;&#50868;&#45824;&#54253;&#54252;&#49324;\&#52572;&#51333;\&#50745;&#48317;\&#54633;&#48317;&#49885;\&#45208;&#47924;&#48156;&#48156;&#51060;\&#50745;&#48317;(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5148;\D\Windows\Temporary%20Internet%20Files\Content.IE5\QLA5UJ2F\&#49688;&#51648;&#48516;&#49437;(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4&#44396;&#51312;&#47932;&#44277;\&#44368;&#47049;\&#47560;&#55128;1&#44368;\&#49345;&#48512;\&#49345;&#48512;&#44277;&#49688;&#47049;&#49328;&#526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y%20Documents\HB\&#45824;&#52285;&#49688;&#4704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&#50689;&#46041;-&#44608;&#52380;(LM\03-&#49688;&#47049;&#49328;&#52636;&#49436;(&#50896;&#44032;&#49688;&#47049;)\08-&#54889;&#44036;IC&#50977;&#44368;\01-&#49345;&#48512;\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y%20Documents\&#50857;&#49328;1&#49688;&#470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4&#44396;&#51312;&#47932;&#44277;\&#44368;&#47049;\&#47560;&#55128;1&#44368;\&#54616;&#48512;\&#44368;&#45824;&#47924;&#50504;&#48169;&#54693;&#49688;&#47049;&#51665;&#44228;-&#47560;&#55128;1&#443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4&#44396;&#51312;&#47932;&#44277;\&#44368;&#47049;\&#47560;&#55128;1&#44368;\&#54616;&#48512;\&#44368;&#45824;&#49688;&#47049;&#51665;&#44228;-&#47560;&#55128;1&#443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Startup" Target="IC&#49688;&#47049;/&#48176;&#49688;&#44288;&#44277;(IC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_bank\DATABANK\DOHWA\&#44277;&#51452;_&#49436;&#52380;\10_&#48393;&#49440;3&#44368;\&#48393;&#49440;3&#4436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y%20Documents\&#44228;&#47548;&#49688;&#4704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y\NEW\&#44592;&#53440;\&#50696;&#51228;&#44368;&#47049;&#49688;&#47049;\&#44221;&#49688;&#47196;\&#45824;&#51064;&#54840;&#44368;&#51665;&#44228;&#5436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&#50668;&#44592;&#50640;%20&#45347;&#50612;\&#49688;&#47049;(&#47329;&#51204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1061;\&#49688;&#47049;\MSOFFICE\EXCEL\HONG-LIK\DOHWA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iga\2007\My%20Documents\&#48516;&#50577;&#49688;&#51077;&#44552;\&#48177;&#50629;(&#45796;&#47480;&#52980;&#44732;)\&#49324;&#50629;&#51652;&#54665;&#54788;&#51109;\&#51221;&#55148;&#46024;\&#49324;&#50629;&#48708;%20&#45236;&#50669;%20&#46041;&#53444;&#51648;&#44396;\&#45209;&#52272;&#53469;&#51648;%20&#54788;&#54889;%20&#48143;%20&#54693;&#54980;%20&#44228;&#5492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koland.co.kr/Project/&#54868;&#49457;&#51648;&#44396;&#45800;&#50948;/&#54200;&#51648;&#48169;/From&#49436;&#50689;/&#44032;&#44396;&#48143;&#54925;&#51648;&#51312;&#49436;(1212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iga\2007\My%20Documents\&#48516;&#50577;&#49688;&#51077;&#44552;\&#48177;&#50629;(&#45796;&#47480;&#52980;&#44732;)\&#49324;&#50629;&#51652;&#54665;&#54788;&#51109;\&#51221;&#55148;&#46024;\&#49324;&#50629;&#48708;%20&#45236;&#50669;%20&#46041;&#53444;&#51648;&#44396;\&#54868;&#49457;&#46041;&#53444;%20&#54925;&#51648;&#54788;&#5488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\My%20Documents\GOOMI\DOHWA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_server/08.&#49324;&#50629;3&#48376;&#48512;(2014)/02.&#49324;&#50629;2&#48376;&#48512;/11.%202013(2&#48376;&#48512;%202&#54016;)/1.&#44160;&#53664;/&#9733;2023&#45380;&#9733;/5.%20&#50504;&#46041;%20&#50857;&#49345;&#46041;%20&#44277;&#46041;&#51452;&#53469;/15.%20&#49688;&#51452;&#49900;&#51032;/6.%20&#50504;&#46041;&#49324;&#50629;&#49688;&#51648;/1016%20&#50504;&#46041;&#49324;&#50629;&#49688;&#51648;_Norm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간지"/>
      <sheetName val="덕도집계"/>
      <sheetName val="덕도"/>
      <sheetName val="INPUT(덕도방향-시점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공유"/>
      <sheetName val="#REF"/>
      <sheetName val="실행내역"/>
      <sheetName val="경산"/>
      <sheetName val="직노"/>
      <sheetName val="내역서2안"/>
      <sheetName val="목록"/>
      <sheetName val="입찰안"/>
      <sheetName val="업무"/>
      <sheetName val="DATA"/>
      <sheetName val="Y-WORK"/>
      <sheetName val="자료"/>
      <sheetName val="1995년 섹터별 매출"/>
      <sheetName val="사급자재"/>
      <sheetName val="일위대가"/>
      <sheetName val="공종별"/>
      <sheetName val="요율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1 무안방향토공집계표"/>
      <sheetName val="A1 무안방향타공종이월수량"/>
      <sheetName val="A1무안방향주요자재집계표"/>
      <sheetName val="A1무안방향철근집계표"/>
      <sheetName val="A1무안방향레미콘집계표"/>
      <sheetName val="A1무안방향시멘트및골재수량집계표"/>
      <sheetName val="A1무안방향일반수량집계표"/>
      <sheetName val="교대일반수량"/>
      <sheetName val="교대토공"/>
      <sheetName val="강관파일_천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odule1"/>
      <sheetName val="Sheet2"/>
      <sheetName val="Sheet3"/>
      <sheetName val="Sheet4"/>
      <sheetName val="VXXXXX"/>
      <sheetName val="tel"/>
      <sheetName val="XXXXXX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Sheet5"/>
      <sheetName val="구분"/>
      <sheetName val="Sheet6"/>
      <sheetName val="Sheet7"/>
      <sheetName val="설변공종"/>
      <sheetName val="000000"/>
      <sheetName val="------"/>
      <sheetName val="laroux"/>
      <sheetName val="앞시트뒷시트"/>
      <sheetName val="수식붙이기"/>
      <sheetName val="Sheet8"/>
      <sheetName val="Sheet9"/>
      <sheetName val="Sheet10"/>
      <sheetName val="Sheet11"/>
      <sheetName val="요약"/>
      <sheetName val="2001사업계획"/>
      <sheetName val="2001사업단가(내수)"/>
      <sheetName val="★2001사업계획(최종)"/>
      <sheetName val="접수건"/>
      <sheetName val="K동"/>
      <sheetName val="L직동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표지"/>
      <sheetName val="1안"/>
      <sheetName val="상번천 (2)"/>
      <sheetName val="상번천"/>
      <sheetName val="하번천"/>
      <sheetName val="#REF"/>
      <sheetName val="견적조건보고서"/>
      <sheetName val="견적갑지"/>
      <sheetName val="을지"/>
      <sheetName val="전기"/>
      <sheetName val="계장"/>
      <sheetName val="공구단가"/>
      <sheetName val="갑지"/>
      <sheetName val="공BM"/>
      <sheetName val="******"/>
      <sheetName val="Sheet12"/>
      <sheetName val="Sheet13"/>
      <sheetName val="Sheet14"/>
      <sheetName val="Sheet15"/>
      <sheetName val="Sheet16"/>
      <sheetName val="Sheet17"/>
      <sheetName val="Macro1"/>
      <sheetName val="결재"/>
      <sheetName val="자금결"/>
      <sheetName val="mark"/>
      <sheetName val="명판"/>
      <sheetName val="XXuxrld WideServersrsIL Q12Actc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수식복사"/>
      <sheetName val="상품 데이타"/>
      <sheetName val="Chart1"/>
      <sheetName val="주간 영업표"/>
      <sheetName val="VXXXXXX"/>
      <sheetName val="0000000"/>
      <sheetName val="Sheet2 (2)"/>
      <sheetName val="주소"/>
      <sheetName val="NAMES"/>
      <sheetName val="stock"/>
      <sheetName val="PERSONAL"/>
      <sheetName val="개발집계"/>
      <sheetName val="최종욱MODULE"/>
      <sheetName val="Diablos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Sheet18"/>
      <sheetName val="Sheet19"/>
      <sheetName val="Sheet20"/>
      <sheetName val="MAIN"/>
      <sheetName val="ENG"/>
      <sheetName val="INST"/>
      <sheetName val="Sheet3 (2)"/>
      <sheetName val="Sheet3 (3)"/>
      <sheetName val="Sheet3 (4)"/>
      <sheetName val="서식지우기"/>
      <sheetName val="open"/>
      <sheetName val="가운데"/>
      <sheetName val="그리기"/>
      <sheetName val="서식지정"/>
      <sheetName val=""/>
      <sheetName val="Sheet1 (2)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PERSONAL (2)"/>
      <sheetName val="PERSONAL (3)"/>
      <sheetName val="인원표"/>
      <sheetName val="Macro셀맞춤"/>
      <sheetName val="Macro개인도구"/>
      <sheetName val="Sheet1 (3)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List1"/>
      <sheetName val="Sheet21"/>
      <sheetName val="산출양식-전화"/>
      <sheetName val="공량집계양식"/>
      <sheetName val="내역서-총괄집계표"/>
      <sheetName val="내역서-박물관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사업개요"/>
      <sheetName val="서류"/>
      <sheetName val="내역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내역 (2)"/>
      <sheetName val="]"/>
      <sheetName val="한컴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Module2"/>
      <sheetName val="정리"/>
      <sheetName val="rng"/>
      <sheetName val="경춘선투입금액"/>
      <sheetName val="in"/>
      <sheetName val="1"/>
      <sheetName val="공장LAY-OUT"/>
      <sheetName val="이동"/>
      <sheetName val="선지우기"/>
      <sheetName val="KIT"/>
      <sheetName val="CON"/>
      <sheetName val="CON (2)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코드치환"/>
      <sheetName val="유령문자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Hoja1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VVVVVa"/>
      <sheetName val="Macro2"/>
      <sheetName val="Macro3"/>
      <sheetName val="Macro4"/>
      <sheetName val="Macro5"/>
      <sheetName val="Macro6"/>
      <sheetName val="Macro7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양식"/>
      <sheetName val="dd1834t"/>
      <sheetName val="DDA1564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000000000"/>
      <sheetName val="100000000"/>
      <sheetName val="200000000"/>
      <sheetName val="300000000"/>
      <sheetName val="400000000"/>
      <sheetName val="500000000"/>
      <sheetName val="600000000"/>
      <sheetName val="700000000"/>
      <sheetName val="800000000"/>
      <sheetName val="900000000"/>
      <sheetName val="총괄"/>
      <sheetName val="손익금내역"/>
      <sheetName val="사업총괄"/>
      <sheetName val="Module1 (2)"/>
      <sheetName val="Legend"/>
      <sheetName val="실행수주매출잔고"/>
      <sheetName val="실행수주"/>
      <sheetName val="실행매출"/>
      <sheetName val="매출비교표"/>
      <sheetName val="제품별 매출"/>
      <sheetName val="합계"/>
      <sheetName val="INDEX"/>
      <sheetName val="Arkusz1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철판"/>
      <sheetName val="가공비"/>
      <sheetName val="업체CODE"/>
      <sheetName val="현대PS"/>
      <sheetName val="목적"/>
      <sheetName val="Лист1"/>
      <sheetName val="아름다운글"/>
      <sheetName val="정산자료"/>
      <sheetName val="정명호작성프로그램"/>
      <sheetName val="기타"/>
      <sheetName val="업무일지양식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MOVE"/>
      <sheetName val="시작"/>
      <sheetName val="대우철판"/>
      <sheetName val="종합분석(분석내) (2)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월드(단중표)"/>
      <sheetName val="HMC PRESS"/>
      <sheetName val="철판가"/>
      <sheetName val="원가T-CODE"/>
      <sheetName val="원가계산서"/>
      <sheetName val="외주 PRESS"/>
      <sheetName val="VXX"/>
      <sheetName val="SHEET"/>
      <sheetName val="3차 대 최 최갑)"/>
      <sheetName val="1층(1안)"/>
      <sheetName val="1층(2안) "/>
      <sheetName val="1층(3안) "/>
      <sheetName val="2층(1안)"/>
      <sheetName val="2층(2안)"/>
      <sheetName val="2층(3안)"/>
      <sheetName val="HMC용접표준"/>
      <sheetName val="22.12.04"/>
      <sheetName val="구분양식 (3차 대 최종-"/>
      <sheetName val="전산롔인사용법"/>
      <sheetName val="Munka1"/>
      <sheetName val="쌍용재질표"/>
      <sheetName val="의사결정"/>
      <sheetName val="경영환경"/>
      <sheetName val="해약"/>
      <sheetName val="예산신청"/>
      <sheetName val="미결사항"/>
      <sheetName val="비전"/>
      <sheetName val="전략"/>
      <sheetName val="신톞⚲"/>
      <sheetName val="]_x0000_⃀摥屝尨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경영과제"/>
      <sheetName val="수도(갑)"/>
      <sheetName val="김포"/>
      <sheetName val="활동정리"/>
      <sheetName val="Tip"/>
      <sheetName val="EVA Tree"/>
      <sheetName val="VXXX"/>
      <sheetName val="사내유치"/>
      <sheetName val="공사비 증감 구분"/>
      <sheetName val="개보수총공사비"/>
      <sheetName val="덕례배수장"/>
      <sheetName val="스크린"/>
      <sheetName val="2002양배"/>
      <sheetName val="집계표"/>
      <sheetName val="List"/>
      <sheetName val="단위수량"/>
      <sheetName val="구조물공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손익계산서"/>
      <sheetName val="__(_)_x0000_(4)"/>
      <sheetName val="월보(을) (_x0016_)"/>
      <sheetName val="업무 List"/>
      <sheetName val="PXuxrld WideServersrsIL Q12Actc"/>
      <sheetName val="Macro"/>
      <sheetName val="-------"/>
      <sheetName val="データ"/>
      <sheetName val="要領書データ入力"/>
      <sheetName val="ﾓｼﾞｭｰﾙﾘｽﾄ"/>
      <sheetName val="図形"/>
      <sheetName val="状態変数"/>
      <sheetName val="PRESS표준"/>
      <sheetName val="20060116 mstr"/>
      <sheetName val="기초219"/>
      <sheetName val="20060126 mstr"/>
      <sheetName val="Item Master"/>
      <sheetName val="부품구성표_추가"/>
      <sheetName val="Item Master 추가"/>
      <sheetName val="부품구성표"/>
      <sheetName val="실적1월"/>
      <sheetName val="2공구 가로수집계"/>
      <sheetName val="요율"/>
      <sheetName val="산출"/>
      <sheetName val="소방"/>
      <sheetName val="EMS변환"/>
      <sheetName val="수량산출서"/>
      <sheetName val="원칙을 지키는 사람들"/>
      <sheetName val="사업비현황"/>
      <sheetName val="물가변동계산"/>
      <sheetName val=".csv]지역별 판매가격(대리점)-2002-8[1]"/>
      <sheetName val="시"/>
      <sheetName val="단가"/>
      <sheetName val="실행내역서 "/>
      <sheetName val="QC스케줄"/>
      <sheetName val="광고10"/>
      <sheetName val="입고스케줄"/>
      <sheetName val="사이즈_자켓"/>
      <sheetName val="사이즈_스컷"/>
      <sheetName val="사이즈_바지"/>
      <sheetName val="사이즈_남방 (2)"/>
      <sheetName val="사이즈_남방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Item Master추가"/>
      <sheetName val="48433"/>
      <sheetName val="357D"/>
      <sheetName val="992"/>
      <sheetName val="357B"/>
      <sheetName val="부품구성표 추가"/>
      <sheetName val="VXXXX"/>
      <sheetName val="guyan"/>
      <sheetName val="시퀀스양식"/>
      <sheetName val="고속차종설명"/>
      <sheetName val="생관통신양식"/>
      <sheetName val="MI요소"/>
      <sheetName val="성공하는 삶"/>
      <sheetName val="어록"/>
      <sheetName val="우븐패치"/>
      <sheetName val="클루자켓"/>
      <sheetName val="클루스컷"/>
      <sheetName val="OST"/>
      <sheetName val="전등 "/>
      <sheetName val="Sheet2 "/>
      <sheetName val="종합월보(위)"/>
      <sheetName val="편집"/>
      <sheetName val="지사,영업국,운용국맵핑"/>
      <sheetName val="그룹핑"/>
      <sheetName val="신조직"/>
      <sheetName val="구지사"/>
      <sheetName val="전용번호구분"/>
      <sheetName val="CM"/>
      <sheetName val="DonGiaLD"/>
      <sheetName val="Convert Font"/>
      <sheetName val="So_Chu"/>
      <sheetName val="Thietke"/>
      <sheetName val="[PERSONAL.XLᒽᒽ_x0003__x0008_(_) (5)"/>
      <sheetName val="전등  (2)"/>
      <sheetName val="cable-data"/>
      <sheetName val="입고일정"/>
      <sheetName val="자켓"/>
      <sheetName val="스컷"/>
      <sheetName val="남방"/>
      <sheetName val="바지"/>
      <sheetName val="연락처"/>
      <sheetName val="원단재고현황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 refreshError="1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 refreshError="1"/>
      <sheetData sheetId="214"/>
      <sheetData sheetId="215" refreshError="1"/>
      <sheetData sheetId="216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/>
      <sheetData sheetId="310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/>
      <sheetData sheetId="378" refreshError="1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/>
      <sheetData sheetId="671"/>
      <sheetData sheetId="672"/>
      <sheetData sheetId="673" refreshError="1"/>
      <sheetData sheetId="674" refreshError="1"/>
      <sheetData sheetId="675"/>
      <sheetData sheetId="676"/>
      <sheetData sheetId="677" refreshError="1"/>
      <sheetData sheetId="678" refreshError="1"/>
      <sheetData sheetId="679" refreshError="1"/>
      <sheetData sheetId="680"/>
      <sheetData sheetId="681"/>
      <sheetData sheetId="682" refreshError="1"/>
      <sheetData sheetId="683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건축개요"/>
      <sheetName val="수지분석"/>
      <sheetName val="CashFlow"/>
      <sheetName val="국민주택채권 등"/>
      <sheetName val="분담금"/>
      <sheetName val="기타 비용"/>
      <sheetName val="대출금 산출내역"/>
      <sheetName val="공기"/>
      <sheetName val="분양가산정"/>
      <sheetName val="공정율"/>
      <sheetName val="교통유발계수"/>
      <sheetName val="사업계획서용1"/>
      <sheetName val="사업계획서용2"/>
      <sheetName val="인문사회"/>
      <sheetName val="사업계획서용3"/>
      <sheetName val="단가산출서총괄"/>
      <sheetName val="기계내역"/>
      <sheetName val="계정code"/>
      <sheetName val="Cash Flow(Template)(1)"/>
      <sheetName val="Sheet1"/>
      <sheetName val="Sheet5"/>
      <sheetName val="금액"/>
      <sheetName val="부표총괄"/>
      <sheetName val="품셈1-17"/>
      <sheetName val="일위대가"/>
      <sheetName val="Borrower"/>
      <sheetName val="FORM-0"/>
      <sheetName val="BSD (2)"/>
    </sheetNames>
    <sheetDataSet>
      <sheetData sheetId="0"/>
      <sheetData sheetId="1" refreshError="1">
        <row r="21">
          <cell r="B21">
            <v>1</v>
          </cell>
        </row>
        <row r="35">
          <cell r="B35">
            <v>4</v>
          </cell>
        </row>
        <row r="46">
          <cell r="B46">
            <v>19</v>
          </cell>
        </row>
        <row r="114">
          <cell r="C114" t="str">
            <v>공동주택</v>
          </cell>
        </row>
        <row r="115">
          <cell r="C115" t="str">
            <v>교회/성당/사찰/기도원</v>
          </cell>
        </row>
        <row r="116">
          <cell r="C116" t="str">
            <v>수도원/수녀원</v>
          </cell>
        </row>
        <row r="117">
          <cell r="C117" t="str">
            <v>종합병원/병원/의원/한의원</v>
          </cell>
        </row>
        <row r="118">
          <cell r="C118" t="str">
            <v>일반업무시설</v>
          </cell>
        </row>
        <row r="119">
          <cell r="C119" t="str">
            <v>정부및지자체의 청사</v>
          </cell>
        </row>
        <row r="120">
          <cell r="C120" t="str">
            <v>공연장/집회장/관람장</v>
          </cell>
        </row>
        <row r="121">
          <cell r="C121" t="str">
            <v>예식장</v>
          </cell>
        </row>
        <row r="122">
          <cell r="C122" t="str">
            <v>전시장</v>
          </cell>
        </row>
        <row r="123">
          <cell r="C123" t="str">
            <v>동식물원</v>
          </cell>
        </row>
        <row r="124">
          <cell r="C124" t="str">
            <v>시장/도매센터</v>
          </cell>
        </row>
        <row r="125">
          <cell r="C125" t="str">
            <v>대형점/백화점/쇼핑센터</v>
          </cell>
        </row>
        <row r="126">
          <cell r="C126" t="str">
            <v>호텔/여관/기타관광숙박시설</v>
          </cell>
        </row>
        <row r="127">
          <cell r="C127" t="str">
            <v>주점영업/단란주점(근린시설아닌경우)/특수목욕장/당구장/유기장</v>
          </cell>
        </row>
        <row r="128">
          <cell r="C128" t="str">
            <v>무도장/무도학원/투전기업소/카지노업소</v>
          </cell>
        </row>
        <row r="129">
          <cell r="C129" t="str">
            <v>세차장/매매장/폐차장/운전정비학원</v>
          </cell>
        </row>
        <row r="130">
          <cell r="C130" t="str">
            <v>검사장/정비공장/주차장</v>
          </cell>
        </row>
        <row r="131">
          <cell r="C131" t="str">
            <v>여객자동차터미널</v>
          </cell>
        </row>
        <row r="132">
          <cell r="C132" t="str">
            <v>방송국/전신전화국/촬영소</v>
          </cell>
        </row>
        <row r="133">
          <cell r="C133" t="str">
            <v>일반공장/공해공장</v>
          </cell>
        </row>
        <row r="134">
          <cell r="C134" t="str">
            <v>교육원/직업훈련소/연구소/도서관/학원</v>
          </cell>
        </row>
        <row r="135">
          <cell r="C135" t="str">
            <v>전문대학/대학/대학교</v>
          </cell>
        </row>
        <row r="136">
          <cell r="C136" t="str">
            <v>창고</v>
          </cell>
        </row>
        <row r="137">
          <cell r="C137" t="str">
            <v>하역장/적치장</v>
          </cell>
        </row>
        <row r="138">
          <cell r="C138" t="str">
            <v>저장탱크</v>
          </cell>
        </row>
        <row r="139">
          <cell r="C139" t="str">
            <v>야외음악당/야외극장</v>
          </cell>
        </row>
        <row r="140">
          <cell r="C140" t="str">
            <v>어린이회관/휴게소/관망탑/유원지부속시설</v>
          </cell>
        </row>
        <row r="141">
          <cell r="C141" t="str">
            <v>체육관/운동장/근린시설이아닌시설</v>
          </cell>
        </row>
        <row r="142">
          <cell r="C142" t="str">
            <v>아동시설/노인시설</v>
          </cell>
        </row>
        <row r="143">
          <cell r="C143" t="str">
            <v>주유소/액화석유가스충전소</v>
          </cell>
        </row>
        <row r="144">
          <cell r="C144" t="str">
            <v>정수장/양수장/변전소</v>
          </cell>
        </row>
        <row r="145">
          <cell r="C145" t="str">
            <v>기타 1,2종 근린생활시설</v>
          </cell>
        </row>
        <row r="146">
          <cell r="C146" t="str">
            <v>장례식장</v>
          </cell>
        </row>
        <row r="147">
          <cell r="C147" t="str">
            <v>화장장/납골당/공원묘원</v>
          </cell>
        </row>
        <row r="148">
          <cell r="C148" t="str">
            <v>유스호스텔/생활권수련시설/자연권수련시설</v>
          </cell>
        </row>
        <row r="149">
          <cell r="C149" t="str">
            <v>가축시장/도축장/도계장/동물검역소</v>
          </cell>
        </row>
        <row r="150">
          <cell r="C150" t="str">
            <v>발전소,교정시설,군사국방시설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콤보박스와 리스트박스의 연결"/>
      <sheetName val="연습해 보세요"/>
      <sheetName val="시장성초안camera"/>
      <sheetName val="combo_list"/>
      <sheetName val="사업부배부A"/>
      <sheetName val="1-1"/>
      <sheetName val="건축개요"/>
      <sheetName val="BA"/>
      <sheetName val="Sheet4"/>
      <sheetName val="확인서"/>
      <sheetName val="기대회수율산정"/>
      <sheetName val="기대회수Schedule"/>
    </sheetNames>
    <sheetDataSet>
      <sheetData sheetId="0" refreshError="1">
        <row r="6">
          <cell r="H6" t="str">
            <v>586-133Mhz</v>
          </cell>
        </row>
        <row r="7">
          <cell r="H7" t="str">
            <v>586-166Mhz</v>
          </cell>
        </row>
        <row r="8">
          <cell r="H8" t="str">
            <v>8메가</v>
          </cell>
        </row>
        <row r="9">
          <cell r="C9">
            <v>2</v>
          </cell>
          <cell r="H9" t="str">
            <v>16메가</v>
          </cell>
        </row>
        <row r="10">
          <cell r="H10" t="str">
            <v>32메가</v>
          </cell>
        </row>
        <row r="11">
          <cell r="H11" t="str">
            <v>삼성마이젯</v>
          </cell>
        </row>
        <row r="12">
          <cell r="H12" t="str">
            <v>삼성레이저</v>
          </cell>
        </row>
        <row r="13">
          <cell r="H13" t="str">
            <v>캐논버블젯</v>
          </cell>
        </row>
        <row r="14">
          <cell r="H14" t="str">
            <v>데스크젯</v>
          </cell>
        </row>
        <row r="15">
          <cell r="H15" t="str">
            <v>15인치</v>
          </cell>
        </row>
        <row r="16">
          <cell r="H16" t="str">
            <v>17인치</v>
          </cell>
        </row>
        <row r="17">
          <cell r="H17" t="str">
            <v>20인치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995년 섹터별 매출"/>
      <sheetName val="10대maker영업실적(91-94)"/>
      <sheetName val="95년도 신제품"/>
      <sheetName val="1996-2000년 판매계획"/>
      <sheetName val="1996-2000년 영업본부 계획"/>
      <sheetName val="1996-2000년 영업계획 + 70억"/>
      <sheetName val="콤보박스와 리스트박스의 연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수량집계표"/>
      <sheetName val="상부의 INPUT"/>
      <sheetName val="상 부"/>
      <sheetName val="교대1"/>
      <sheetName val="교 대2"/>
      <sheetName val="교대 토공"/>
      <sheetName val="교 각"/>
      <sheetName val="우 물 통"/>
      <sheetName val="예 비"/>
      <sheetName val="Sheet3"/>
      <sheetName val="감가상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목차"/>
      <sheetName val="01,02-역활과현황"/>
      <sheetName val="03-설계단계"/>
      <sheetName val="04-응용분야"/>
      <sheetName val="05-공사실적"/>
      <sheetName val="06-BATCH 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상 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형옹벽(key)"/>
      <sheetName val="06-BATCH 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평가보고서"/>
      <sheetName val="Sheet1"/>
      <sheetName val="내역서"/>
      <sheetName val="단독"/>
      <sheetName val="타공종이기"/>
      <sheetName val="수지분석(1)"/>
      <sheetName val="건축개요"/>
      <sheetName val="Yr03,04,05,06PLs-1"/>
      <sheetName val="L형옹벽(key)"/>
      <sheetName val="Cashin(ABC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교량상부주요자재집계표"/>
      <sheetName val="교량상부철근총괄집계표"/>
      <sheetName val="교량상부레미콘총괄집계표"/>
      <sheetName val="교량상부시멘트및골재수량총괄집계표"/>
      <sheetName val="빔수량총괄집계"/>
      <sheetName val="상부일반수량총괄집계"/>
      <sheetName val="삽도"/>
      <sheetName val="무안방향빔수량집계"/>
      <sheetName val="무안방향슬래브일반수량집계"/>
      <sheetName val="무안방향슬래브수량"/>
      <sheetName val="시청방향빔수량집계"/>
      <sheetName val="시청방향슬래브일반수량집계"/>
      <sheetName val="시청방향슬래브수량"/>
      <sheetName val="별제권_정리담보권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주요자재집계표"/>
      <sheetName val="재료분리"/>
      <sheetName val="대창교"/>
      <sheetName val="대창(함평)"/>
      <sheetName val="대창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대창(함평)-창열"/>
      <sheetName val="대창(함평)-그라우팅추가"/>
      <sheetName val="대창(장성)-그라우팅추가"/>
      <sheetName val="laroux"/>
      <sheetName val="공통가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총괄"/>
      <sheetName val="Sheet1 (2)"/>
      <sheetName val="#REF"/>
      <sheetName val="골재"/>
      <sheetName val="상부"/>
      <sheetName val="11"/>
      <sheetName val="8.현장관리비"/>
      <sheetName val="2공구산출내역"/>
      <sheetName val="단위수량"/>
      <sheetName val="복주식단위수량"/>
      <sheetName val="데리네이타현황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Y-WORK"/>
      <sheetName val="공통가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주요자재집계표"/>
      <sheetName val="용산1육교"/>
      <sheetName val="용산1(영광)"/>
      <sheetName val="용산1(해보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옹벽수량"/>
      <sheetName val="옹벽철근"/>
      <sheetName val="타공종이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무안방향교대토공집계표"/>
      <sheetName val="무안방향교대타공종이월수량"/>
      <sheetName val="무안방향교대주요자재집계표"/>
      <sheetName val="무안방향교대철근집계표"/>
      <sheetName val="무안방향교대레미콘집계표"/>
      <sheetName val="무안방향교대시멘트및골재수량집계표"/>
      <sheetName val="무안방향교대일반수량집계표"/>
      <sheetName val="건축공사실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교대토공총괄집계표"/>
      <sheetName val="교대타공종이월수량"/>
      <sheetName val="교대주요자재집계표"/>
      <sheetName val="교대철근총괄집계표"/>
      <sheetName val="교대레미콘총괄집계표"/>
      <sheetName val="교대시멘트및골재수량총괄집계표"/>
      <sheetName val="교대일반수량총괄집계표"/>
      <sheetName val="무안방향교대일반수량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.배수관공"/>
      <sheetName val="가배수관"/>
      <sheetName val="2.10횡배수관"/>
      <sheetName val="전체현황"/>
      <sheetName val="평균터파기"/>
      <sheetName val="RC관집계"/>
      <sheetName val="RC관현황"/>
      <sheetName val="보강집계"/>
      <sheetName val="보강현황"/>
      <sheetName val="Sheet1"/>
      <sheetName val="Sheet2"/>
      <sheetName val="흄관집계"/>
      <sheetName val="흄관현황"/>
      <sheetName val="종배수관집계"/>
      <sheetName val="종배수관현황"/>
      <sheetName val="종배수관단위"/>
      <sheetName val="2.12기존배수관세척"/>
      <sheetName val="2.13날개벽및면벽"/>
      <sheetName val="RC관날개벽"/>
      <sheetName val="보강날개벽"/>
      <sheetName val="흄관날개벽"/>
      <sheetName val="면벽수량집계"/>
      <sheetName val="2.14집수정"/>
      <sheetName val="성토부집수정집계"/>
      <sheetName val="절토부집수정집계"/>
      <sheetName val="집수정현황"/>
      <sheetName val="집수정부분합"/>
      <sheetName val="Sheet13"/>
      <sheetName val="Sheet3"/>
      <sheetName val="Sheet4"/>
      <sheetName val="Sheet5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날개벽유동집계표"/>
      <sheetName val="유입방지턱수량"/>
      <sheetName val="유입방지턱표지"/>
      <sheetName val="유입방지턱단위수량"/>
      <sheetName val="배수관공(IC)"/>
      <sheetName val="배수관수량집계(1)"/>
      <sheetName val="배수관수량집계(2)"/>
      <sheetName val="횡배수관공수량집계"/>
      <sheetName val="횡배수관연장조서"/>
      <sheetName val="제작관수량집계"/>
      <sheetName val="토피별RC관현황"/>
      <sheetName val="보강흄관수량집계"/>
      <sheetName val="토피별보강흄관현황"/>
      <sheetName val="흄관수량집계"/>
      <sheetName val="토피별흄관현황"/>
      <sheetName val="종배수관수량집계"/>
      <sheetName val="배수날개면벽수량집계"/>
      <sheetName val="날개벽수량(RC관)"/>
      <sheetName val="날개벽수량(보강흄관)"/>
      <sheetName val="날개벽수량(흄관)"/>
      <sheetName val="면벽수량"/>
      <sheetName val="집수정수량집계(1)"/>
      <sheetName val="집수정수량집계(2)"/>
      <sheetName val="흙쌓기부집수정"/>
      <sheetName val="땅깍기부집수정(1)"/>
      <sheetName val="땅깍기부집수정(2)"/>
      <sheetName val="땅깍기부집수정(3)"/>
      <sheetName val="원가계산서(년도별)"/>
      <sheetName val="집계표(도급)"/>
      <sheetName val="내역서(도급)"/>
      <sheetName val="6월호"/>
      <sheetName val="A간지"/>
      <sheetName val="A집계"/>
      <sheetName val="A관자재계"/>
      <sheetName val="A관로"/>
      <sheetName val="A토공계"/>
      <sheetName val="A관로토공"/>
      <sheetName val="A평균H"/>
      <sheetName val="A맨홀계"/>
      <sheetName val="A맨홀"/>
      <sheetName val="A맨홀H"/>
      <sheetName val="A연결관"/>
      <sheetName val="A연결토공"/>
      <sheetName val="A연결조서"/>
      <sheetName val="A터파기단위"/>
      <sheetName val="xxxxxx"/>
      <sheetName val="배수관공집계"/>
      <sheetName val="횡집계"/>
      <sheetName val="배수관집계표"/>
      <sheetName val="횡배수관현황"/>
      <sheetName val="날개면벽집계"/>
      <sheetName val="날개벽"/>
      <sheetName val="단위수량"/>
      <sheetName val="평균터파기고"/>
      <sheetName val="평균터파기1"/>
      <sheetName val="H"/>
      <sheetName val="깍기공"/>
      <sheetName val="증감총괄"/>
      <sheetName val="내역"/>
      <sheetName val="잡비"/>
      <sheetName val="증감"/>
      <sheetName val="암거간지1"/>
      <sheetName val="총괄집계"/>
      <sheetName val="구체집계표"/>
      <sheetName val="암거간지2"/>
      <sheetName val="암거간지3"/>
      <sheetName val="암거간지5"/>
      <sheetName val="구체집계2.0x2.0(0-3)"/>
      <sheetName val="구체2.0X2.0(0-3)"/>
      <sheetName val="구체집계2.0x2.0(3-5)"/>
      <sheetName val="구체2.0x2.0(3-5)"/>
      <sheetName val="구체집계2.0x2.0(5-7)"/>
      <sheetName val="구체2.0x2.0(5-7)"/>
      <sheetName val="구체집계2.0x2.0(7-10)"/>
      <sheetName val="구체2.0x2.0(7-10)"/>
      <sheetName val="암거간지2@"/>
      <sheetName val="구체집계2@2.5x2.5"/>
      <sheetName val="구체2@2.5x2.5"/>
      <sheetName val="암거간지"/>
      <sheetName val="구체집계3.0x2.0(0-3)"/>
      <sheetName val="구체3.0x2.0(0-3)"/>
      <sheetName val="구체집계3.0x2.0(6-8)"/>
      <sheetName val="구체3.0x2.0(6-8)"/>
      <sheetName val="암거간지7"/>
      <sheetName val="암거간지8"/>
      <sheetName val="구체집계3.5x3.5(8-10)"/>
      <sheetName val="구체3.5x3.5(8-10)"/>
      <sheetName val="암거간지10"/>
      <sheetName val="구체집계4.5x4.5(2-3)"/>
      <sheetName val="구체4.5x4.5(2-3)"/>
      <sheetName val="구체집계4.5x4.5(4-5)"/>
      <sheetName val="구체4.5x4.5(4-5)"/>
      <sheetName val="암거현황"/>
      <sheetName val="터파기"/>
      <sheetName val="구체2.5x2.0(6-8)"/>
      <sheetName val="구체3.5x3.5-8-10"/>
      <sheetName val="암거간지4"/>
      <sheetName val="측구공수량집계표"/>
      <sheetName val="맹암거수량집계표"/>
      <sheetName val="배수관수량집계표"/>
      <sheetName val="배수관공총괄수량집계표"/>
      <sheetName val="절성경계보강공현황및집계 "/>
      <sheetName val="집수정공수량집계표"/>
      <sheetName val="암거공토공수량집계표"/>
      <sheetName val="암거공일반수량집계표"/>
      <sheetName val="암거공철근집계표"/>
      <sheetName val="강판집계표"/>
      <sheetName val="수로보호공현황및집계"/>
      <sheetName val="도수로집계표"/>
      <sheetName val="U형개거집계표"/>
      <sheetName val="침전조집계표"/>
      <sheetName val="석축집계표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지급자재명세서(1)"/>
      <sheetName val="지급자재명세서(2)"/>
      <sheetName val="지급자재명세서(3)"/>
      <sheetName val="철근"/>
      <sheetName val="시멘트및콘크리트"/>
      <sheetName val="골재"/>
      <sheetName val="아스콘및코팅재집계표"/>
      <sheetName val="골재집계"/>
      <sheetName val="타공종이월수량"/>
      <sheetName val="타공종이기수량"/>
      <sheetName val="갑지"/>
      <sheetName val="목차"/>
      <sheetName val="변경사유서간지"/>
      <sheetName val="변경사유서"/>
      <sheetName val="공사비집계표간지"/>
      <sheetName val="공사비집계표"/>
      <sheetName val="공사비증감내역서간지"/>
      <sheetName val="공사비증감내역서"/>
      <sheetName val="수량산출서간지"/>
      <sheetName val="상림1교간지"/>
      <sheetName val="상림1교수량집계표"/>
      <sheetName val="상림1교(교대A1)당초"/>
      <sheetName val="상림1교(교대A1)변경"/>
      <sheetName val="횡단면도"/>
      <sheetName val="사진대지"/>
      <sheetName val="상림1A1"/>
      <sheetName val="간지"/>
      <sheetName val="파형강판 총수량집계표"/>
      <sheetName val="통로"/>
      <sheetName val="철근수량 집계표"/>
      <sheetName val="배수관로집계"/>
      <sheetName val="배수관로수량현황"/>
      <sheetName val="배수관로수량집계"/>
      <sheetName val="배수관로수량집계L-8,9,11"/>
      <sheetName val="기타공표지"/>
      <sheetName val="기타공유동수량집계"/>
      <sheetName val="a,수로보호공"/>
      <sheetName val="수로보호공집계"/>
      <sheetName val="수로보호공현황(형식1~3)"/>
      <sheetName val="수로보호공현황(형식-4)"/>
      <sheetName val="수로보호공현황(형식-5)"/>
      <sheetName val="b.수로이설"/>
      <sheetName val="c.돌붙임후면배수표지"/>
      <sheetName val="d.기존배수관폐쇄표지"/>
      <sheetName val="e.기존BOX폐쇄표지"/>
      <sheetName val="f기존배수관세척"/>
      <sheetName val="g계단"/>
      <sheetName val="j.제작집수정표지"/>
      <sheetName val="제작집수정유동집"/>
      <sheetName val="제작집수정집계"/>
      <sheetName val="제작집수정현황"/>
      <sheetName val="제작집수정수량(1)"/>
      <sheetName val="제작집수정수량(2)"/>
      <sheetName val="k. 문비"/>
      <sheetName val="문비수량집계"/>
      <sheetName val="문비현황"/>
      <sheetName val="문비단위수량"/>
      <sheetName val="Module1"/>
      <sheetName val="표지"/>
      <sheetName val="BOQ"/>
      <sheetName val="C.간지"/>
      <sheetName val="배수관공집계표"/>
      <sheetName val="2.10간지"/>
      <sheetName val="횡배수관집계표(현장)"/>
      <sheetName val="횡배수관현황(현장)"/>
      <sheetName val="평균터파기(현장)"/>
      <sheetName val="횡배수산근(현장)"/>
      <sheetName val="2.11간지"/>
      <sheetName val="종배수관및흄관집계표"/>
      <sheetName val="종배수관수량"/>
      <sheetName val="흄관수집계"/>
      <sheetName val="흄관평균터파기"/>
      <sheetName val="흄관산출(0+725)"/>
      <sheetName val="2.13간지"/>
      <sheetName val="날개벽및면벽집계표"/>
      <sheetName val="날개벽수량집계표"/>
      <sheetName val="날개벽단위수량"/>
      <sheetName val="2.14간지"/>
      <sheetName val="콘크리트집수정수량집계"/>
      <sheetName val="땅깍기부집수정집계"/>
      <sheetName val=""/>
      <sheetName val="표지(하천명)"/>
      <sheetName val="총괄자재"/>
      <sheetName val="제목(집계)"/>
      <sheetName val="주요"/>
      <sheetName val="주요자재"/>
      <sheetName val="제목 (토공)"/>
      <sheetName val="토공집계표"/>
      <sheetName val="토공수량(좌안)"/>
      <sheetName val="토적표좌안"/>
      <sheetName val="규준틀및경계말목 (좌안)"/>
      <sheetName val="제목(호안)"/>
      <sheetName val="호안공집계"/>
      <sheetName val="전석집계"/>
      <sheetName val="전석수량(좌1)"/>
      <sheetName val="전석면적(좌1)"/>
      <sheetName val="u형측구 집계표"/>
      <sheetName val="1지구u형측구"/>
      <sheetName val="2지구u형측구 "/>
      <sheetName val="전신환매도율"/>
      <sheetName val="신일위"/>
      <sheetName val="변일위"/>
      <sheetName val="재집"/>
      <sheetName val="종평"/>
      <sheetName val="토집"/>
      <sheetName val="담장"/>
      <sheetName val="조경"/>
      <sheetName val="옹집"/>
      <sheetName val="옹벽수량"/>
      <sheetName val="공사비증감"/>
      <sheetName val="내역서"/>
      <sheetName val="기초단가"/>
      <sheetName val="철거산출근거"/>
      <sheetName val="교각1"/>
      <sheetName val="시멘트,모래"/>
      <sheetName val="배수관공수량집계"/>
      <sheetName val="면벽단위"/>
      <sheetName val="흄관단위"/>
      <sheetName val="흄관토공수량"/>
      <sheetName val="흄관설치현황"/>
      <sheetName val="역T형옹벽(3.0)"/>
      <sheetName val="DATE"/>
      <sheetName val="총괄갑 "/>
      <sheetName val="Baby일위대가"/>
      <sheetName val="을지"/>
      <sheetName val="45,46"/>
      <sheetName val="99총공사내역서"/>
      <sheetName val="노임단가"/>
      <sheetName val="BOQ(전체)"/>
      <sheetName val="원형1호맨홀토공수량"/>
      <sheetName val="CB"/>
      <sheetName val="일위대가(가설)"/>
      <sheetName val="2"/>
      <sheetName val="96보완계획7.12"/>
      <sheetName val="준검 내역서"/>
      <sheetName val="교대(A1)"/>
      <sheetName val="하도금액분계"/>
      <sheetName val="정화조동내역"/>
      <sheetName val="만수배관단가"/>
      <sheetName val="FRP배관단가(만수)"/>
      <sheetName val="일반공사"/>
      <sheetName val="포장공"/>
      <sheetName val="견적서"/>
      <sheetName val="물가시세"/>
      <sheetName val="터파기및재료"/>
      <sheetName val="단면가정"/>
      <sheetName val="일위대가"/>
      <sheetName val="인사자료총집계"/>
      <sheetName val="금액내역서"/>
      <sheetName val="1+214(수로)"/>
      <sheetName val="1+185(통로)"/>
      <sheetName val="구체,날개,보강철근수량"/>
      <sheetName val="난간및차수벽철근량"/>
      <sheetName val="접속저판"/>
      <sheetName val="BID"/>
      <sheetName val="5.공종별예산내역서"/>
      <sheetName val="철근계"/>
      <sheetName val="7.PILE  (돌출)"/>
      <sheetName val="관급"/>
      <sheetName val="수량-가로등"/>
      <sheetName val="A LINE"/>
      <sheetName val="수량산출"/>
      <sheetName val="건축공사실행"/>
      <sheetName val="EACT10"/>
      <sheetName val="ESC(K치)"/>
      <sheetName val="골재산출"/>
      <sheetName val="Macro1"/>
      <sheetName val="우배수"/>
      <sheetName val="실행철강하도"/>
      <sheetName val="날개벽(시점좌측)"/>
      <sheetName val="토공(우물통,기타) "/>
      <sheetName val="TOTAL_BOQ"/>
      <sheetName val="직노"/>
      <sheetName val="노무비"/>
      <sheetName val="소비자가"/>
      <sheetName val="연결관암거"/>
      <sheetName val="산출서"/>
      <sheetName val="2000년1차"/>
      <sheetName val="MAIN_TABLE"/>
      <sheetName val="토목"/>
      <sheetName val="단가산출"/>
      <sheetName val="내역(설계)"/>
      <sheetName val="일위대가표"/>
      <sheetName val="데이타"/>
      <sheetName val="식재인부"/>
      <sheetName val="공사개요"/>
      <sheetName val="표층포설및다짐"/>
      <sheetName val="1차설계변경내역"/>
      <sheetName val="도급-집계"/>
      <sheetName val="가로등내역서"/>
      <sheetName val="품셈TABLE"/>
      <sheetName val="말뚝지지력산정"/>
      <sheetName val="COPING"/>
      <sheetName val="부대내역"/>
      <sheetName val="E총"/>
      <sheetName val="INPUT"/>
      <sheetName val="보차도경계석"/>
      <sheetName val="구조물공"/>
      <sheetName val="배수공"/>
      <sheetName val="부대공"/>
      <sheetName val="토공"/>
      <sheetName val="6PILE  (돌출)"/>
      <sheetName val="보도포장산출"/>
      <sheetName val="저"/>
      <sheetName val="단가조사"/>
      <sheetName val="70%"/>
      <sheetName val="ABUT수량-A1"/>
      <sheetName val="내역서(삼호)"/>
      <sheetName val="#REF"/>
      <sheetName val="중기일위대가"/>
      <sheetName val="기본자료"/>
      <sheetName val="집1"/>
      <sheetName val="노무비단가"/>
      <sheetName val="기본사항"/>
      <sheetName val="내역(원안-대안)"/>
      <sheetName val="200"/>
      <sheetName val="데리네이타현황"/>
      <sheetName val="총괄내역서"/>
      <sheetName val="집수정공수량집勄표"/>
      <sheetName val="암거공일반수량집계呜"/>
      <sheetName val="수로보호공현황갏집계"/>
      <sheetName val="배수관로수량집Ⳅ"/>
      <sheetName val="변경사유서간줮"/>
      <sheetName val="롴벽단위"/>
      <sheetName val="흀관토공수량"/>
      <sheetName val="FRP배관단가(㧌수)"/>
      <sheetName val="8.PILE  (돌출)"/>
      <sheetName val="현금"/>
      <sheetName val="제경비"/>
      <sheetName val="총괄표"/>
      <sheetName val="개비온집계"/>
      <sheetName val="개비온 단위"/>
      <sheetName val="매매"/>
      <sheetName val="단가"/>
      <sheetName val="내역(2000년)"/>
      <sheetName val="1차증가원가계산"/>
      <sheetName val="관급자재"/>
      <sheetName val="Sheet1 (2)"/>
      <sheetName val="남양시작동자105노65기1.3화1.2"/>
      <sheetName val="국도접속 차도부수량"/>
      <sheetName val="재정비직인"/>
      <sheetName val="재정비내역"/>
      <sheetName val="지적고시내역"/>
      <sheetName val="DANGA"/>
      <sheetName val="진주방향"/>
      <sheetName val="마산방향"/>
      <sheetName val="마산방향철근집계"/>
      <sheetName val="절취및터파기"/>
      <sheetName val="단가 "/>
      <sheetName val="노임"/>
      <sheetName val="부대시설"/>
      <sheetName val="Apt내역"/>
      <sheetName val="기기리스트"/>
      <sheetName val="J直材4"/>
      <sheetName val="1,2,3,4,5단위수량"/>
      <sheetName val="97 사업추정(WEKI)"/>
      <sheetName val="도급내역"/>
      <sheetName val="단가산출서"/>
      <sheetName val="(포장)BOQ-실적공사"/>
      <sheetName val="일위대가목차"/>
      <sheetName val="수량산출서"/>
      <sheetName val="변수값"/>
      <sheetName val="중기상차"/>
      <sheetName val="AS복구"/>
      <sheetName val="중기터파기"/>
      <sheetName val="DATA2000"/>
      <sheetName val="횡배수관집현황(2공구)"/>
      <sheetName val="자재 집계표"/>
      <sheetName val="7기초"/>
      <sheetName val="유림골조"/>
      <sheetName val="가도공"/>
      <sheetName val="원가계산서"/>
      <sheetName val="덕전리"/>
      <sheetName val="U-TYPE(1)"/>
      <sheetName val="슬래브(유곡)"/>
      <sheetName val="VXXXXX"/>
      <sheetName val="OPGW기별"/>
      <sheetName val="단위수량산출"/>
      <sheetName val="접도구역경계표주현황"/>
      <sheetName val="VXXXXXX"/>
      <sheetName val="표지-내역서 (2)"/>
      <sheetName val="연건보고현황"/>
      <sheetName val="공사비증(-)감대비표"/>
      <sheetName val="원가계산서(1공구)-전기"/>
      <sheetName val="원가계산서(1공구)-소방"/>
      <sheetName val="중총괄표(1공구)"/>
      <sheetName val="소총괄표(1공구)"/>
      <sheetName val="내역서(1공구)"/>
      <sheetName val="변경개요"/>
      <sheetName val="지급자재 단가비교"/>
      <sheetName val="표지-일위대가"/>
      <sheetName val="합산자재"/>
      <sheetName val="일목"/>
      <sheetName val="일위대가(통신)"/>
      <sheetName val="일위"/>
      <sheetName val="원격(노무)"/>
      <sheetName val="원격(자재)"/>
      <sheetName val="일위(원격)"/>
      <sheetName val="원격(노임)"/>
      <sheetName val="옵션"/>
      <sheetName val="감독차량비"/>
      <sheetName val="가로등주설치(9M)"/>
      <sheetName val="가로등주설치(10~12M)"/>
      <sheetName val="보안등설치(5~7M)"/>
      <sheetName val="터널등기구지지금구노무비"/>
      <sheetName val="기계화터파기"/>
      <sheetName val="한전인입공사비(1공구)"/>
      <sheetName val="한전공사비(대전-당진)"/>
      <sheetName val="기초입력 DATA"/>
      <sheetName val="49-119"/>
      <sheetName val="guard(mac)"/>
      <sheetName val="현장"/>
      <sheetName val="자재단가"/>
      <sheetName val="포장수량산출"/>
      <sheetName val="토공총괄집계표"/>
      <sheetName val="제목(수량)"/>
      <sheetName val="수량총괄집계"/>
      <sheetName val="기타#9"/>
      <sheetName val="암거날개벽재료집계"/>
      <sheetName val="하부철근수량"/>
      <sheetName val="용산1(해보)"/>
      <sheetName val="WEIGHT LIST"/>
      <sheetName val="재료비 (2)"/>
      <sheetName val="C1ㅇ"/>
      <sheetName val="역T형교대(직접기초)"/>
      <sheetName val="3.하중산정4.양수압5.지지력"/>
      <sheetName val="차액보증"/>
      <sheetName val="일위목록"/>
      <sheetName val="요율"/>
      <sheetName val="기둥(원형)"/>
      <sheetName val="기초공"/>
      <sheetName val="N賃率-職"/>
      <sheetName val="공비대비"/>
      <sheetName val="내역서전체"/>
      <sheetName val="일위대가목록"/>
      <sheetName val="맨홀"/>
      <sheetName val="일반전기"/>
      <sheetName val="기초일위"/>
      <sheetName val="(집계) 노면표시"/>
      <sheetName val="주요량(96)"/>
      <sheetName val="내역서(사업소)"/>
      <sheetName val="내역을"/>
      <sheetName val="6호기"/>
      <sheetName val="수자재단위당"/>
      <sheetName val="TIE-IN"/>
      <sheetName val="지수"/>
      <sheetName val="교각토공"/>
      <sheetName val="투찰"/>
      <sheetName val="주형"/>
      <sheetName val="개요"/>
      <sheetName val="쌍송교"/>
      <sheetName val="산출근거"/>
      <sheetName val="참고자료"/>
      <sheetName val="참고사항"/>
      <sheetName val="총차분(토목)"/>
      <sheetName val="BQ"/>
      <sheetName val="9902"/>
      <sheetName val="J형측구단위수량"/>
      <sheetName val="Sheet15"/>
      <sheetName val="1.설계조건"/>
      <sheetName val="시점교대"/>
      <sheetName val="직재"/>
      <sheetName val="토공사(흙막이)"/>
      <sheetName val="청천내"/>
      <sheetName val="수량집계"/>
      <sheetName val="잡비계산"/>
      <sheetName val="수안보-MBR1"/>
      <sheetName val="단위중량"/>
      <sheetName val="설계기준"/>
      <sheetName val="구조     ."/>
      <sheetName val="연결임시"/>
      <sheetName val="토 적 표"/>
      <sheetName val="횡배수관"/>
      <sheetName val="(A)내역서"/>
      <sheetName val="24분기"/>
      <sheetName val="안산기계장치"/>
      <sheetName val="리스(CIF)산출"/>
      <sheetName val="내역1"/>
      <sheetName val="길어깨(현황)"/>
      <sheetName val="산출"/>
      <sheetName val="위치조서"/>
      <sheetName val="과"/>
      <sheetName val="SALE"/>
      <sheetName val="2공구산출내역"/>
      <sheetName val="DATA98"/>
      <sheetName val="흄ꔀ수량집계"/>
      <sheetName val="C_배수관공"/>
      <sheetName val="2_10횡배수관"/>
      <sheetName val="2_12기존배수관세척"/>
      <sheetName val="2_13날개벽및면벽"/>
      <sheetName val="2_14집수정"/>
      <sheetName val="구체집계2_0x2_0(0-3)"/>
      <sheetName val="구체2_0X2_0(0-3)"/>
      <sheetName val="구체집계2_0x2_0(3-5)"/>
      <sheetName val="깨기수량"/>
      <sheetName val="설계예산서"/>
      <sheetName val="단가목록"/>
      <sheetName val="장비단가표"/>
      <sheetName val="상부공"/>
      <sheetName val="FRP산출근거"/>
      <sheetName val="본선집계표"/>
      <sheetName val="우수받이재료집계표"/>
      <sheetName val="전신"/>
      <sheetName val="구체2_0x2_0(3-5)"/>
      <sheetName val="구체집계2_0x2_0(5-7)"/>
      <sheetName val="구체2_0x2_0(5-7)"/>
      <sheetName val="단가표"/>
      <sheetName val="설직재-1"/>
      <sheetName val="설비내역"/>
      <sheetName val="본공사"/>
      <sheetName val="간선계산"/>
      <sheetName val="정부노임단가"/>
      <sheetName val="내역서적용수량"/>
      <sheetName val="퇴직금(울산천상)"/>
      <sheetName val="적용건축"/>
      <sheetName val="집수정(600-700)"/>
      <sheetName val="전력구구조물산근"/>
      <sheetName val="000000"/>
      <sheetName val="미비용95"/>
      <sheetName val="구체집계2_0x2_0(7-10)"/>
      <sheetName val="구체2_0x2_0(7-10)"/>
      <sheetName val="경율산정"/>
      <sheetName val="건물"/>
      <sheetName val="입찰안"/>
      <sheetName val="건축내역"/>
      <sheetName val="도근좌표"/>
      <sheetName val="단가산출(총괄)"/>
      <sheetName val="일위총괄"/>
      <sheetName val="내역표지"/>
      <sheetName val="도급"/>
      <sheetName val="사다리"/>
      <sheetName val="농서동"/>
      <sheetName val="영천리"/>
      <sheetName val="4)유동표"/>
      <sheetName val="절성경계보강공현황및집계_"/>
      <sheetName val="구체집계2@2_5x2_5"/>
      <sheetName val="소업1교"/>
      <sheetName val="고창방향"/>
      <sheetName val="Back"/>
      <sheetName val="YM-IL1"/>
      <sheetName val="DAN"/>
      <sheetName val="백호우계수"/>
      <sheetName val="손익차9월2"/>
      <sheetName val="물건조서"/>
      <sheetName val="콤보박스와 리스트박스의 연결"/>
      <sheetName val="사업부배부A"/>
      <sheetName val="수량집계표(舊)"/>
      <sheetName val="본체"/>
      <sheetName val="안정검토"/>
      <sheetName val="취수탑"/>
      <sheetName val="이토변실(A3-LINE)"/>
      <sheetName val="중분대수량산출"/>
      <sheetName val="토적표(1)"/>
      <sheetName val="조경시설물"/>
      <sheetName val="현장식당(1)"/>
      <sheetName val="파형강관및곡선부보강및날개벽"/>
      <sheetName val="공사비_NDE"/>
      <sheetName val="L_RPTB~1"/>
      <sheetName val="식재"/>
      <sheetName val="시설물"/>
      <sheetName val="식재출력용"/>
      <sheetName val="유지관리"/>
      <sheetName val="간지양식"/>
      <sheetName val="당진1,2호기전선관설치및접지4차공사내역서-을지"/>
      <sheetName val="조명율표"/>
      <sheetName val="정렬"/>
      <sheetName val="Mc1"/>
      <sheetName val="노면표시수량집계"/>
      <sheetName val="노면표지 수량"/>
      <sheetName val="스톱로그내역"/>
      <sheetName val="98NS-N"/>
      <sheetName val="접도구역경계표주_x0005__x0000_"/>
      <sheetName val="접도구역경계표주齘_x0013_"/>
      <sheetName val="접도구역경계표주挔_x0012_"/>
      <sheetName val="접도구역경계표주窨_x0013_"/>
      <sheetName val="접도구역경계표주竈_x0013_"/>
      <sheetName val="구체2@2_5x2_5"/>
      <sheetName val="구체집계3_0x2_0(0-3)"/>
      <sheetName val="구체3_0x2_0(0-3)"/>
      <sheetName val="구체집계3_0x2_0(6-8)"/>
      <sheetName val="구체3_0x2_0(6-8)"/>
      <sheetName val="구체집계3_5x3_5(8-10)"/>
      <sheetName val="구체3_5x3_5(8-10)"/>
      <sheetName val="9GNG운반"/>
      <sheetName val="접도구역경계표주傠_x0013_"/>
      <sheetName val="천안IP공장자100노100물량110할증"/>
      <sheetName val="접도구역경계표주畠_x0013_"/>
      <sheetName val="접도구역경계표주僀_x0013_"/>
      <sheetName val="기계경비(시간당)"/>
      <sheetName val="램머"/>
      <sheetName val="토공사"/>
      <sheetName val="고분전시관"/>
      <sheetName val="설비"/>
      <sheetName val="양지교"/>
      <sheetName val="을"/>
      <sheetName val="기초자료입력"/>
      <sheetName val="지수산정"/>
      <sheetName val="접도구역경계표주헾】"/>
      <sheetName val="4차월말"/>
      <sheetName val="시설물기초"/>
      <sheetName val="일위怀፵"/>
      <sheetName val="자료"/>
      <sheetName val="접도구역경계표주贸_x0013_"/>
      <sheetName val="화설내"/>
      <sheetName val="구체집계4_5x4_5(2-3)"/>
      <sheetName val="구체4_5x4_5(2-3)"/>
      <sheetName val="구체집계4_5x4_5(4-5)"/>
      <sheetName val="구체4_5x4_5(4-5)"/>
      <sheetName val="구체2_5x2_0(6-8)"/>
      <sheetName val="구체3_5x3_5-8-10"/>
      <sheetName val="C_간지"/>
      <sheetName val="2_10간지"/>
      <sheetName val="2_11간지"/>
      <sheetName val="2_13간지"/>
      <sheetName val="2_14간지"/>
      <sheetName val="b_수로이설"/>
      <sheetName val="c_돌붙임후면배수표지"/>
      <sheetName val="d_기존배수관폐쇄표지"/>
      <sheetName val="e_기존BOX폐쇄표지"/>
      <sheetName val="j_제작집수정표지"/>
      <sheetName val="k__문비"/>
      <sheetName val="98지급계획"/>
      <sheetName val="구체3_5x3_5-8-1԰"/>
      <sheetName val="파형강판_총수량집계표"/>
      <sheetName val="철근수량_집계표"/>
      <sheetName val="제목_(토공)"/>
      <sheetName val="규준틀및경계말목_(좌안)"/>
      <sheetName val="u형측구_집계표"/>
      <sheetName val="2지구u형측구_"/>
      <sheetName val="총괄갑_"/>
      <sheetName val="역T형옹벽(3_0)"/>
      <sheetName val="96보완계획7_12"/>
      <sheetName val="준검_내역서"/>
      <sheetName val="A_LINE"/>
      <sheetName val="7_PILE__(돌출)"/>
      <sheetName val="토공(우물통,기타)_"/>
      <sheetName val="5_공종별예산내역서"/>
      <sheetName val="원가계산서(1԰_x0000_缀_x0000__x0000__x0000_"/>
      <sheetName val="구체집계4_5x4_5_x0005__x0000__x0000__x0000_"/>
      <sheetName val="구체3_0x2_0(԰_x0000_缀_x0000_"/>
      <sheetName val="3.하중산정4.지지력"/>
      <sheetName val="초기화면"/>
      <sheetName val="DATA"/>
      <sheetName val="고정보수량집계"/>
      <sheetName val="갱문및옹벽집계"/>
      <sheetName val="물가자료"/>
      <sheetName val="구조물"/>
      <sheetName val="단가산출서총괄"/>
      <sheetName val="구체집계4_5x4_5尜_x0013_層_x0013_闰"/>
      <sheetName val="원가계산서(1ᰀ፜搀፜ን"/>
      <sheetName val="구체3_5x3_5-8-1렀"/>
      <sheetName val="구체3_0x2_0(᳇፜搀፜"/>
      <sheetName val="내역서(설비+소방)"/>
      <sheetName val="구체3_0x2_0(렀቟԰_x0000_"/>
      <sheetName val="구체집계4_5x4_5徸〒_x0005__x0000_"/>
      <sheetName val="통로암거 4.5 ×4.5 토피0~3m  수량 집계표0"/>
      <sheetName val="코드표"/>
      <sheetName val="재료비_(2)"/>
      <sheetName val="라멘기초"/>
      <sheetName val="공비현2"/>
      <sheetName val="웅진교-S2"/>
      <sheetName val="투洬"/>
      <sheetName val="마감"/>
      <sheetName val="환경기계공정표 (3)"/>
      <sheetName val="기본단가표"/>
      <sheetName val="산근(1)"/>
      <sheetName val="맨홀토공"/>
      <sheetName val="콘_재료분리(1)"/>
      <sheetName val="구체3_0x2_0(ﻇᇕ԰_x0000_"/>
      <sheetName val="구체3_5x3_5-8-1㔀"/>
      <sheetName val="구체3_0x2_0(㗇቎԰_x0000_"/>
      <sheetName val="급수"/>
      <sheetName val="구체3_0x2_0(㔀቎԰_x0000_"/>
      <sheetName val="1.일반수량산출단면"/>
      <sheetName val="구체집계4_5x4丵〒_x0005__x0000__x0000__x0000_"/>
      <sheetName val="접도구역경계표주丵〒"/>
      <sheetName val="원가"/>
      <sheetName val="투찰금액"/>
      <sheetName val="구체집계3_0x2尜_x0013_層_x0013_闰〒_x0005_"/>
      <sheetName val="SORCE1"/>
      <sheetName val="단면설계"/>
      <sheetName val="구체집계4_5x4_5丵〒_x0005__x0000_"/>
      <sheetName val="현장경비"/>
      <sheetName val="가설공사비"/>
      <sheetName val="토공집계"/>
      <sheetName val="XL4Poppy"/>
      <sheetName val="구체집계3_0x2壸5丵⿋_x0005__x0000_"/>
      <sheetName val="변경내역"/>
      <sheetName val="평형공사비"/>
      <sheetName val="구체집계3_0x2喐6嗜6丵⿄_x0005_"/>
      <sheetName val="구체집계4_5x4_5헾】_x0005__x0000_"/>
      <sheetName val="1호맨홀토공"/>
      <sheetName val="구체3_0x2_0(Ⰰ⡛琀⡛"/>
      <sheetName val="내역서(전체)"/>
      <sheetName val="맨홀수량산출"/>
      <sheetName val="교대(A1-A2)"/>
      <sheetName val="예가내역서"/>
      <sheetName val="6공구(당초)"/>
      <sheetName val="지급자재缀ᨪ԰_x0000_缀"/>
      <sheetName val="PSCbeam설계"/>
      <sheetName val="지급자재ᰀ፜搀፜"/>
      <sheetName val="대비"/>
      <sheetName val="원가계산서(1공구)-헾⿆"/>
      <sheetName val="인입관수량총괄"/>
      <sheetName val="조명시설"/>
      <sheetName val="설계내역서"/>
      <sheetName val="돈암사업"/>
      <sheetName val="앨범표지"/>
      <sheetName val="기계설비표선정수장"/>
      <sheetName val="흥양2교토공집계표"/>
      <sheetName val="시점교︀"/>
      <sheetName val="증감내역서"/>
      <sheetName val="구체3_5x3_5-8-1 "/>
      <sheetName val="구체3_0x2_0( ⱗ氀ⱗ"/>
      <sheetName val="나.다.라.마.바.피복재 산정"/>
      <sheetName val="깨기"/>
      <sheetName val="201동 산출근거"/>
      <sheetName val="구조물공1"/>
      <sheetName val="배수및구조물공1"/>
      <sheetName val="구체3_0x2_0(䈀ᅪ԰_x0000_"/>
      <sheetName val="기술조건"/>
      <sheetName val="단위단가"/>
      <sheetName val="조도계산서 (도서)"/>
      <sheetName val="대로근거"/>
      <sheetName val="DATA 입력부"/>
      <sheetName val="공조기(삭제)"/>
      <sheetName val="8설7발"/>
      <sheetName val="표  지"/>
      <sheetName val="도로구조공사비"/>
      <sheetName val="도로토공공사비"/>
      <sheetName val="여수토공사비"/>
      <sheetName val="토공총"/>
      <sheetName val="5지진시"/>
      <sheetName val="날개벽수량표"/>
      <sheetName val="단가표 (2)"/>
      <sheetName val="개별요인비교번호"/>
      <sheetName val="일반자료"/>
      <sheetName val="이름표"/>
      <sheetName val="비교표준지"/>
      <sheetName val="전선 및 전선관"/>
      <sheetName val="증감대비"/>
      <sheetName val="가압장구체수량산출서"/>
      <sheetName val="변수"/>
      <sheetName val="교대토공시점"/>
      <sheetName val="표지 (2)"/>
      <sheetName val="4)유԰_x0000_"/>
      <sheetName val="횡배수관설치현황"/>
      <sheetName val="농로수량집계"/>
      <sheetName val="농로토공집계"/>
      <sheetName val="명부"/>
      <sheetName val="참조"/>
      <sheetName val="몰탈재료산출"/>
      <sheetName val="Macro3"/>
      <sheetName val="토사(PE)"/>
      <sheetName val="기초자료"/>
      <sheetName val=" 냉각수펌프"/>
      <sheetName val="공조기휀"/>
      <sheetName val="두앙"/>
      <sheetName val="토공정보"/>
      <sheetName val="건축기성"/>
      <sheetName val="2-1. 경관조명 내역총괄표"/>
      <sheetName val="손익차_x0000__x0000_굘"/>
      <sheetName val="초"/>
      <sheetName val="woo(mac)"/>
      <sheetName val="설계조건 및 단면가정"/>
      <sheetName val="부재치수입력"/>
      <sheetName val="월말"/>
      <sheetName val="주beam"/>
      <sheetName val="현대물량"/>
      <sheetName val="중기손료"/>
      <sheetName val="기간등록"/>
      <sheetName val="상부집계표"/>
      <sheetName val="경비2내역"/>
      <sheetName val="건축수량산출"/>
      <sheetName val="단砀⫵"/>
      <sheetName val="특수기호강도거푸집"/>
      <sheetName val="종배수관면벽신"/>
      <sheetName val="종배수관(신)"/>
      <sheetName val="비탈면보호공수량산출"/>
      <sheetName val="매탄-오"/>
      <sheetName val="매탄-합"/>
      <sheetName val="매산"/>
      <sheetName val="송죽c"/>
      <sheetName val="송죽"/>
      <sheetName val="구체3_5x3_5-8-1退"/>
      <sheetName val="맨홀수량"/>
      <sheetName val="전차선로 물량표"/>
      <sheetName val="한강운반비"/>
      <sheetName val="공통(20-91)"/>
      <sheetName val="Source"/>
      <sheetName val="Preface"/>
      <sheetName val="맨홀(2~4)"/>
      <sheetName val="순성토"/>
      <sheetName val="접도구역경계표주橂】"/>
      <sheetName val="아파트건축"/>
      <sheetName val="내역률노무비"/>
      <sheetName val="부대tu"/>
      <sheetName val="2호맨홀공제수량"/>
      <sheetName val="위치조렀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평교-내역"/>
      <sheetName val="99년신청"/>
      <sheetName val="위치조怀"/>
      <sheetName val="날개벽(TYPE1)"/>
      <sheetName val="제1차변경도급"/>
      <sheetName val="위치조ࠀ"/>
      <sheetName val="설계서식"/>
      <sheetName val="신공항A-9(원가수정)"/>
      <sheetName val="수목표준대가"/>
      <sheetName val="토공A"/>
      <sheetName val="횡 연장"/>
      <sheetName val="상-교대(A1-A2)"/>
      <sheetName val="설계"/>
      <sheetName val="unit 4"/>
      <sheetName val="3BL공동구 수량"/>
      <sheetName val="동해title"/>
      <sheetName val="안양1공구_건축"/>
      <sheetName val="50201련박스"/>
      <sheetName val="내역5"/>
      <sheetName val="토공산근"/>
      <sheetName val="9811"/>
      <sheetName val="부표총괄"/>
      <sheetName val="9509"/>
      <sheetName val="PipWT"/>
      <sheetName val="산근"/>
      <sheetName val="CANOPY"/>
      <sheetName val="하수급견적대비"/>
      <sheetName val="투澘"/>
      <sheetName val="로우프"/>
      <sheetName val="산출내역(하도)"/>
      <sheetName val="패널"/>
      <sheetName val="골조시행"/>
      <sheetName val="ELECTRIC"/>
      <sheetName val="전등설비"/>
      <sheetName val="삭제금지단가"/>
      <sheetName val="구조물견적서"/>
      <sheetName val="포장직선구간"/>
      <sheetName val="투吐"/>
      <sheetName val="자재단가 (2)"/>
      <sheetName val="별표 "/>
      <sheetName val="분양금할인"/>
      <sheetName val="결과조달"/>
      <sheetName val="경상비"/>
      <sheetName val="공사비예산서(토목분)"/>
      <sheetName val="전체도급"/>
      <sheetName val="CODE"/>
      <sheetName val="전기일위대가"/>
      <sheetName val="부대대비"/>
      <sheetName val="냉연집계"/>
      <sheetName val="부하(성남)"/>
      <sheetName val="부하계산서"/>
      <sheetName val="조건"/>
      <sheetName val="충주"/>
      <sheetName val="입출재고현황 (2)"/>
      <sheetName val="파일의이용"/>
      <sheetName val="원가계산서(1공구)-蒈+"/>
      <sheetName val=" 상부공통집계(총괄)"/>
      <sheetName val="수량3"/>
      <sheetName val="DB"/>
      <sheetName val="토지평가조서"/>
      <sheetName val="토지-2731"/>
      <sheetName val="토지-181(2)"/>
      <sheetName val="교대일반수량"/>
      <sheetName val="견적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수량집계표(12)"/>
      <sheetName val="수량집계표(34)"/>
      <sheetName val="단가 및 재료비"/>
      <sheetName val="중기사용료산출근거"/>
    </sheetNames>
    <definedNames>
      <definedName name="매크로11"/>
      <definedName name="매크로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총괄집계"/>
      <sheetName val="총괄철근집계(1)"/>
      <sheetName val="총괄철근집계(2)"/>
      <sheetName val="가시설집계"/>
      <sheetName val="토공집계"/>
      <sheetName val="상부집계표"/>
      <sheetName val="슬래브철근집계"/>
      <sheetName val="slab집계(공주)"/>
      <sheetName val="슬래브 철근집계(공주방향)"/>
      <sheetName val="SLAB-1(공주)"/>
      <sheetName val="SLAB-2(공주)"/>
      <sheetName val="slab집계(서천)"/>
      <sheetName val="슬래브 철근집계(서천방향)"/>
      <sheetName val="SLAB-1(서천)"/>
      <sheetName val="SLAB-2(서천)"/>
      <sheetName val="교대수량집계"/>
      <sheetName val="교대철근집계"/>
      <sheetName val="교대(공주)수량집계"/>
      <sheetName val="교대(공주)상세집계(A1)"/>
      <sheetName val="공주-교대(A1)"/>
      <sheetName val="공주-날개벽(A1)"/>
      <sheetName val="교대(공주)상세집계(A2)"/>
      <sheetName val="공주-교대(A2)"/>
      <sheetName val="공주-날개벽(A2)"/>
      <sheetName val="교대보호공 (공주,A2)"/>
      <sheetName val="교대(서천)수량집계"/>
      <sheetName val="교대(서천)상세집계(A1)"/>
      <sheetName val="서천-교대(A1)"/>
      <sheetName val="서천-날개벽(A1)"/>
      <sheetName val="교대(서천)상세집계(A2)"/>
      <sheetName val="서천-교대(A2)"/>
      <sheetName val="서천-날개벽(A2)"/>
      <sheetName val="교대보호공(서천,A2)"/>
      <sheetName val="P-집계표"/>
      <sheetName val="교각철근집계"/>
      <sheetName val="교각상세집계(공주)"/>
      <sheetName val="교각철근(공주방향)"/>
      <sheetName val="P1-집계(공주)"/>
      <sheetName val="P1-공주방향"/>
      <sheetName val="P2-집계(공주)"/>
      <sheetName val="P2-공주방향"/>
      <sheetName val="교각상세집계(서천)"/>
      <sheetName val="교각철근(서천방향)"/>
      <sheetName val="P1-집계(서천)"/>
      <sheetName val="P1-서천방향"/>
      <sheetName val="P2-집계(서천)"/>
      <sheetName val="P2-서천방향"/>
      <sheetName val="옹벽집계"/>
      <sheetName val="토공집계(2)"/>
      <sheetName val="교대토공"/>
      <sheetName val="교각토공집계"/>
      <sheetName val="강재집계"/>
      <sheetName val="부대공(공주)"/>
      <sheetName val="부대공(서천)"/>
      <sheetName val="봉선3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주요자재집계표"/>
      <sheetName val="계림육교"/>
      <sheetName val="계림(함평)"/>
      <sheetName val="계림(장성)"/>
      <sheetName val="총괄철근"/>
      <sheetName val="총괄토공"/>
      <sheetName val="총괄(1)"/>
      <sheetName val="총괄(2)"/>
      <sheetName val="라멘철근방향별"/>
      <sheetName val="방향별토공"/>
      <sheetName val="구체방향별집계(1)"/>
      <sheetName val="구체방향별집계(2)"/>
      <sheetName val="접슬방향별집계"/>
      <sheetName val="라멘함평 철근"/>
      <sheetName val="함평토공"/>
      <sheetName val="라멘함평방향(1)"/>
      <sheetName val="라멘함평방향(2)"/>
      <sheetName val="접슬함평방향"/>
      <sheetName val="라멘장성 철근"/>
      <sheetName val="장성토공"/>
      <sheetName val="라멘장성방향(1)"/>
      <sheetName val="라멘장성방향(2)"/>
      <sheetName val="접슬장성방향 "/>
      <sheetName val="보강토수량"/>
      <sheetName val="타공종이기"/>
      <sheetName val="계림(함평)-창열"/>
      <sheetName val="계림(함평)-그라우팅추가"/>
      <sheetName val="계림(장성)-창열"/>
      <sheetName val="계림(장성)-그라우팅추가"/>
      <sheetName val="laroux"/>
      <sheetName val="공주-교대(A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------"/>
      <sheetName val="VXXXXX"/>
      <sheetName val="3.구조물공"/>
      <sheetName val="목차"/>
      <sheetName val="1)수량명세"/>
      <sheetName val="총괄내역"/>
      <sheetName val="총괄내역 (2)"/>
      <sheetName val="2)자재집계"/>
      <sheetName val="총괄주요자재"/>
      <sheetName val="총괄골재"/>
      <sheetName val="총괄시멘트"/>
      <sheetName val="총괄재료분리"/>
      <sheetName val="총괄수량집계"/>
      <sheetName val="총괄철근"/>
      <sheetName val="타공종이월 총괄"/>
      <sheetName val="대인호타공종이기"/>
      <sheetName val="룡전교타공종이기"/>
      <sheetName val="3) 수량내역"/>
      <sheetName val="대인내역"/>
      <sheetName val="대인주요자재"/>
      <sheetName val="대인시멘트 (2)"/>
      <sheetName val="대인골재"/>
      <sheetName val="대인시멘트"/>
      <sheetName val="대인재료분리"/>
      <sheetName val="대인간지1"/>
      <sheetName val="대인철근"/>
      <sheetName val="대인수량집계"/>
      <sheetName val="대인상부간지"/>
      <sheetName val="대인상부집계"/>
      <sheetName val="대인상부"/>
      <sheetName val="대인상부철근"/>
      <sheetName val="대인토공"/>
      <sheetName val="룡전내역"/>
      <sheetName val="룡전주요자재"/>
      <sheetName val="룡전골재"/>
      <sheetName val="룡전시멘트"/>
      <sheetName val="룔전발주분"/>
      <sheetName val="룡전재료분리"/>
      <sheetName val="룡전수량집계"/>
      <sheetName val="룡전철근"/>
      <sheetName val="룡전상부집계"/>
      <sheetName val="룡전상부철근"/>
      <sheetName val="룡전상부"/>
      <sheetName val="룡전토공"/>
      <sheetName val="철거수량"/>
      <sheetName val="담보평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교대집계"/>
      <sheetName val="철근집계"/>
      <sheetName val="APP수량집계"/>
      <sheetName val="APP철근집계"/>
      <sheetName val="교대토공집계"/>
      <sheetName val="시점교대"/>
      <sheetName val="종점교대"/>
      <sheetName val="시점교대시점토공"/>
      <sheetName val="시점교대종점토공"/>
      <sheetName val="접속슬래브)"/>
      <sheetName val="룡전상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1 (2)"/>
      <sheetName val="Sheet2"/>
      <sheetName val="Sheet3"/>
      <sheetName val="Sheet1 (3)"/>
      <sheetName val="Sheet2 (3)"/>
      <sheetName val="Sheet3 (3)"/>
      <sheetName val="시점교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공동"/>
      <sheetName val="동탄지구 수지분석"/>
      <sheetName val="입찰예정토지"/>
      <sheetName val="붙이기"/>
      <sheetName val="입찰예정토지 (3)"/>
      <sheetName val="입찰예정토지풍성"/>
      <sheetName val="동탄 택지 당첨 준비사항"/>
      <sheetName val="3-1블럭 수지분석"/>
      <sheetName val="택지 매입시 금융비용"/>
      <sheetName val="cash"/>
      <sheetName val="대전-교대(A1-A2)"/>
      <sheetName val="Sheet1"/>
      <sheetName val="Sheet11"/>
      <sheetName val="6호기"/>
      <sheetName val="콤보박스와 리스트박스의 연결"/>
      <sheetName val="단가표"/>
      <sheetName val="집계표"/>
      <sheetName val="첨"/>
      <sheetName val="담보평가"/>
      <sheetName val="공통가설"/>
      <sheetName val="건축공사실행"/>
      <sheetName val="Sheet1 (2)"/>
      <sheetName val="시점교대"/>
      <sheetName val="Assumption"/>
      <sheetName val="내역5"/>
      <sheetName val="일위대가"/>
      <sheetName val="경비"/>
      <sheetName val="Summary"/>
      <sheetName val="시장성초안camera"/>
      <sheetName val="CASH-FLOW_리파이낸싱(×)"/>
      <sheetName val="CASH-FLOW_25%"/>
      <sheetName val="CASH-FLOW_리파이낸싱(○)_A증권 "/>
      <sheetName val="CASH-FLOW_리파이낸싱(○)_A증권(일부변형)"/>
      <sheetName val="총괄_"/>
      <sheetName val="20_02월 수지"/>
      <sheetName val="공사비현황"/>
      <sheetName val="PF대출현황"/>
      <sheetName val="조합분 VS 일반분"/>
      <sheetName val="보존등기비"/>
      <sheetName val="분양대금(조합, 일반)"/>
      <sheetName val="분양대금(조합)"/>
      <sheetName val="분양대금(일반)"/>
      <sheetName val="pf대출상환 및예정"/>
      <sheetName val="매입세납부액"/>
      <sheetName val="중요일정및입금추산"/>
      <sheetName val="노임"/>
      <sheetName val="원가 (2)"/>
      <sheetName val="개산공사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상업"/>
      <sheetName val="공동"/>
      <sheetName val="단독"/>
      <sheetName val="도시지원"/>
      <sheetName val="근생"/>
      <sheetName val="농가주택"/>
      <sheetName val="공공"/>
      <sheetName val="Sheet2"/>
      <sheetName val="현상설계구역(11월버전)"/>
      <sheetName val="대전-교대(A1-A2)"/>
      <sheetName val="공통가설"/>
      <sheetName val="첨"/>
      <sheetName val="공통비(전체)"/>
      <sheetName val="DATA"/>
      <sheetName val="유림골조"/>
      <sheetName val="영업소실적"/>
      <sheetName val="확인"/>
      <sheetName val="대여현황"/>
      <sheetName val="Sheet1 (2)"/>
      <sheetName val="2공구산출내역"/>
      <sheetName val="법인구분"/>
      <sheetName val="기초코드"/>
      <sheetName val="마산월령동골조물량변경"/>
      <sheetName val="업무분장 "/>
      <sheetName val="수지"/>
      <sheetName val="가구및획지조서(1212)"/>
      <sheetName val="총괄표"/>
      <sheetName val="실행대비"/>
      <sheetName val="기초일위"/>
      <sheetName val="Sheet11"/>
      <sheetName val="원가 (2)"/>
      <sheetName val="내역5"/>
      <sheetName val="대차대조표"/>
      <sheetName val="보빈규격"/>
      <sheetName val="제1호"/>
      <sheetName val="단가"/>
      <sheetName val="동호테이블"/>
      <sheetName val="입찰"/>
      <sheetName val="현경"/>
      <sheetName val="개산공사비"/>
      <sheetName val="노무비"/>
      <sheetName val="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상업"/>
      <sheetName val="공동"/>
      <sheetName val="단독"/>
      <sheetName val="근생"/>
      <sheetName val="도시지원"/>
      <sheetName val="농가주택"/>
      <sheetName val="공공"/>
      <sheetName val="대전-교대(A1-A2)"/>
      <sheetName val="공비대비"/>
      <sheetName val="수원공사비"/>
      <sheetName val="비용산식"/>
      <sheetName val="형틀공사"/>
      <sheetName val="마산월령동골조물량변경"/>
      <sheetName val="수정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#REF"/>
      <sheetName val="6PILE  (돌출)"/>
      <sheetName val="맨홀수량"/>
      <sheetName val="총집계표"/>
      <sheetName val="단가산출"/>
      <sheetName val="교각토공"/>
      <sheetName val="단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분양개요"/>
      <sheetName val="사업수지표"/>
      <sheetName val="현금흐름표"/>
      <sheetName val="자금판-HF"/>
      <sheetName val="할인분양 계산"/>
    </sheetNames>
    <sheetDataSet>
      <sheetData sheetId="0"/>
      <sheetData sheetId="1">
        <row r="15">
          <cell r="B15" t="str">
            <v>아파트</v>
          </cell>
        </row>
        <row r="23">
          <cell r="B23" t="str">
            <v>상가</v>
          </cell>
        </row>
        <row r="25">
          <cell r="B25" t="str">
            <v xml:space="preserve">   발코니 확장</v>
          </cell>
        </row>
      </sheetData>
      <sheetData sheetId="2">
        <row r="24">
          <cell r="K24">
            <v>0.1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78"/>
  <sheetViews>
    <sheetView zoomScaleNormal="100" workbookViewId="0">
      <selection activeCell="B51" sqref="B51:C51"/>
    </sheetView>
  </sheetViews>
  <sheetFormatPr defaultRowHeight="13.5"/>
  <cols>
    <col min="1" max="1" width="9.5546875" style="159" customWidth="1"/>
    <col min="2" max="2" width="8.88671875" style="159"/>
    <col min="3" max="3" width="4.77734375" style="159" customWidth="1"/>
    <col min="4" max="4" width="10.77734375" style="159" bestFit="1" customWidth="1"/>
    <col min="5" max="5" width="9.21875" style="159" bestFit="1" customWidth="1"/>
    <col min="6" max="6" width="9.109375" style="159" customWidth="1"/>
    <col min="7" max="7" width="8.21875" style="159" customWidth="1"/>
    <col min="8" max="8" width="10.77734375" style="159" bestFit="1" customWidth="1"/>
    <col min="9" max="9" width="12.5546875" style="159" customWidth="1"/>
    <col min="10" max="10" width="10" style="159" customWidth="1"/>
    <col min="11" max="11" width="10.33203125" style="159" customWidth="1"/>
    <col min="12" max="12" width="10" style="159" customWidth="1"/>
    <col min="13" max="13" width="10.109375" style="159" customWidth="1"/>
    <col min="14" max="14" width="10" style="159" customWidth="1"/>
    <col min="15" max="15" width="2.44140625" style="159" customWidth="1"/>
    <col min="16" max="19" width="13.77734375" style="159" customWidth="1"/>
    <col min="20" max="20" width="2.44140625" style="159" customWidth="1"/>
    <col min="21" max="23" width="13.77734375" style="159" customWidth="1"/>
    <col min="24" max="16384" width="8.88671875" style="159"/>
  </cols>
  <sheetData>
    <row r="1" spans="1:20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20" ht="27.75" customHeight="1">
      <c r="A2" s="160" t="s">
        <v>164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20" ht="27.75" customHeight="1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</row>
    <row r="4" spans="1:20" ht="20.100000000000001" customHeight="1">
      <c r="A4" s="209" t="s">
        <v>167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2"/>
      <c r="M4" s="162"/>
      <c r="N4" s="162"/>
      <c r="O4" s="162"/>
      <c r="P4" s="163"/>
      <c r="Q4" s="163"/>
    </row>
    <row r="5" spans="1:20" ht="20.100000000000001" customHeight="1">
      <c r="A5" s="164" t="s">
        <v>133</v>
      </c>
      <c r="B5" s="891" t="s">
        <v>161</v>
      </c>
      <c r="C5" s="892"/>
      <c r="D5" s="911" t="s">
        <v>160</v>
      </c>
      <c r="E5" s="912"/>
      <c r="F5" s="911" t="s">
        <v>159</v>
      </c>
      <c r="G5" s="912"/>
      <c r="H5" s="911" t="s">
        <v>158</v>
      </c>
      <c r="I5" s="912"/>
      <c r="J5" s="891" t="s">
        <v>157</v>
      </c>
      <c r="K5" s="892"/>
      <c r="L5" s="165" t="s">
        <v>108</v>
      </c>
      <c r="M5" s="166"/>
      <c r="N5" s="162"/>
      <c r="O5" s="162"/>
      <c r="P5" s="163"/>
      <c r="Q5" s="163"/>
    </row>
    <row r="6" spans="1:20" ht="20.100000000000001" customHeight="1">
      <c r="A6" s="167" t="s">
        <v>156</v>
      </c>
      <c r="B6" s="168">
        <f>I50</f>
        <v>25.285975000000001</v>
      </c>
      <c r="C6" s="169" t="s">
        <v>122</v>
      </c>
      <c r="D6" s="915">
        <v>14000</v>
      </c>
      <c r="E6" s="916"/>
      <c r="F6" s="889">
        <f>B6*D6</f>
        <v>354003.65</v>
      </c>
      <c r="G6" s="890"/>
      <c r="H6" s="889">
        <v>336</v>
      </c>
      <c r="I6" s="890"/>
      <c r="J6" s="884">
        <f>F6*H6</f>
        <v>118945226.40000001</v>
      </c>
      <c r="K6" s="885"/>
      <c r="L6" s="170"/>
      <c r="M6" s="171"/>
      <c r="N6" s="162"/>
      <c r="O6" s="162"/>
      <c r="P6" s="163"/>
      <c r="Q6" s="163"/>
    </row>
    <row r="7" spans="1:20" ht="20.100000000000001" customHeight="1">
      <c r="A7" s="310" t="s">
        <v>195</v>
      </c>
      <c r="B7" s="172">
        <f>I51</f>
        <v>34.542474999999996</v>
      </c>
      <c r="C7" s="468" t="s">
        <v>122</v>
      </c>
      <c r="D7" s="915">
        <v>14000</v>
      </c>
      <c r="E7" s="916"/>
      <c r="F7" s="889">
        <f>B7*D7</f>
        <v>483594.64999999997</v>
      </c>
      <c r="G7" s="890"/>
      <c r="H7" s="889">
        <f>B51</f>
        <v>1549</v>
      </c>
      <c r="I7" s="890"/>
      <c r="J7" s="884">
        <f>F7*H7</f>
        <v>749088112.8499999</v>
      </c>
      <c r="K7" s="885"/>
      <c r="L7" s="170"/>
      <c r="M7" s="171"/>
      <c r="N7" s="162"/>
      <c r="O7" s="162"/>
      <c r="P7" s="163"/>
      <c r="Q7" s="163"/>
    </row>
    <row r="8" spans="1:20" ht="20.100000000000001" customHeight="1">
      <c r="A8" s="167" t="s">
        <v>162</v>
      </c>
      <c r="B8" s="173">
        <f>I52</f>
        <v>0</v>
      </c>
      <c r="C8" s="174" t="s">
        <v>122</v>
      </c>
      <c r="D8" s="915"/>
      <c r="E8" s="916"/>
      <c r="F8" s="889">
        <f t="shared" ref="F8" si="0">B8*D8</f>
        <v>0</v>
      </c>
      <c r="G8" s="890"/>
      <c r="H8" s="889"/>
      <c r="I8" s="890"/>
      <c r="J8" s="884">
        <f t="shared" ref="J8" si="1">F8*H8</f>
        <v>0</v>
      </c>
      <c r="K8" s="885"/>
      <c r="L8" s="170"/>
      <c r="M8" s="171"/>
      <c r="N8" s="162"/>
      <c r="O8" s="162"/>
      <c r="P8" s="179"/>
      <c r="Q8" s="179"/>
      <c r="R8" s="175"/>
      <c r="T8" s="175"/>
    </row>
    <row r="9" spans="1:20" s="179" customFormat="1" ht="20.100000000000001" customHeight="1">
      <c r="A9" s="176" t="s">
        <v>155</v>
      </c>
      <c r="B9" s="177">
        <f t="shared" ref="B9" si="2">I53</f>
        <v>0</v>
      </c>
      <c r="C9" s="178" t="s">
        <v>154</v>
      </c>
      <c r="D9" s="915"/>
      <c r="E9" s="916"/>
      <c r="F9" s="889">
        <f t="shared" ref="F9:F14" si="3">B9*D9</f>
        <v>0</v>
      </c>
      <c r="G9" s="890"/>
      <c r="H9" s="889"/>
      <c r="I9" s="890"/>
      <c r="J9" s="884">
        <f t="shared" ref="J9:J14" si="4">SUM(F9*H9)</f>
        <v>0</v>
      </c>
      <c r="K9" s="885"/>
      <c r="L9" s="170"/>
      <c r="M9" s="171"/>
      <c r="N9" s="162"/>
      <c r="O9" s="162"/>
    </row>
    <row r="10" spans="1:20" s="179" customFormat="1" ht="20.100000000000001" customHeight="1">
      <c r="A10" s="180" t="s">
        <v>153</v>
      </c>
      <c r="B10" s="181">
        <f>I54</f>
        <v>0</v>
      </c>
      <c r="C10" s="182" t="s">
        <v>151</v>
      </c>
      <c r="D10" s="915"/>
      <c r="E10" s="916"/>
      <c r="F10" s="889">
        <f t="shared" si="3"/>
        <v>0</v>
      </c>
      <c r="G10" s="890"/>
      <c r="H10" s="889"/>
      <c r="I10" s="890"/>
      <c r="J10" s="884">
        <f t="shared" si="4"/>
        <v>0</v>
      </c>
      <c r="K10" s="885"/>
      <c r="L10" s="170"/>
      <c r="M10" s="171"/>
      <c r="N10" s="162"/>
      <c r="O10" s="162"/>
    </row>
    <row r="11" spans="1:20" s="179" customFormat="1" ht="20.100000000000001" customHeight="1">
      <c r="A11" s="167" t="s">
        <v>152</v>
      </c>
      <c r="B11" s="183">
        <f>I55</f>
        <v>0</v>
      </c>
      <c r="C11" s="184" t="s">
        <v>151</v>
      </c>
      <c r="D11" s="919"/>
      <c r="E11" s="920"/>
      <c r="F11" s="889">
        <f t="shared" si="3"/>
        <v>0</v>
      </c>
      <c r="G11" s="890"/>
      <c r="H11" s="889">
        <f>SUM(B55)</f>
        <v>0</v>
      </c>
      <c r="I11" s="890"/>
      <c r="J11" s="884">
        <f t="shared" si="4"/>
        <v>0</v>
      </c>
      <c r="K11" s="885"/>
      <c r="L11" s="170"/>
      <c r="M11" s="171"/>
      <c r="N11" s="162"/>
      <c r="O11" s="162"/>
    </row>
    <row r="12" spans="1:20" s="179" customFormat="1" ht="20.100000000000001" customHeight="1">
      <c r="A12" s="185" t="s">
        <v>150</v>
      </c>
      <c r="B12" s="186">
        <f>I56</f>
        <v>0</v>
      </c>
      <c r="C12" s="187" t="s">
        <v>149</v>
      </c>
      <c r="D12" s="919"/>
      <c r="E12" s="920"/>
      <c r="F12" s="889">
        <f t="shared" si="3"/>
        <v>0</v>
      </c>
      <c r="G12" s="890"/>
      <c r="H12" s="889">
        <f>SUM(B56)</f>
        <v>0</v>
      </c>
      <c r="I12" s="890"/>
      <c r="J12" s="884">
        <f t="shared" si="4"/>
        <v>0</v>
      </c>
      <c r="K12" s="885"/>
      <c r="L12" s="170"/>
      <c r="M12" s="171"/>
      <c r="N12" s="162"/>
      <c r="O12" s="162"/>
    </row>
    <row r="13" spans="1:20" s="179" customFormat="1" ht="20.100000000000001" customHeight="1">
      <c r="A13" s="188" t="s">
        <v>148</v>
      </c>
      <c r="B13" s="189">
        <f>I57</f>
        <v>0</v>
      </c>
      <c r="C13" s="190" t="s">
        <v>146</v>
      </c>
      <c r="D13" s="919"/>
      <c r="E13" s="920"/>
      <c r="F13" s="889">
        <f t="shared" si="3"/>
        <v>0</v>
      </c>
      <c r="G13" s="890"/>
      <c r="H13" s="889">
        <f>SUM(B57)</f>
        <v>0</v>
      </c>
      <c r="I13" s="890"/>
      <c r="J13" s="884">
        <f t="shared" si="4"/>
        <v>0</v>
      </c>
      <c r="K13" s="885"/>
      <c r="L13" s="170"/>
      <c r="M13" s="171"/>
      <c r="N13" s="162"/>
      <c r="O13" s="162"/>
    </row>
    <row r="14" spans="1:20" s="179" customFormat="1" ht="20.100000000000001" customHeight="1">
      <c r="A14" s="188" t="s">
        <v>147</v>
      </c>
      <c r="B14" s="191">
        <f>I58</f>
        <v>0</v>
      </c>
      <c r="C14" s="192" t="s">
        <v>146</v>
      </c>
      <c r="D14" s="919"/>
      <c r="E14" s="920"/>
      <c r="F14" s="896">
        <f t="shared" si="3"/>
        <v>0</v>
      </c>
      <c r="G14" s="897"/>
      <c r="H14" s="896">
        <f>SUM(B58)</f>
        <v>0</v>
      </c>
      <c r="I14" s="897"/>
      <c r="J14" s="886">
        <f t="shared" si="4"/>
        <v>0</v>
      </c>
      <c r="K14" s="887"/>
      <c r="L14" s="193"/>
      <c r="M14" s="171"/>
      <c r="N14" s="162"/>
      <c r="O14" s="162"/>
    </row>
    <row r="15" spans="1:20" ht="20.100000000000001" customHeight="1">
      <c r="A15" s="593"/>
      <c r="B15" s="913" t="s">
        <v>50</v>
      </c>
      <c r="C15" s="914"/>
      <c r="D15" s="917"/>
      <c r="E15" s="918"/>
      <c r="F15" s="917"/>
      <c r="G15" s="918"/>
      <c r="H15" s="917">
        <f>SUM(H6:I14)</f>
        <v>1885</v>
      </c>
      <c r="I15" s="918"/>
      <c r="J15" s="917">
        <f>SUM(J6:K14)</f>
        <v>868033339.24999988</v>
      </c>
      <c r="K15" s="918"/>
      <c r="L15" s="594"/>
      <c r="M15" s="171"/>
      <c r="N15" s="195"/>
      <c r="O15" s="195"/>
      <c r="P15" s="179"/>
      <c r="Q15" s="179"/>
    </row>
    <row r="16" spans="1:20" ht="20.100000000000001" hidden="1" customHeight="1">
      <c r="A16" s="904" t="s">
        <v>145</v>
      </c>
      <c r="B16" s="196">
        <f>SUM(M67)</f>
        <v>0</v>
      </c>
      <c r="C16" s="197" t="s">
        <v>144</v>
      </c>
      <c r="D16" s="884"/>
      <c r="E16" s="885"/>
      <c r="F16" s="889">
        <f>SUM(B16*D16)</f>
        <v>0</v>
      </c>
      <c r="G16" s="890"/>
      <c r="H16" s="889">
        <f>SUM(B62)</f>
        <v>0</v>
      </c>
      <c r="I16" s="890"/>
      <c r="J16" s="884">
        <f>SUM(F16*H16)</f>
        <v>0</v>
      </c>
      <c r="K16" s="885"/>
      <c r="L16" s="170"/>
      <c r="M16" s="171"/>
      <c r="N16" s="195"/>
      <c r="O16" s="195"/>
      <c r="P16" s="179"/>
      <c r="Q16" s="179"/>
    </row>
    <row r="17" spans="1:19" ht="20.100000000000001" hidden="1" customHeight="1">
      <c r="A17" s="905"/>
      <c r="B17" s="196">
        <f>SUM(M63)</f>
        <v>0</v>
      </c>
      <c r="C17" s="197" t="s">
        <v>122</v>
      </c>
      <c r="D17" s="884"/>
      <c r="E17" s="885"/>
      <c r="F17" s="889">
        <f>SUM(B17*D17)</f>
        <v>0</v>
      </c>
      <c r="G17" s="890"/>
      <c r="H17" s="889">
        <f>SUM(B63)</f>
        <v>0</v>
      </c>
      <c r="I17" s="890"/>
      <c r="J17" s="884">
        <f>SUM(F17*H17)</f>
        <v>0</v>
      </c>
      <c r="K17" s="885"/>
      <c r="L17" s="170"/>
      <c r="M17" s="171"/>
      <c r="N17" s="195"/>
      <c r="O17" s="195"/>
      <c r="P17" s="179"/>
      <c r="Q17" s="179"/>
    </row>
    <row r="18" spans="1:19" ht="20.100000000000001" hidden="1" customHeight="1">
      <c r="A18" s="905"/>
      <c r="B18" s="196">
        <f>SUM(M64)</f>
        <v>0</v>
      </c>
      <c r="C18" s="197" t="s">
        <v>122</v>
      </c>
      <c r="D18" s="884"/>
      <c r="E18" s="885"/>
      <c r="F18" s="889">
        <f>SUM(B18*D18)</f>
        <v>0</v>
      </c>
      <c r="G18" s="890"/>
      <c r="H18" s="889">
        <f>SUM(B64)</f>
        <v>0</v>
      </c>
      <c r="I18" s="890"/>
      <c r="J18" s="884">
        <f>SUM(F18*H18)</f>
        <v>0</v>
      </c>
      <c r="K18" s="885"/>
      <c r="L18" s="170"/>
      <c r="M18" s="171"/>
      <c r="N18" s="195"/>
      <c r="O18" s="195"/>
      <c r="P18" s="179"/>
      <c r="Q18" s="179"/>
    </row>
    <row r="19" spans="1:19" ht="20.100000000000001" hidden="1" customHeight="1">
      <c r="A19" s="905"/>
      <c r="B19" s="196">
        <f>SUM(M65)</f>
        <v>0</v>
      </c>
      <c r="C19" s="197" t="s">
        <v>122</v>
      </c>
      <c r="D19" s="884"/>
      <c r="E19" s="885"/>
      <c r="F19" s="889">
        <f>SUM(B19*D19)</f>
        <v>0</v>
      </c>
      <c r="G19" s="890"/>
      <c r="H19" s="889">
        <f>SUM(B65)</f>
        <v>0</v>
      </c>
      <c r="I19" s="890"/>
      <c r="J19" s="884">
        <f>SUM(F19*H19)</f>
        <v>0</v>
      </c>
      <c r="K19" s="885"/>
      <c r="L19" s="170"/>
      <c r="M19" s="171"/>
      <c r="N19" s="195"/>
      <c r="O19" s="195"/>
      <c r="P19" s="179"/>
      <c r="Q19" s="179"/>
    </row>
    <row r="20" spans="1:19" ht="20.100000000000001" hidden="1" customHeight="1">
      <c r="A20" s="906"/>
      <c r="B20" s="907" t="s">
        <v>141</v>
      </c>
      <c r="C20" s="908"/>
      <c r="D20" s="884"/>
      <c r="E20" s="885"/>
      <c r="F20" s="889"/>
      <c r="G20" s="890"/>
      <c r="H20" s="889">
        <f>SUM(H16:I19)</f>
        <v>0</v>
      </c>
      <c r="I20" s="890"/>
      <c r="J20" s="889">
        <f>SUM(J16:K19)</f>
        <v>0</v>
      </c>
      <c r="K20" s="890"/>
      <c r="L20" s="170"/>
      <c r="M20" s="171"/>
      <c r="N20" s="195"/>
      <c r="O20" s="195"/>
      <c r="P20" s="179"/>
      <c r="Q20" s="179"/>
    </row>
    <row r="21" spans="1:19" ht="20.100000000000001" customHeight="1">
      <c r="A21" s="904" t="s">
        <v>143</v>
      </c>
      <c r="B21" s="198">
        <f>M69</f>
        <v>201.05359999999999</v>
      </c>
      <c r="C21" s="199" t="s">
        <v>142</v>
      </c>
      <c r="D21" s="884">
        <v>20000</v>
      </c>
      <c r="E21" s="885"/>
      <c r="F21" s="889">
        <f>B21*D21</f>
        <v>4021072</v>
      </c>
      <c r="G21" s="890"/>
      <c r="H21" s="921">
        <v>1</v>
      </c>
      <c r="I21" s="922"/>
      <c r="J21" s="884">
        <f>SUM(F21)</f>
        <v>4021072</v>
      </c>
      <c r="K21" s="885"/>
      <c r="L21" s="170"/>
      <c r="M21" s="171"/>
      <c r="N21" s="195"/>
      <c r="O21" s="195"/>
      <c r="P21" s="179"/>
      <c r="Q21" s="179"/>
    </row>
    <row r="22" spans="1:19" ht="20.100000000000001" customHeight="1">
      <c r="A22" s="905"/>
      <c r="B22" s="198">
        <f>M70</f>
        <v>193.8783</v>
      </c>
      <c r="C22" s="199" t="s">
        <v>142</v>
      </c>
      <c r="D22" s="884">
        <v>20000</v>
      </c>
      <c r="E22" s="885"/>
      <c r="F22" s="889">
        <f>B22*D22</f>
        <v>3877566</v>
      </c>
      <c r="G22" s="890"/>
      <c r="H22" s="921">
        <v>1</v>
      </c>
      <c r="I22" s="922"/>
      <c r="J22" s="884">
        <f>SUM(F22)</f>
        <v>3877566</v>
      </c>
      <c r="K22" s="885"/>
      <c r="L22" s="170"/>
      <c r="M22" s="171"/>
      <c r="N22" s="195"/>
      <c r="O22" s="195"/>
      <c r="P22" s="179"/>
      <c r="Q22" s="179"/>
    </row>
    <row r="23" spans="1:19" ht="20.100000000000001" hidden="1" customHeight="1">
      <c r="A23" s="905"/>
      <c r="B23" s="909"/>
      <c r="C23" s="910"/>
      <c r="D23" s="884"/>
      <c r="E23" s="885"/>
      <c r="F23" s="889">
        <f>SUM(H23*D23)</f>
        <v>0</v>
      </c>
      <c r="G23" s="890"/>
      <c r="H23" s="923">
        <f>A71</f>
        <v>0</v>
      </c>
      <c r="I23" s="924"/>
      <c r="J23" s="884">
        <f>SUM(F23)</f>
        <v>0</v>
      </c>
      <c r="K23" s="885"/>
      <c r="L23" s="170"/>
      <c r="M23" s="171"/>
      <c r="N23" s="195"/>
      <c r="O23" s="195"/>
      <c r="P23" s="163"/>
      <c r="Q23" s="163"/>
    </row>
    <row r="24" spans="1:19" ht="20.100000000000001" hidden="1" customHeight="1">
      <c r="A24" s="905"/>
      <c r="B24" s="909"/>
      <c r="C24" s="910"/>
      <c r="D24" s="884"/>
      <c r="E24" s="885"/>
      <c r="F24" s="889">
        <f>SUM(H24*D24)</f>
        <v>0</v>
      </c>
      <c r="G24" s="890"/>
      <c r="H24" s="923">
        <f>A72</f>
        <v>0</v>
      </c>
      <c r="I24" s="924"/>
      <c r="J24" s="884">
        <f>SUM(F24)</f>
        <v>0</v>
      </c>
      <c r="K24" s="885"/>
      <c r="L24" s="170"/>
      <c r="M24" s="171"/>
      <c r="N24" s="195"/>
      <c r="O24" s="195"/>
      <c r="P24" s="163"/>
      <c r="Q24" s="163"/>
    </row>
    <row r="25" spans="1:19" ht="20.100000000000001" customHeight="1">
      <c r="A25" s="906"/>
      <c r="B25" s="907" t="s">
        <v>141</v>
      </c>
      <c r="C25" s="908"/>
      <c r="D25" s="884"/>
      <c r="E25" s="885"/>
      <c r="F25" s="889"/>
      <c r="G25" s="890"/>
      <c r="H25" s="921">
        <f>SUM(H21:I24)</f>
        <v>2</v>
      </c>
      <c r="I25" s="922"/>
      <c r="J25" s="889">
        <f>SUM(J21:K24)</f>
        <v>7898638</v>
      </c>
      <c r="K25" s="890"/>
      <c r="L25" s="170"/>
      <c r="M25" s="171"/>
      <c r="N25" s="195"/>
      <c r="O25" s="195"/>
      <c r="P25" s="163"/>
      <c r="Q25" s="163"/>
      <c r="R25" s="200"/>
      <c r="S25" s="175"/>
    </row>
    <row r="26" spans="1:19" ht="20.100000000000001" customHeight="1">
      <c r="A26" s="165" t="s">
        <v>140</v>
      </c>
      <c r="B26" s="201"/>
      <c r="C26" s="202"/>
      <c r="D26" s="899"/>
      <c r="E26" s="900"/>
      <c r="F26" s="894"/>
      <c r="G26" s="895"/>
      <c r="H26" s="929"/>
      <c r="I26" s="930"/>
      <c r="J26" s="894">
        <f>SUM(J25,J20,J15)</f>
        <v>875931977.24999988</v>
      </c>
      <c r="K26" s="895"/>
      <c r="L26" s="203"/>
      <c r="M26" s="204"/>
      <c r="N26" s="195"/>
      <c r="O26" s="195"/>
      <c r="P26" s="163"/>
      <c r="Q26" s="163"/>
    </row>
    <row r="27" spans="1:19" ht="20.100000000000001" customHeight="1">
      <c r="A27" s="194" t="s">
        <v>139</v>
      </c>
      <c r="B27" s="205"/>
      <c r="C27" s="206"/>
      <c r="D27" s="884"/>
      <c r="E27" s="885"/>
      <c r="F27" s="889"/>
      <c r="G27" s="890"/>
      <c r="H27" s="889"/>
      <c r="I27" s="890"/>
      <c r="J27" s="884">
        <f>H45</f>
        <v>783047.95729131496</v>
      </c>
      <c r="K27" s="885"/>
      <c r="L27" s="170"/>
      <c r="M27" s="171"/>
      <c r="N27" s="195"/>
      <c r="O27" s="195"/>
      <c r="P27" s="163"/>
      <c r="Q27" s="163"/>
    </row>
    <row r="28" spans="1:19" ht="20.100000000000001" customHeight="1">
      <c r="A28" s="165" t="s">
        <v>138</v>
      </c>
      <c r="B28" s="207"/>
      <c r="C28" s="208"/>
      <c r="D28" s="901"/>
      <c r="E28" s="902"/>
      <c r="F28" s="894"/>
      <c r="G28" s="895"/>
      <c r="H28" s="894"/>
      <c r="I28" s="895"/>
      <c r="J28" s="894">
        <f>SUM(J26:K27)</f>
        <v>876715025.20729125</v>
      </c>
      <c r="K28" s="895"/>
      <c r="L28" s="165"/>
      <c r="M28" s="166"/>
      <c r="N28" s="195"/>
      <c r="O28" s="195"/>
      <c r="P28" s="163"/>
      <c r="Q28" s="163"/>
      <c r="S28" s="175"/>
    </row>
    <row r="29" spans="1:19" ht="20.100000000000001" customHeight="1">
      <c r="A29" s="162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3"/>
      <c r="Q29" s="163"/>
    </row>
    <row r="30" spans="1:19" ht="20.100000000000001" customHeight="1">
      <c r="A30" s="209" t="s">
        <v>165</v>
      </c>
      <c r="B30" s="162"/>
      <c r="C30" s="162"/>
      <c r="D30" s="162"/>
      <c r="E30" s="162"/>
      <c r="F30" s="162"/>
      <c r="G30" s="162"/>
      <c r="H30" s="162"/>
      <c r="I30" s="162"/>
      <c r="K30" s="209" t="s">
        <v>168</v>
      </c>
      <c r="L30" s="162"/>
      <c r="M30" s="162"/>
      <c r="N30" s="162"/>
      <c r="O30" s="162"/>
      <c r="P30" s="163"/>
      <c r="Q30" s="163"/>
      <c r="R30" s="163"/>
      <c r="S30" s="163"/>
    </row>
    <row r="31" spans="1:19" ht="20.100000000000001" customHeight="1">
      <c r="A31" s="165" t="s">
        <v>137</v>
      </c>
      <c r="B31" s="891" t="s">
        <v>136</v>
      </c>
      <c r="C31" s="892"/>
      <c r="D31" s="903" t="s">
        <v>135</v>
      </c>
      <c r="E31" s="892"/>
      <c r="F31" s="891" t="s">
        <v>134</v>
      </c>
      <c r="G31" s="892"/>
      <c r="H31" s="891" t="s">
        <v>103</v>
      </c>
      <c r="I31" s="892"/>
      <c r="J31" s="195"/>
      <c r="K31" s="210" t="s">
        <v>133</v>
      </c>
      <c r="L31" s="210" t="s">
        <v>132</v>
      </c>
      <c r="M31" s="210" t="s">
        <v>131</v>
      </c>
      <c r="N31" s="195"/>
      <c r="O31" s="195"/>
      <c r="P31" s="163"/>
      <c r="Q31" s="163"/>
      <c r="R31" s="163"/>
      <c r="S31" s="163"/>
    </row>
    <row r="32" spans="1:19" ht="20.100000000000001" customHeight="1">
      <c r="A32" s="212">
        <f>Q50</f>
        <v>12142.930799999998</v>
      </c>
      <c r="B32" s="881">
        <f t="shared" ref="B32:B44" si="5">A32/$A$45</f>
        <v>0.13510092808619337</v>
      </c>
      <c r="C32" s="881"/>
      <c r="D32" s="882">
        <f t="shared" ref="D32:D44" si="6">$D$45*B32</f>
        <v>2095660.1974985513</v>
      </c>
      <c r="E32" s="882"/>
      <c r="F32" s="893">
        <f>J6-D32</f>
        <v>116849566.20250146</v>
      </c>
      <c r="G32" s="893"/>
      <c r="H32" s="888">
        <v>0</v>
      </c>
      <c r="I32" s="888"/>
      <c r="J32" s="158"/>
      <c r="K32" s="213" t="s">
        <v>106</v>
      </c>
      <c r="L32" s="214">
        <f>R75</f>
        <v>201.05359999999999</v>
      </c>
      <c r="M32" s="215">
        <f>L32/L34</f>
        <v>2.2417360772654217E-3</v>
      </c>
      <c r="N32" s="158"/>
      <c r="O32" s="158"/>
      <c r="P32" s="163"/>
      <c r="Q32" s="163"/>
      <c r="R32" s="163"/>
      <c r="S32" s="163"/>
    </row>
    <row r="33" spans="1:19" ht="20.100000000000001" customHeight="1">
      <c r="A33" s="216">
        <f>Q51</f>
        <v>77342.576849999998</v>
      </c>
      <c r="B33" s="881">
        <f t="shared" si="5"/>
        <v>0.86050510252539147</v>
      </c>
      <c r="C33" s="881"/>
      <c r="D33" s="882">
        <f t="shared" si="6"/>
        <v>13347993.375414597</v>
      </c>
      <c r="E33" s="882"/>
      <c r="F33" s="893">
        <f t="shared" ref="F33:F40" si="7">J7-D33</f>
        <v>735740119.47458529</v>
      </c>
      <c r="G33" s="893"/>
      <c r="H33" s="888">
        <v>0</v>
      </c>
      <c r="I33" s="888"/>
      <c r="J33" s="158"/>
      <c r="K33" s="217" t="s">
        <v>105</v>
      </c>
      <c r="L33" s="218">
        <f>S75</f>
        <v>89485.50765</v>
      </c>
      <c r="M33" s="215">
        <f>L33/L34</f>
        <v>0.99775826392273459</v>
      </c>
      <c r="P33" s="163"/>
      <c r="Q33" s="163"/>
      <c r="R33" s="163"/>
      <c r="S33" s="163"/>
    </row>
    <row r="34" spans="1:19" ht="20.100000000000001" customHeight="1">
      <c r="A34" s="219">
        <f>Q52</f>
        <v>0</v>
      </c>
      <c r="B34" s="881">
        <f t="shared" si="5"/>
        <v>0</v>
      </c>
      <c r="C34" s="881"/>
      <c r="D34" s="882">
        <f t="shared" si="6"/>
        <v>0</v>
      </c>
      <c r="E34" s="882"/>
      <c r="F34" s="893">
        <f t="shared" si="7"/>
        <v>0</v>
      </c>
      <c r="G34" s="893"/>
      <c r="H34" s="888">
        <v>0</v>
      </c>
      <c r="I34" s="888"/>
      <c r="J34" s="158"/>
      <c r="K34" s="277" t="s">
        <v>130</v>
      </c>
      <c r="L34" s="278">
        <f>L32+L33</f>
        <v>89686.561249999999</v>
      </c>
      <c r="M34" s="279">
        <f>M32+M33</f>
        <v>1</v>
      </c>
      <c r="N34" s="220"/>
      <c r="O34" s="220"/>
      <c r="P34" s="163"/>
      <c r="Q34" s="163"/>
      <c r="R34" s="163"/>
      <c r="S34" s="163"/>
    </row>
    <row r="35" spans="1:19" ht="20.100000000000001" customHeight="1">
      <c r="A35" s="221">
        <f>Q53</f>
        <v>0</v>
      </c>
      <c r="B35" s="881">
        <f t="shared" si="5"/>
        <v>0</v>
      </c>
      <c r="C35" s="881"/>
      <c r="D35" s="882">
        <f t="shared" si="6"/>
        <v>0</v>
      </c>
      <c r="E35" s="882"/>
      <c r="F35" s="893">
        <f t="shared" si="7"/>
        <v>0</v>
      </c>
      <c r="G35" s="893"/>
      <c r="H35" s="888">
        <v>0</v>
      </c>
      <c r="I35" s="888"/>
      <c r="J35" s="158"/>
      <c r="K35" s="222"/>
      <c r="L35" s="158" t="b">
        <f>L34=Q75</f>
        <v>0</v>
      </c>
      <c r="M35" s="158" t="b">
        <f>M34=100%</f>
        <v>1</v>
      </c>
      <c r="N35" s="158"/>
      <c r="O35" s="158"/>
      <c r="P35" s="163"/>
      <c r="Q35" s="163"/>
      <c r="R35" s="163"/>
      <c r="S35" s="163"/>
    </row>
    <row r="36" spans="1:19" ht="19.5" customHeight="1">
      <c r="A36" s="223">
        <f>Q54</f>
        <v>0</v>
      </c>
      <c r="B36" s="881">
        <f t="shared" si="5"/>
        <v>0</v>
      </c>
      <c r="C36" s="881"/>
      <c r="D36" s="882">
        <f t="shared" si="6"/>
        <v>0</v>
      </c>
      <c r="E36" s="882"/>
      <c r="F36" s="893">
        <f t="shared" si="7"/>
        <v>0</v>
      </c>
      <c r="G36" s="893"/>
      <c r="H36" s="888">
        <f>F36*0.1</f>
        <v>0</v>
      </c>
      <c r="I36" s="888"/>
      <c r="J36" s="158"/>
      <c r="K36" s="222"/>
      <c r="L36" s="158"/>
      <c r="M36" s="158"/>
      <c r="N36" s="158"/>
      <c r="O36" s="158"/>
      <c r="P36" s="163"/>
      <c r="Q36" s="163"/>
      <c r="R36" s="163"/>
      <c r="S36" s="163"/>
    </row>
    <row r="37" spans="1:19" ht="20.100000000000001" hidden="1" customHeight="1">
      <c r="A37" s="224">
        <f>B11*H11</f>
        <v>0</v>
      </c>
      <c r="B37" s="881">
        <f t="shared" si="5"/>
        <v>0</v>
      </c>
      <c r="C37" s="881"/>
      <c r="D37" s="882">
        <f t="shared" si="6"/>
        <v>0</v>
      </c>
      <c r="E37" s="882"/>
      <c r="F37" s="893">
        <f t="shared" si="7"/>
        <v>0</v>
      </c>
      <c r="G37" s="893"/>
      <c r="H37" s="888">
        <f>F37/11*0</f>
        <v>0</v>
      </c>
      <c r="I37" s="888"/>
      <c r="J37" s="158"/>
      <c r="K37" s="222"/>
      <c r="L37" s="158"/>
      <c r="M37" s="158"/>
      <c r="N37" s="158"/>
      <c r="O37" s="158"/>
      <c r="P37" s="163"/>
      <c r="Q37" s="163"/>
      <c r="R37" s="163"/>
      <c r="S37" s="163"/>
    </row>
    <row r="38" spans="1:19" ht="20.100000000000001" hidden="1" customHeight="1">
      <c r="A38" s="225">
        <f>B12*H12</f>
        <v>0</v>
      </c>
      <c r="B38" s="881">
        <f t="shared" si="5"/>
        <v>0</v>
      </c>
      <c r="C38" s="881"/>
      <c r="D38" s="882">
        <f t="shared" si="6"/>
        <v>0</v>
      </c>
      <c r="E38" s="882"/>
      <c r="F38" s="893">
        <f t="shared" si="7"/>
        <v>0</v>
      </c>
      <c r="G38" s="893"/>
      <c r="H38" s="888">
        <f>F38/11*0</f>
        <v>0</v>
      </c>
      <c r="I38" s="888"/>
      <c r="J38" s="158"/>
      <c r="K38" s="222"/>
      <c r="L38" s="158"/>
      <c r="M38" s="158"/>
      <c r="N38" s="158"/>
      <c r="O38" s="158"/>
      <c r="P38" s="163"/>
      <c r="Q38" s="163"/>
      <c r="R38" s="163"/>
      <c r="S38" s="163"/>
    </row>
    <row r="39" spans="1:19" ht="20.100000000000001" hidden="1" customHeight="1">
      <c r="A39" s="226">
        <f>B13*H13</f>
        <v>0</v>
      </c>
      <c r="B39" s="881">
        <f t="shared" si="5"/>
        <v>0</v>
      </c>
      <c r="C39" s="881"/>
      <c r="D39" s="882">
        <f t="shared" si="6"/>
        <v>0</v>
      </c>
      <c r="E39" s="882"/>
      <c r="F39" s="893">
        <f t="shared" si="7"/>
        <v>0</v>
      </c>
      <c r="G39" s="893"/>
      <c r="H39" s="888">
        <f>F39/11*0</f>
        <v>0</v>
      </c>
      <c r="I39" s="888"/>
      <c r="J39" s="158"/>
      <c r="K39" s="222"/>
      <c r="L39" s="158"/>
      <c r="M39" s="158"/>
      <c r="N39" s="158"/>
      <c r="O39" s="158"/>
      <c r="P39" s="163"/>
      <c r="Q39" s="163"/>
      <c r="R39" s="163"/>
      <c r="S39" s="163"/>
    </row>
    <row r="40" spans="1:19" ht="20.100000000000001" hidden="1" customHeight="1">
      <c r="A40" s="226">
        <f>B14*H14</f>
        <v>0</v>
      </c>
      <c r="B40" s="881">
        <f t="shared" si="5"/>
        <v>0</v>
      </c>
      <c r="C40" s="881"/>
      <c r="D40" s="882">
        <f t="shared" si="6"/>
        <v>0</v>
      </c>
      <c r="E40" s="882"/>
      <c r="F40" s="893">
        <f t="shared" si="7"/>
        <v>0</v>
      </c>
      <c r="G40" s="893"/>
      <c r="H40" s="888">
        <f>F40/11*0</f>
        <v>0</v>
      </c>
      <c r="I40" s="888"/>
      <c r="J40" s="158"/>
      <c r="K40" s="222"/>
      <c r="L40" s="158"/>
      <c r="M40" s="158"/>
      <c r="N40" s="158"/>
      <c r="O40" s="158"/>
      <c r="P40" s="163"/>
      <c r="Q40" s="163"/>
      <c r="R40" s="163"/>
      <c r="S40" s="163"/>
    </row>
    <row r="41" spans="1:19" ht="20.100000000000001" customHeight="1">
      <c r="A41" s="227">
        <f>Q69</f>
        <v>201.05359999999999</v>
      </c>
      <c r="B41" s="881">
        <f t="shared" si="5"/>
        <v>2.2369004981128843E-3</v>
      </c>
      <c r="C41" s="881"/>
      <c r="D41" s="882">
        <f t="shared" si="6"/>
        <v>34698.379989433415</v>
      </c>
      <c r="E41" s="882"/>
      <c r="F41" s="893">
        <f>J21-D41</f>
        <v>3986373.6200105664</v>
      </c>
      <c r="G41" s="893"/>
      <c r="H41" s="888">
        <f>F41*0.1</f>
        <v>398637.36200105667</v>
      </c>
      <c r="I41" s="888"/>
      <c r="J41" s="937" t="s">
        <v>129</v>
      </c>
      <c r="K41" s="228"/>
      <c r="L41" s="158"/>
      <c r="M41" s="158"/>
      <c r="N41" s="158"/>
      <c r="O41" s="158"/>
      <c r="P41" s="163"/>
      <c r="Q41" s="163"/>
      <c r="R41" s="163"/>
      <c r="S41" s="163"/>
    </row>
    <row r="42" spans="1:19" ht="20.100000000000001" customHeight="1">
      <c r="A42" s="229">
        <f>Q70</f>
        <v>193.8783</v>
      </c>
      <c r="B42" s="881">
        <f t="shared" si="5"/>
        <v>2.157068890302284E-3</v>
      </c>
      <c r="C42" s="881"/>
      <c r="D42" s="882">
        <f t="shared" si="6"/>
        <v>33460.04709741765</v>
      </c>
      <c r="E42" s="882"/>
      <c r="F42" s="893">
        <f>J22-D42</f>
        <v>3844105.9529025825</v>
      </c>
      <c r="G42" s="893"/>
      <c r="H42" s="888">
        <f t="shared" ref="H42:H44" si="8">F42*0.1</f>
        <v>384410.59529025829</v>
      </c>
      <c r="I42" s="888"/>
      <c r="J42" s="937"/>
      <c r="K42" s="222"/>
      <c r="L42" s="158"/>
      <c r="M42" s="158"/>
      <c r="N42" s="158"/>
      <c r="O42" s="158"/>
      <c r="P42" s="163"/>
      <c r="Q42" s="163"/>
      <c r="R42" s="163"/>
      <c r="S42" s="163"/>
    </row>
    <row r="43" spans="1:19" ht="20.100000000000001" hidden="1" customHeight="1">
      <c r="A43" s="232"/>
      <c r="B43" s="881">
        <f t="shared" si="5"/>
        <v>0</v>
      </c>
      <c r="C43" s="881"/>
      <c r="D43" s="882">
        <f t="shared" si="6"/>
        <v>0</v>
      </c>
      <c r="E43" s="882"/>
      <c r="F43" s="893">
        <f>J23-D43</f>
        <v>0</v>
      </c>
      <c r="G43" s="893"/>
      <c r="H43" s="888">
        <f t="shared" si="8"/>
        <v>0</v>
      </c>
      <c r="I43" s="888"/>
      <c r="J43" s="158"/>
      <c r="K43" s="222"/>
      <c r="L43" s="158"/>
      <c r="M43" s="158"/>
      <c r="N43" s="158"/>
      <c r="O43" s="158"/>
      <c r="P43" s="163"/>
      <c r="Q43" s="163"/>
      <c r="R43" s="163"/>
      <c r="S43" s="163"/>
    </row>
    <row r="44" spans="1:19" ht="20.100000000000001" hidden="1" customHeight="1">
      <c r="A44" s="233"/>
      <c r="B44" s="881">
        <f t="shared" si="5"/>
        <v>0</v>
      </c>
      <c r="C44" s="881"/>
      <c r="D44" s="882">
        <f t="shared" si="6"/>
        <v>0</v>
      </c>
      <c r="E44" s="882"/>
      <c r="F44" s="893">
        <f>J24-D44</f>
        <v>0</v>
      </c>
      <c r="G44" s="893"/>
      <c r="H44" s="888">
        <f t="shared" si="8"/>
        <v>0</v>
      </c>
      <c r="I44" s="888"/>
      <c r="J44" s="158"/>
      <c r="K44" s="158"/>
      <c r="L44" s="158"/>
      <c r="M44" s="158"/>
      <c r="N44" s="158"/>
      <c r="O44" s="158"/>
      <c r="P44" s="163"/>
      <c r="Q44" s="163"/>
      <c r="R44" s="163"/>
      <c r="S44" s="163"/>
    </row>
    <row r="45" spans="1:19" ht="20.100000000000001" customHeight="1">
      <c r="A45" s="234">
        <f>SUM(A32:A44)</f>
        <v>89880.439549999996</v>
      </c>
      <c r="B45" s="940">
        <f>SUM(B32:B44)</f>
        <v>1</v>
      </c>
      <c r="C45" s="940"/>
      <c r="D45" s="939">
        <v>15511812</v>
      </c>
      <c r="E45" s="939"/>
      <c r="F45" s="938">
        <f>SUM(F32:G44)</f>
        <v>860420165.24999988</v>
      </c>
      <c r="G45" s="938"/>
      <c r="H45" s="925">
        <f>SUM(H32:I44)</f>
        <v>783047.95729131496</v>
      </c>
      <c r="I45" s="925"/>
      <c r="J45" s="158"/>
      <c r="K45" s="158"/>
      <c r="L45" s="158"/>
      <c r="M45" s="158"/>
      <c r="N45" s="158"/>
      <c r="O45" s="158"/>
      <c r="P45" s="163"/>
      <c r="Q45" s="163"/>
      <c r="R45" s="163"/>
      <c r="S45" s="163"/>
    </row>
    <row r="46" spans="1:19" ht="20.100000000000001" customHeight="1">
      <c r="A46" s="158"/>
      <c r="B46" s="158"/>
      <c r="C46" s="158"/>
      <c r="D46" s="158"/>
      <c r="E46" s="158"/>
      <c r="F46" s="158"/>
      <c r="G46" s="158"/>
      <c r="H46" s="158"/>
      <c r="I46" s="235">
        <f>H45/J26</f>
        <v>8.9395977955925813E-4</v>
      </c>
      <c r="J46" s="236"/>
      <c r="K46" s="158"/>
      <c r="L46" s="237"/>
      <c r="M46" s="222"/>
      <c r="N46" s="236"/>
      <c r="O46" s="236"/>
      <c r="P46" s="163"/>
      <c r="Q46" s="163"/>
      <c r="R46" s="163"/>
      <c r="S46" s="163"/>
    </row>
    <row r="47" spans="1:19" ht="20.100000000000001" customHeight="1">
      <c r="A47" s="209" t="s">
        <v>166</v>
      </c>
      <c r="B47" s="162"/>
      <c r="C47" s="162"/>
      <c r="D47" s="162"/>
      <c r="E47" s="162"/>
      <c r="F47" s="162"/>
      <c r="G47" s="162"/>
      <c r="H47" s="158"/>
      <c r="I47" s="158"/>
      <c r="J47" s="158"/>
      <c r="K47" s="158"/>
      <c r="L47" s="158"/>
      <c r="M47" s="158"/>
      <c r="N47" s="158"/>
      <c r="O47" s="158"/>
      <c r="P47" s="163"/>
      <c r="Q47" s="163"/>
      <c r="R47" s="163"/>
      <c r="S47" s="163"/>
    </row>
    <row r="48" spans="1:19" ht="20.100000000000001" customHeight="1">
      <c r="A48" s="238" t="s">
        <v>128</v>
      </c>
      <c r="B48" s="162"/>
      <c r="C48" s="162"/>
      <c r="D48" s="162"/>
      <c r="E48" s="162"/>
      <c r="F48" s="162"/>
      <c r="G48" s="162"/>
      <c r="H48" s="158"/>
      <c r="I48" s="158"/>
      <c r="J48" s="158"/>
      <c r="K48" s="158"/>
      <c r="L48" s="158"/>
      <c r="M48" s="158"/>
      <c r="N48" s="158"/>
      <c r="O48" s="158"/>
    </row>
    <row r="49" spans="1:25" ht="20.100000000000001" customHeight="1">
      <c r="A49" s="165" t="s">
        <v>122</v>
      </c>
      <c r="B49" s="931" t="s">
        <v>121</v>
      </c>
      <c r="C49" s="931"/>
      <c r="D49" s="931" t="s">
        <v>113</v>
      </c>
      <c r="E49" s="931"/>
      <c r="F49" s="931" t="s">
        <v>127</v>
      </c>
      <c r="G49" s="931"/>
      <c r="H49" s="928" t="s">
        <v>126</v>
      </c>
      <c r="I49" s="928"/>
      <c r="J49" s="928" t="s">
        <v>125</v>
      </c>
      <c r="K49" s="928"/>
      <c r="L49" s="928" t="s">
        <v>109</v>
      </c>
      <c r="M49" s="928"/>
      <c r="N49" s="239" t="s">
        <v>108</v>
      </c>
      <c r="P49" s="240"/>
      <c r="Q49" s="211" t="s">
        <v>107</v>
      </c>
      <c r="R49" s="211" t="s">
        <v>106</v>
      </c>
      <c r="S49" s="211" t="s">
        <v>105</v>
      </c>
      <c r="T49" s="241"/>
      <c r="U49" s="242" t="s">
        <v>104</v>
      </c>
      <c r="V49" s="243" t="s">
        <v>103</v>
      </c>
      <c r="W49" s="244" t="s">
        <v>163</v>
      </c>
      <c r="X49" s="241"/>
      <c r="Y49" s="241"/>
    </row>
    <row r="50" spans="1:25" ht="20.100000000000001" customHeight="1">
      <c r="A50" s="272">
        <f>B6</f>
        <v>25.285975000000001</v>
      </c>
      <c r="B50" s="933">
        <v>336</v>
      </c>
      <c r="C50" s="933"/>
      <c r="D50" s="591">
        <v>59.92</v>
      </c>
      <c r="E50" s="592">
        <f>D50*0.3025</f>
        <v>18.125800000000002</v>
      </c>
      <c r="F50" s="591">
        <v>23.67</v>
      </c>
      <c r="G50" s="274">
        <f t="shared" ref="G50:G52" si="9">F50*0.3025</f>
        <v>7.1601750000000006</v>
      </c>
      <c r="H50" s="314">
        <v>83.59</v>
      </c>
      <c r="I50" s="246">
        <f>SUM(H50*0.3025)</f>
        <v>25.285975000000001</v>
      </c>
      <c r="J50" s="591">
        <v>35.880000000000003</v>
      </c>
      <c r="K50" s="313">
        <f t="shared" ref="K50:K52" si="10">J50*0.3025</f>
        <v>10.8537</v>
      </c>
      <c r="L50" s="313">
        <f>SUM(H50,J50)</f>
        <v>119.47</v>
      </c>
      <c r="M50" s="313">
        <f>SUM(L50*0.3025)</f>
        <v>36.139674999999997</v>
      </c>
      <c r="N50" s="386">
        <f>B50*I50/$I$59</f>
        <v>0.13702840780605421</v>
      </c>
      <c r="P50" s="466" t="str">
        <f>IF(D50&gt;85,"과세","비과세")</f>
        <v>비과세</v>
      </c>
      <c r="Q50" s="230">
        <f>B50*M50</f>
        <v>12142.930799999998</v>
      </c>
      <c r="R50" s="230">
        <f>IF(P50="과세",Q50, 0)</f>
        <v>0</v>
      </c>
      <c r="S50" s="230">
        <f>Q50-R50</f>
        <v>12142.930799999998</v>
      </c>
      <c r="T50" s="241"/>
      <c r="U50" s="247">
        <f>M50*B50*사업수지표!$BC$33</f>
        <v>59500360.919999994</v>
      </c>
      <c r="V50" s="248">
        <f t="shared" ref="V50:V58" si="11">U50*10%*0</f>
        <v>0</v>
      </c>
      <c r="W50" s="249">
        <f t="shared" ref="W50:W58" si="12">SUM(U50:V50)</f>
        <v>59500360.919999994</v>
      </c>
      <c r="X50" s="241"/>
      <c r="Y50" s="241"/>
    </row>
    <row r="51" spans="1:25" ht="20.100000000000001" customHeight="1">
      <c r="A51" s="272">
        <f>B7</f>
        <v>34.542474999999996</v>
      </c>
      <c r="B51" s="933">
        <v>1549</v>
      </c>
      <c r="C51" s="933"/>
      <c r="D51" s="591">
        <v>84.95</v>
      </c>
      <c r="E51" s="592">
        <f>D51*0.3025</f>
        <v>25.697375000000001</v>
      </c>
      <c r="F51" s="591">
        <v>29.24</v>
      </c>
      <c r="G51" s="274">
        <f t="shared" si="9"/>
        <v>8.8450999999999986</v>
      </c>
      <c r="H51" s="314">
        <v>114.19</v>
      </c>
      <c r="I51" s="246">
        <f>SUM(H51*0.3025)</f>
        <v>34.542474999999996</v>
      </c>
      <c r="J51" s="591">
        <v>50.87</v>
      </c>
      <c r="K51" s="313">
        <f t="shared" si="10"/>
        <v>15.388174999999999</v>
      </c>
      <c r="L51" s="313">
        <f>SUM(H51,J51)</f>
        <v>165.06</v>
      </c>
      <c r="M51" s="313">
        <f>SUM(L51*0.3025)</f>
        <v>49.93065</v>
      </c>
      <c r="N51" s="386">
        <f>B51*I51/$I$59</f>
        <v>0.8629715921939457</v>
      </c>
      <c r="P51" s="466" t="str">
        <f>IF(D51&gt;85,"과세","비과세")</f>
        <v>비과세</v>
      </c>
      <c r="Q51" s="230">
        <f t="shared" ref="Q51:Q58" si="13">B51*M51</f>
        <v>77342.576849999998</v>
      </c>
      <c r="R51" s="230">
        <f>IF(P51="과세",Q51, 0)</f>
        <v>0</v>
      </c>
      <c r="S51" s="230">
        <f t="shared" ref="S51:S58" si="14">Q51-R51</f>
        <v>77342.576849999998</v>
      </c>
      <c r="T51" s="241"/>
      <c r="U51" s="247">
        <f>M51*B51*사업수지표!$BC$33</f>
        <v>378978626.565</v>
      </c>
      <c r="V51" s="248">
        <f t="shared" si="11"/>
        <v>0</v>
      </c>
      <c r="W51" s="249">
        <f t="shared" si="12"/>
        <v>378978626.565</v>
      </c>
      <c r="X51" s="241"/>
      <c r="Y51" s="241"/>
    </row>
    <row r="52" spans="1:25" ht="20.100000000000001" customHeight="1">
      <c r="A52" s="273">
        <f>B8</f>
        <v>0</v>
      </c>
      <c r="B52" s="932"/>
      <c r="C52" s="932"/>
      <c r="D52" s="313"/>
      <c r="E52" s="274">
        <f t="shared" ref="E52:E54" si="15">D52*0.3025</f>
        <v>0</v>
      </c>
      <c r="F52" s="535"/>
      <c r="G52" s="274">
        <f t="shared" si="9"/>
        <v>0</v>
      </c>
      <c r="H52" s="314">
        <f>SUM(D52,F52)</f>
        <v>0</v>
      </c>
      <c r="I52" s="246">
        <f>SUM(H52*0.3025)</f>
        <v>0</v>
      </c>
      <c r="J52" s="535"/>
      <c r="K52" s="313">
        <f t="shared" si="10"/>
        <v>0</v>
      </c>
      <c r="L52" s="313">
        <f>SUM(H52,J52)</f>
        <v>0</v>
      </c>
      <c r="M52" s="313">
        <f>SUM(L52*0.3025)</f>
        <v>0</v>
      </c>
      <c r="N52" s="386">
        <f>B52*I52/$I$59</f>
        <v>0</v>
      </c>
      <c r="P52" s="466" t="str">
        <f>IF(D52&gt;85,"과세","비과세")</f>
        <v>비과세</v>
      </c>
      <c r="Q52" s="250">
        <f t="shared" si="13"/>
        <v>0</v>
      </c>
      <c r="R52" s="230">
        <f>IF(P52="과세",Q52, 0)</f>
        <v>0</v>
      </c>
      <c r="S52" s="230">
        <f t="shared" si="14"/>
        <v>0</v>
      </c>
      <c r="T52" s="241"/>
      <c r="U52" s="247">
        <f>M52*B52*사업수지표!$BC$33</f>
        <v>0</v>
      </c>
      <c r="V52" s="248">
        <f t="shared" si="11"/>
        <v>0</v>
      </c>
      <c r="W52" s="249">
        <f t="shared" si="12"/>
        <v>0</v>
      </c>
      <c r="X52" s="241"/>
      <c r="Y52" s="241"/>
    </row>
    <row r="53" spans="1:25" ht="20.100000000000001" customHeight="1">
      <c r="A53" s="273">
        <f>B9</f>
        <v>0</v>
      </c>
      <c r="B53" s="932"/>
      <c r="C53" s="932"/>
      <c r="D53" s="535"/>
      <c r="E53" s="274"/>
      <c r="F53" s="535"/>
      <c r="G53" s="274">
        <f t="shared" ref="G53:G54" si="16">F53*0.3025</f>
        <v>0</v>
      </c>
      <c r="H53" s="314">
        <f>SUM(D53,F53)</f>
        <v>0</v>
      </c>
      <c r="I53" s="246">
        <f>SUM(H53*0.3025)</f>
        <v>0</v>
      </c>
      <c r="J53" s="535"/>
      <c r="K53" s="313">
        <f t="shared" ref="K53:K54" si="17">J53*0.3025</f>
        <v>0</v>
      </c>
      <c r="L53" s="313">
        <f>SUM(H53,J53)</f>
        <v>0</v>
      </c>
      <c r="M53" s="313">
        <f>SUM(L53*0.3025)</f>
        <v>0</v>
      </c>
      <c r="N53" s="386">
        <f>B53*I53/$I$59</f>
        <v>0</v>
      </c>
      <c r="P53" s="466" t="str">
        <f>IF(D53&gt;85,"과세","비과세")</f>
        <v>비과세</v>
      </c>
      <c r="Q53" s="250">
        <f t="shared" si="13"/>
        <v>0</v>
      </c>
      <c r="R53" s="230">
        <f t="shared" ref="R53:R58" si="18">IF(P53="과세",Q53, 0)</f>
        <v>0</v>
      </c>
      <c r="S53" s="230">
        <f t="shared" si="14"/>
        <v>0</v>
      </c>
      <c r="T53" s="241"/>
      <c r="U53" s="247">
        <f>M53*B53*사업수지표!$BC$33</f>
        <v>0</v>
      </c>
      <c r="V53" s="248">
        <f t="shared" si="11"/>
        <v>0</v>
      </c>
      <c r="W53" s="249">
        <f t="shared" si="12"/>
        <v>0</v>
      </c>
      <c r="X53" s="241"/>
      <c r="Y53" s="241"/>
    </row>
    <row r="54" spans="1:25" ht="20.100000000000001" customHeight="1">
      <c r="A54" s="273">
        <f>B10</f>
        <v>0</v>
      </c>
      <c r="B54" s="926"/>
      <c r="C54" s="927"/>
      <c r="D54" s="535"/>
      <c r="E54" s="274">
        <f t="shared" si="15"/>
        <v>0</v>
      </c>
      <c r="F54" s="535"/>
      <c r="G54" s="274">
        <f t="shared" si="16"/>
        <v>0</v>
      </c>
      <c r="H54" s="314">
        <f>SUM(D54,F54)</f>
        <v>0</v>
      </c>
      <c r="I54" s="246">
        <f>SUM(H54*0.3025)</f>
        <v>0</v>
      </c>
      <c r="J54" s="535"/>
      <c r="K54" s="313">
        <f t="shared" si="17"/>
        <v>0</v>
      </c>
      <c r="L54" s="313">
        <f>SUM(H54,J54)</f>
        <v>0</v>
      </c>
      <c r="M54" s="313">
        <f>SUM(L54*0.3025)</f>
        <v>0</v>
      </c>
      <c r="N54" s="386">
        <f>B54*I54/$I$59</f>
        <v>0</v>
      </c>
      <c r="P54" s="467" t="str">
        <f>IF(D54&gt;85,"과세","비과세")</f>
        <v>비과세</v>
      </c>
      <c r="Q54" s="230">
        <f t="shared" si="13"/>
        <v>0</v>
      </c>
      <c r="R54" s="230">
        <f t="shared" si="18"/>
        <v>0</v>
      </c>
      <c r="S54" s="230">
        <f t="shared" si="14"/>
        <v>0</v>
      </c>
      <c r="T54" s="241"/>
      <c r="U54" s="247">
        <f>M54*B54*사업수지표!$BC$33</f>
        <v>0</v>
      </c>
      <c r="V54" s="248">
        <f>U54*10%</f>
        <v>0</v>
      </c>
      <c r="W54" s="249">
        <f t="shared" si="12"/>
        <v>0</v>
      </c>
      <c r="X54" s="241"/>
      <c r="Y54" s="241"/>
    </row>
    <row r="55" spans="1:25" ht="20.100000000000001" hidden="1" customHeight="1">
      <c r="A55" s="245"/>
      <c r="B55" s="926"/>
      <c r="C55" s="927"/>
      <c r="D55" s="313"/>
      <c r="E55" s="274"/>
      <c r="F55" s="313"/>
      <c r="G55" s="274"/>
      <c r="H55" s="314"/>
      <c r="I55" s="246"/>
      <c r="J55" s="313"/>
      <c r="K55" s="313"/>
      <c r="L55" s="313"/>
      <c r="M55" s="313"/>
      <c r="N55" s="245"/>
      <c r="P55" s="251" t="s">
        <v>124</v>
      </c>
      <c r="Q55" s="230">
        <f t="shared" si="13"/>
        <v>0</v>
      </c>
      <c r="R55" s="230">
        <f t="shared" si="18"/>
        <v>0</v>
      </c>
      <c r="S55" s="230">
        <f t="shared" si="14"/>
        <v>0</v>
      </c>
      <c r="T55" s="241"/>
      <c r="U55" s="247">
        <f>M55*B55*사업수지표!$BC$33</f>
        <v>0</v>
      </c>
      <c r="V55" s="248">
        <f t="shared" si="11"/>
        <v>0</v>
      </c>
      <c r="W55" s="249">
        <f t="shared" si="12"/>
        <v>0</v>
      </c>
      <c r="X55" s="241"/>
      <c r="Y55" s="241"/>
    </row>
    <row r="56" spans="1:25" ht="20.100000000000001" hidden="1" customHeight="1">
      <c r="A56" s="245"/>
      <c r="B56" s="926"/>
      <c r="C56" s="927"/>
      <c r="D56" s="313"/>
      <c r="E56" s="274"/>
      <c r="F56" s="313"/>
      <c r="G56" s="274"/>
      <c r="H56" s="314"/>
      <c r="I56" s="246"/>
      <c r="J56" s="313"/>
      <c r="K56" s="313"/>
      <c r="L56" s="313"/>
      <c r="M56" s="313"/>
      <c r="N56" s="245"/>
      <c r="P56" s="251" t="s">
        <v>124</v>
      </c>
      <c r="Q56" s="230">
        <f t="shared" si="13"/>
        <v>0</v>
      </c>
      <c r="R56" s="230">
        <f t="shared" si="18"/>
        <v>0</v>
      </c>
      <c r="S56" s="230">
        <f t="shared" si="14"/>
        <v>0</v>
      </c>
      <c r="T56" s="241"/>
      <c r="U56" s="247">
        <f>M56*B56*사업수지표!$BC$33</f>
        <v>0</v>
      </c>
      <c r="V56" s="248">
        <f t="shared" si="11"/>
        <v>0</v>
      </c>
      <c r="W56" s="249">
        <f t="shared" si="12"/>
        <v>0</v>
      </c>
      <c r="X56" s="241"/>
      <c r="Y56" s="241"/>
    </row>
    <row r="57" spans="1:25" ht="20.100000000000001" hidden="1" customHeight="1">
      <c r="A57" s="245"/>
      <c r="B57" s="926"/>
      <c r="C57" s="927"/>
      <c r="D57" s="313"/>
      <c r="E57" s="274"/>
      <c r="F57" s="313"/>
      <c r="G57" s="274"/>
      <c r="H57" s="314"/>
      <c r="I57" s="246"/>
      <c r="J57" s="313"/>
      <c r="K57" s="313"/>
      <c r="L57" s="313"/>
      <c r="M57" s="313"/>
      <c r="N57" s="245"/>
      <c r="P57" s="251" t="s">
        <v>124</v>
      </c>
      <c r="Q57" s="230">
        <f t="shared" si="13"/>
        <v>0</v>
      </c>
      <c r="R57" s="230">
        <f t="shared" si="18"/>
        <v>0</v>
      </c>
      <c r="S57" s="230">
        <f t="shared" si="14"/>
        <v>0</v>
      </c>
      <c r="T57" s="241"/>
      <c r="U57" s="247">
        <f>M57*B57*사업수지표!$BC$33</f>
        <v>0</v>
      </c>
      <c r="V57" s="248">
        <f t="shared" si="11"/>
        <v>0</v>
      </c>
      <c r="W57" s="249">
        <f t="shared" si="12"/>
        <v>0</v>
      </c>
      <c r="X57" s="241"/>
      <c r="Y57" s="241"/>
    </row>
    <row r="58" spans="1:25" ht="20.100000000000001" hidden="1" customHeight="1">
      <c r="A58" s="245"/>
      <c r="B58" s="926"/>
      <c r="C58" s="927"/>
      <c r="D58" s="313"/>
      <c r="E58" s="274"/>
      <c r="F58" s="313"/>
      <c r="G58" s="274"/>
      <c r="H58" s="314"/>
      <c r="I58" s="246"/>
      <c r="J58" s="313"/>
      <c r="K58" s="313"/>
      <c r="L58" s="313"/>
      <c r="M58" s="313"/>
      <c r="N58" s="245"/>
      <c r="P58" s="251" t="s">
        <v>124</v>
      </c>
      <c r="Q58" s="230">
        <f t="shared" si="13"/>
        <v>0</v>
      </c>
      <c r="R58" s="230">
        <f t="shared" si="18"/>
        <v>0</v>
      </c>
      <c r="S58" s="230">
        <f t="shared" si="14"/>
        <v>0</v>
      </c>
      <c r="T58" s="241"/>
      <c r="U58" s="247">
        <f>M58*B58*사업수지표!$BC$33</f>
        <v>0</v>
      </c>
      <c r="V58" s="248">
        <f t="shared" si="11"/>
        <v>0</v>
      </c>
      <c r="W58" s="249">
        <f t="shared" si="12"/>
        <v>0</v>
      </c>
      <c r="X58" s="241"/>
      <c r="Y58" s="241"/>
    </row>
    <row r="59" spans="1:25" ht="20.100000000000001" customHeight="1">
      <c r="A59" s="271" t="s">
        <v>8</v>
      </c>
      <c r="B59" s="933">
        <f>SUM(B50:B58)</f>
        <v>1885</v>
      </c>
      <c r="C59" s="933"/>
      <c r="D59" s="275">
        <f>$B$50*D50+$B$51*D51+$B$52*D52+$B$53*D53+$B$54*D54+$B$55*D55+$B$56*D56+$B$57*D57+$B$58*D58</f>
        <v>151720.67000000001</v>
      </c>
      <c r="E59" s="275">
        <f>D59*0.3025</f>
        <v>45895.502675000003</v>
      </c>
      <c r="F59" s="275">
        <f>$B$50*F50+$B$51*F51+$B$52*F52+$B$53*F53+$B$54*F54+$B$55*F55+$B$56*F56+$B$57*F57+$B$58*F58</f>
        <v>53245.88</v>
      </c>
      <c r="G59" s="275">
        <f>F59*0.3025</f>
        <v>16106.878699999999</v>
      </c>
      <c r="H59" s="276">
        <f>$B$50*H50+$B$51*H51+$B$52*H52+$B$53*H53+$B$54*H54+$B$55*H55+$B$56*H56+$B$57*H57+$B$58*H58</f>
        <v>204966.55</v>
      </c>
      <c r="I59" s="315">
        <f>H59*0.3025</f>
        <v>62002.381374999997</v>
      </c>
      <c r="J59" s="274">
        <f>$B$50*J50+$B$51*J51+$B$52*J52+$B$53*J53+$B$54*J54+$B$55*J55+$B$56*J56+$B$57*J57-0.094</f>
        <v>90853.216</v>
      </c>
      <c r="K59" s="274">
        <f>J59*0.3025</f>
        <v>27483.097839999999</v>
      </c>
      <c r="L59" s="274">
        <f>$B$50*L50+$B$51*L51+$B$52*L52+$B$53*L53+$B$54*L54+$B$55*L55+$B$56*L56+$B$57*L57-0.094</f>
        <v>295819.766</v>
      </c>
      <c r="M59" s="274">
        <f>L59*0.3025</f>
        <v>89485.479214999999</v>
      </c>
      <c r="N59" s="252"/>
      <c r="P59" s="253"/>
      <c r="Q59" s="254">
        <f>SUM(Q50:Q58)</f>
        <v>89485.50765</v>
      </c>
      <c r="R59" s="254">
        <f>SUM(R50:R58)</f>
        <v>0</v>
      </c>
      <c r="S59" s="254">
        <f>SUM(S50:S58)</f>
        <v>89485.50765</v>
      </c>
      <c r="T59" s="241"/>
      <c r="U59" s="254">
        <f>SUM(U50:U58)</f>
        <v>438478987.48500001</v>
      </c>
      <c r="V59" s="254">
        <f>SUM(V50:V58)</f>
        <v>0</v>
      </c>
      <c r="W59" s="254">
        <f>SUM(W50:W58)</f>
        <v>438478987.48500001</v>
      </c>
      <c r="X59" s="241"/>
      <c r="Y59" s="241"/>
    </row>
    <row r="60" spans="1:25" ht="20.100000000000001" hidden="1" customHeight="1">
      <c r="A60" s="255" t="s">
        <v>123</v>
      </c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7"/>
      <c r="P60" s="241"/>
      <c r="Q60" s="241"/>
      <c r="R60" s="241"/>
      <c r="S60" s="241"/>
      <c r="T60" s="241"/>
      <c r="U60" s="241"/>
      <c r="V60" s="241"/>
      <c r="W60" s="241"/>
      <c r="X60" s="241"/>
      <c r="Y60" s="241"/>
    </row>
    <row r="61" spans="1:25" ht="20.100000000000001" hidden="1" customHeight="1">
      <c r="A61" s="165" t="s">
        <v>122</v>
      </c>
      <c r="B61" s="931" t="s">
        <v>121</v>
      </c>
      <c r="C61" s="931"/>
      <c r="D61" s="931" t="s">
        <v>120</v>
      </c>
      <c r="E61" s="931"/>
      <c r="F61" s="931" t="s">
        <v>119</v>
      </c>
      <c r="G61" s="931"/>
      <c r="H61" s="928" t="s">
        <v>118</v>
      </c>
      <c r="I61" s="928"/>
      <c r="J61" s="928" t="s">
        <v>117</v>
      </c>
      <c r="K61" s="928"/>
      <c r="L61" s="928" t="s">
        <v>109</v>
      </c>
      <c r="M61" s="928"/>
      <c r="N61" s="239" t="s">
        <v>108</v>
      </c>
      <c r="P61" s="241"/>
      <c r="Q61" s="241"/>
      <c r="R61" s="241"/>
      <c r="S61" s="241"/>
      <c r="T61" s="241"/>
      <c r="U61" s="241"/>
      <c r="V61" s="241"/>
      <c r="W61" s="241"/>
      <c r="X61" s="241"/>
      <c r="Y61" s="241"/>
    </row>
    <row r="62" spans="1:25" ht="20.100000000000001" hidden="1" customHeight="1">
      <c r="A62" s="258"/>
      <c r="B62" s="933"/>
      <c r="C62" s="933"/>
      <c r="D62" s="245"/>
      <c r="E62" s="245">
        <f>SUM(D62*0.3025)</f>
        <v>0</v>
      </c>
      <c r="F62" s="245"/>
      <c r="G62" s="245">
        <f>SUM(F62*0.3025)</f>
        <v>0</v>
      </c>
      <c r="H62" s="259">
        <f>SUM(D62+F62)</f>
        <v>0</v>
      </c>
      <c r="I62" s="245">
        <f>SUM(H62*0.3025)</f>
        <v>0</v>
      </c>
      <c r="J62" s="259"/>
      <c r="K62" s="245">
        <f>SUM(J62*0.3025)</f>
        <v>0</v>
      </c>
      <c r="L62" s="259">
        <f>SUM(H62+J62)</f>
        <v>0</v>
      </c>
      <c r="M62" s="245">
        <f>SUM(L62*0.3025)</f>
        <v>0</v>
      </c>
      <c r="N62" s="259"/>
      <c r="P62" s="241"/>
      <c r="Q62" s="241"/>
      <c r="R62" s="241"/>
      <c r="S62" s="241"/>
      <c r="T62" s="241"/>
      <c r="U62" s="241"/>
      <c r="V62" s="241"/>
      <c r="W62" s="241"/>
      <c r="X62" s="241"/>
      <c r="Y62" s="241"/>
    </row>
    <row r="63" spans="1:25" ht="20.100000000000001" hidden="1" customHeight="1">
      <c r="A63" s="258"/>
      <c r="B63" s="933"/>
      <c r="C63" s="933"/>
      <c r="D63" s="245"/>
      <c r="E63" s="245">
        <f>SUM(D63*0.3025)</f>
        <v>0</v>
      </c>
      <c r="F63" s="245"/>
      <c r="G63" s="245">
        <f>SUM(F63*0.3025)</f>
        <v>0</v>
      </c>
      <c r="H63" s="259">
        <f>SUM(D63+F63)</f>
        <v>0</v>
      </c>
      <c r="I63" s="245">
        <f>SUM(H63*0.3025)</f>
        <v>0</v>
      </c>
      <c r="J63" s="259"/>
      <c r="K63" s="245">
        <f>SUM(J63*0.3025)</f>
        <v>0</v>
      </c>
      <c r="L63" s="259">
        <f>SUM(H63+J63)</f>
        <v>0</v>
      </c>
      <c r="M63" s="245">
        <f>SUM(L63*0.3025)</f>
        <v>0</v>
      </c>
      <c r="N63" s="259"/>
      <c r="P63" s="241"/>
      <c r="Q63" s="241"/>
      <c r="R63" s="241"/>
      <c r="S63" s="241"/>
      <c r="T63" s="241"/>
      <c r="U63" s="241"/>
      <c r="V63" s="241"/>
      <c r="W63" s="241"/>
      <c r="X63" s="241"/>
      <c r="Y63" s="241"/>
    </row>
    <row r="64" spans="1:25" ht="20.100000000000001" hidden="1" customHeight="1">
      <c r="A64" s="258"/>
      <c r="B64" s="933"/>
      <c r="C64" s="933"/>
      <c r="D64" s="245"/>
      <c r="E64" s="245">
        <f>SUM(D64*0.3025)</f>
        <v>0</v>
      </c>
      <c r="F64" s="245"/>
      <c r="G64" s="245">
        <f>SUM(F64*0.3025)</f>
        <v>0</v>
      </c>
      <c r="H64" s="259">
        <f>SUM(D64+F64)</f>
        <v>0</v>
      </c>
      <c r="I64" s="245">
        <f>SUM(H64*0.3025)</f>
        <v>0</v>
      </c>
      <c r="J64" s="259"/>
      <c r="K64" s="245">
        <f>SUM(J64*0.3025)</f>
        <v>0</v>
      </c>
      <c r="L64" s="259">
        <f>SUM(H64+J64)</f>
        <v>0</v>
      </c>
      <c r="M64" s="245">
        <f>SUM(L64*0.3025)</f>
        <v>0</v>
      </c>
      <c r="N64" s="259"/>
      <c r="P64" s="241"/>
      <c r="Q64" s="241"/>
      <c r="R64" s="241"/>
      <c r="S64" s="241"/>
      <c r="T64" s="241"/>
      <c r="U64" s="241"/>
      <c r="V64" s="241"/>
      <c r="W64" s="241"/>
      <c r="X64" s="241"/>
      <c r="Y64" s="241"/>
    </row>
    <row r="65" spans="1:25" ht="20.100000000000001" hidden="1" customHeight="1">
      <c r="A65" s="258"/>
      <c r="B65" s="933"/>
      <c r="C65" s="933"/>
      <c r="D65" s="245"/>
      <c r="E65" s="245">
        <f>SUM(D65*0.3025)</f>
        <v>0</v>
      </c>
      <c r="F65" s="245"/>
      <c r="G65" s="245">
        <f>SUM(F65*0.3025)</f>
        <v>0</v>
      </c>
      <c r="H65" s="259">
        <f>SUM(D65+F65)</f>
        <v>0</v>
      </c>
      <c r="I65" s="245">
        <f>SUM(H65*0.3025)</f>
        <v>0</v>
      </c>
      <c r="J65" s="259"/>
      <c r="K65" s="245">
        <f>SUM(J65*0.3025)</f>
        <v>0</v>
      </c>
      <c r="L65" s="259">
        <f>SUM(H65+J65)</f>
        <v>0</v>
      </c>
      <c r="M65" s="245">
        <f>SUM(L65*0.3025)</f>
        <v>0</v>
      </c>
      <c r="N65" s="259"/>
      <c r="P65" s="241"/>
      <c r="Q65" s="241"/>
      <c r="R65" s="241"/>
      <c r="S65" s="241"/>
      <c r="T65" s="241"/>
      <c r="U65" s="241"/>
      <c r="V65" s="241"/>
      <c r="W65" s="241"/>
      <c r="X65" s="241"/>
      <c r="Y65" s="241"/>
    </row>
    <row r="66" spans="1:25" ht="20.100000000000001" hidden="1" customHeight="1">
      <c r="A66" s="260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7"/>
      <c r="P66" s="241"/>
      <c r="Q66" s="241"/>
      <c r="R66" s="241"/>
      <c r="S66" s="241"/>
      <c r="T66" s="241"/>
      <c r="U66" s="241"/>
      <c r="V66" s="241"/>
      <c r="W66" s="241"/>
      <c r="X66" s="241"/>
      <c r="Y66" s="241"/>
    </row>
    <row r="67" spans="1:25" ht="20.100000000000001" customHeight="1">
      <c r="A67" s="255" t="s">
        <v>116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61"/>
      <c r="M67" s="256"/>
      <c r="N67" s="257"/>
      <c r="P67" s="241"/>
      <c r="Q67" s="241"/>
      <c r="R67" s="241"/>
      <c r="S67" s="241"/>
      <c r="T67" s="241"/>
      <c r="U67" s="262"/>
      <c r="V67" s="241"/>
      <c r="W67" s="241"/>
      <c r="X67" s="241"/>
      <c r="Y67" s="241"/>
    </row>
    <row r="68" spans="1:25" ht="20.100000000000001" customHeight="1">
      <c r="A68" s="165" t="s">
        <v>115</v>
      </c>
      <c r="B68" s="931" t="s">
        <v>114</v>
      </c>
      <c r="C68" s="931"/>
      <c r="D68" s="931" t="s">
        <v>113</v>
      </c>
      <c r="E68" s="931"/>
      <c r="F68" s="891" t="s">
        <v>112</v>
      </c>
      <c r="G68" s="892"/>
      <c r="H68" s="934" t="s">
        <v>111</v>
      </c>
      <c r="I68" s="935"/>
      <c r="J68" s="935" t="s">
        <v>110</v>
      </c>
      <c r="K68" s="936"/>
      <c r="L68" s="934" t="s">
        <v>109</v>
      </c>
      <c r="M68" s="936"/>
      <c r="N68" s="263" t="s">
        <v>108</v>
      </c>
      <c r="P68" s="264"/>
      <c r="Q68" s="211" t="s">
        <v>107</v>
      </c>
      <c r="R68" s="211" t="s">
        <v>106</v>
      </c>
      <c r="S68" s="211" t="s">
        <v>105</v>
      </c>
      <c r="U68" s="242" t="s">
        <v>104</v>
      </c>
      <c r="V68" s="243" t="s">
        <v>103</v>
      </c>
      <c r="W68" s="244" t="s">
        <v>102</v>
      </c>
    </row>
    <row r="69" spans="1:25" ht="19.5" customHeight="1">
      <c r="A69" s="265">
        <f>B21</f>
        <v>201.05359999999999</v>
      </c>
      <c r="B69" s="933" t="s">
        <v>323</v>
      </c>
      <c r="C69" s="933"/>
      <c r="D69" s="274">
        <v>265.86</v>
      </c>
      <c r="E69" s="274">
        <f t="shared" ref="E69:G70" si="19">D69*0.3025</f>
        <v>80.422650000000004</v>
      </c>
      <c r="F69" s="274"/>
      <c r="G69" s="274">
        <f t="shared" si="19"/>
        <v>0</v>
      </c>
      <c r="H69" s="274">
        <f>D69+F69</f>
        <v>265.86</v>
      </c>
      <c r="I69" s="274">
        <f>H69*0.3025</f>
        <v>80.422650000000004</v>
      </c>
      <c r="J69" s="274"/>
      <c r="K69" s="274">
        <f t="shared" ref="K69" si="20">J69*0.3025</f>
        <v>0</v>
      </c>
      <c r="L69" s="274">
        <v>664.64</v>
      </c>
      <c r="M69" s="274">
        <f>L69*0.3025</f>
        <v>201.05359999999999</v>
      </c>
      <c r="N69" s="274"/>
      <c r="P69" s="467" t="s">
        <v>278</v>
      </c>
      <c r="Q69" s="250">
        <f>M69</f>
        <v>201.05359999999999</v>
      </c>
      <c r="R69" s="230">
        <f>IF(P69="과세",Q69, 0)</f>
        <v>201.05359999999999</v>
      </c>
      <c r="S69" s="230">
        <f>Q69-R69</f>
        <v>0</v>
      </c>
      <c r="U69" s="247">
        <f>M69*사업수지표!$BC$33</f>
        <v>985162.6399999999</v>
      </c>
      <c r="V69" s="267">
        <f>U69*10%</f>
        <v>98516.263999999996</v>
      </c>
      <c r="W69" s="249">
        <f>SUM(U69:V69)</f>
        <v>1083678.9039999999</v>
      </c>
    </row>
    <row r="70" spans="1:25" ht="20.100000000000001" customHeight="1">
      <c r="A70" s="265">
        <f>B22</f>
        <v>193.8783</v>
      </c>
      <c r="B70" s="933" t="s">
        <v>341</v>
      </c>
      <c r="C70" s="933"/>
      <c r="D70" s="274">
        <v>256.37</v>
      </c>
      <c r="E70" s="274">
        <f t="shared" si="19"/>
        <v>77.551924999999997</v>
      </c>
      <c r="F70" s="274"/>
      <c r="G70" s="274">
        <f t="shared" ref="G70" si="21">F70*0.3025</f>
        <v>0</v>
      </c>
      <c r="H70" s="274">
        <f>D70+F70</f>
        <v>256.37</v>
      </c>
      <c r="I70" s="274">
        <f>H70*0.3025</f>
        <v>77.551924999999997</v>
      </c>
      <c r="J70" s="274"/>
      <c r="K70" s="274">
        <f t="shared" ref="K70" si="22">J70*0.3025</f>
        <v>0</v>
      </c>
      <c r="L70" s="274">
        <v>640.91999999999996</v>
      </c>
      <c r="M70" s="274">
        <f>L70*0.3025</f>
        <v>193.8783</v>
      </c>
      <c r="N70" s="274"/>
      <c r="P70" s="467"/>
      <c r="Q70" s="250">
        <f>M70</f>
        <v>193.8783</v>
      </c>
      <c r="R70" s="230">
        <f>IF(P70="과세",Q70, 0)</f>
        <v>0</v>
      </c>
      <c r="S70" s="231"/>
      <c r="U70" s="247">
        <f>M70*사업수지표!$BC$33</f>
        <v>950003.66999999993</v>
      </c>
      <c r="V70" s="267">
        <f>U70*10%</f>
        <v>95000.366999999998</v>
      </c>
      <c r="W70" s="249">
        <f>SUM(U70:V70)</f>
        <v>1045004.0369999999</v>
      </c>
    </row>
    <row r="71" spans="1:25" ht="20.100000000000001" hidden="1" customHeight="1">
      <c r="A71" s="265"/>
      <c r="B71" s="933"/>
      <c r="C71" s="933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P71" s="266"/>
      <c r="Q71" s="250">
        <f t="shared" ref="Q71:Q72" si="23">M71</f>
        <v>0</v>
      </c>
      <c r="R71" s="230">
        <f t="shared" ref="R71:R72" si="24">IF(P71="과세",Q71, 0)</f>
        <v>0</v>
      </c>
      <c r="S71" s="231"/>
      <c r="U71" s="247">
        <f>M71*B71*사업수지표!$BC$33</f>
        <v>0</v>
      </c>
      <c r="V71" s="267">
        <f>U71*10%</f>
        <v>0</v>
      </c>
      <c r="W71" s="249">
        <f>SUM(U71:V71)</f>
        <v>0</v>
      </c>
    </row>
    <row r="72" spans="1:25" ht="20.100000000000001" hidden="1" customHeight="1">
      <c r="A72" s="265"/>
      <c r="B72" s="933"/>
      <c r="C72" s="933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P72" s="266"/>
      <c r="Q72" s="250">
        <f t="shared" si="23"/>
        <v>0</v>
      </c>
      <c r="R72" s="230">
        <f t="shared" si="24"/>
        <v>0</v>
      </c>
      <c r="S72" s="231"/>
      <c r="U72" s="247">
        <f>M72*B72*사업수지표!$BC$33</f>
        <v>0</v>
      </c>
      <c r="V72" s="267">
        <f>U72*10%</f>
        <v>0</v>
      </c>
      <c r="W72" s="249">
        <f>SUM(U72:V72)</f>
        <v>0</v>
      </c>
    </row>
    <row r="73" spans="1:25" ht="20.100000000000001" customHeight="1">
      <c r="A73" s="265" t="s">
        <v>8</v>
      </c>
      <c r="B73" s="926"/>
      <c r="C73" s="927"/>
      <c r="D73" s="274">
        <f>SUM(D69:D72)</f>
        <v>522.23</v>
      </c>
      <c r="E73" s="274">
        <f>SUM(D73*0.3025)</f>
        <v>157.97457499999999</v>
      </c>
      <c r="F73" s="274">
        <f>SUM(F69:F72)</f>
        <v>0</v>
      </c>
      <c r="G73" s="274">
        <f>SUM(F73*0.3025)</f>
        <v>0</v>
      </c>
      <c r="H73" s="274">
        <f>SUM(H69:H72)</f>
        <v>522.23</v>
      </c>
      <c r="I73" s="274">
        <f>SUM(H73*0.3025)</f>
        <v>157.97457499999999</v>
      </c>
      <c r="J73" s="274">
        <f>SUM(J69:J72)</f>
        <v>0</v>
      </c>
      <c r="K73" s="274">
        <f>SUM(J73*0.3025)</f>
        <v>0</v>
      </c>
      <c r="L73" s="274">
        <f>SUM(L69:L72)</f>
        <v>1305.56</v>
      </c>
      <c r="M73" s="274">
        <f>SUM(L73*0.3025)</f>
        <v>394.93189999999998</v>
      </c>
      <c r="N73" s="274"/>
      <c r="P73" s="268"/>
      <c r="Q73" s="254">
        <f>SUM(Q69:Q72)</f>
        <v>394.93189999999998</v>
      </c>
      <c r="R73" s="254">
        <f>SUM(R69:R72)</f>
        <v>201.05359999999999</v>
      </c>
      <c r="S73" s="254">
        <f>SUM(S69:S72)</f>
        <v>0</v>
      </c>
      <c r="U73" s="254">
        <f t="shared" ref="U73:W73" si="25">SUM(U69:U72)</f>
        <v>1935166.3099999998</v>
      </c>
      <c r="V73" s="254">
        <f t="shared" si="25"/>
        <v>193516.63099999999</v>
      </c>
      <c r="W73" s="254">
        <f t="shared" si="25"/>
        <v>2128682.9409999996</v>
      </c>
    </row>
    <row r="75" spans="1:25" ht="20.100000000000001" customHeight="1">
      <c r="P75" s="264" t="s">
        <v>8</v>
      </c>
      <c r="Q75" s="269">
        <f>SUM(Q59,Q73)</f>
        <v>89880.439549999996</v>
      </c>
      <c r="R75" s="269">
        <f>SUM(R59,R73)</f>
        <v>201.05359999999999</v>
      </c>
      <c r="S75" s="269">
        <f>SUM(S59,S73)</f>
        <v>89485.50765</v>
      </c>
      <c r="U75" s="264" t="s">
        <v>8</v>
      </c>
      <c r="V75" s="883">
        <f>W59+W73</f>
        <v>440607670.426</v>
      </c>
      <c r="W75" s="883"/>
    </row>
    <row r="76" spans="1:25">
      <c r="Q76" s="327"/>
      <c r="R76" s="270"/>
      <c r="S76" s="270"/>
    </row>
    <row r="77" spans="1:25">
      <c r="P77" s="898"/>
      <c r="Q77" s="327"/>
    </row>
    <row r="78" spans="1:25">
      <c r="P78" s="898"/>
      <c r="Q78" s="327"/>
    </row>
  </sheetData>
  <mergeCells count="204">
    <mergeCell ref="J41:J42"/>
    <mergeCell ref="B73:C73"/>
    <mergeCell ref="B42:C42"/>
    <mergeCell ref="D42:E42"/>
    <mergeCell ref="F42:G42"/>
    <mergeCell ref="B51:C51"/>
    <mergeCell ref="B55:C55"/>
    <mergeCell ref="B72:C72"/>
    <mergeCell ref="B70:C70"/>
    <mergeCell ref="B71:C71"/>
    <mergeCell ref="B50:C50"/>
    <mergeCell ref="B43:C43"/>
    <mergeCell ref="D43:E43"/>
    <mergeCell ref="F43:G43"/>
    <mergeCell ref="F45:G45"/>
    <mergeCell ref="D44:E44"/>
    <mergeCell ref="B44:C44"/>
    <mergeCell ref="D45:E45"/>
    <mergeCell ref="B45:C45"/>
    <mergeCell ref="J68:K68"/>
    <mergeCell ref="B61:C61"/>
    <mergeCell ref="D61:E61"/>
    <mergeCell ref="B62:C62"/>
    <mergeCell ref="H61:I61"/>
    <mergeCell ref="L68:M68"/>
    <mergeCell ref="J61:K61"/>
    <mergeCell ref="B69:C69"/>
    <mergeCell ref="B68:C68"/>
    <mergeCell ref="D68:E68"/>
    <mergeCell ref="F68:G68"/>
    <mergeCell ref="B63:C63"/>
    <mergeCell ref="B64:C64"/>
    <mergeCell ref="F7:G7"/>
    <mergeCell ref="F8:G8"/>
    <mergeCell ref="B53:C53"/>
    <mergeCell ref="F33:G33"/>
    <mergeCell ref="D9:E9"/>
    <mergeCell ref="F17:G17"/>
    <mergeCell ref="F18:G18"/>
    <mergeCell ref="F9:G9"/>
    <mergeCell ref="D11:E11"/>
    <mergeCell ref="D12:E12"/>
    <mergeCell ref="H42:I42"/>
    <mergeCell ref="H43:I43"/>
    <mergeCell ref="F36:G36"/>
    <mergeCell ref="F40:G40"/>
    <mergeCell ref="F41:G41"/>
    <mergeCell ref="F37:G37"/>
    <mergeCell ref="F61:G61"/>
    <mergeCell ref="B65:C65"/>
    <mergeCell ref="B49:C49"/>
    <mergeCell ref="B58:C58"/>
    <mergeCell ref="H68:I68"/>
    <mergeCell ref="B59:C59"/>
    <mergeCell ref="H49:I49"/>
    <mergeCell ref="J49:K49"/>
    <mergeCell ref="F49:G49"/>
    <mergeCell ref="B57:C57"/>
    <mergeCell ref="B54:C54"/>
    <mergeCell ref="F38:G38"/>
    <mergeCell ref="B39:C39"/>
    <mergeCell ref="H40:I40"/>
    <mergeCell ref="H37:I37"/>
    <mergeCell ref="H38:I38"/>
    <mergeCell ref="H39:I39"/>
    <mergeCell ref="D37:E37"/>
    <mergeCell ref="D38:E38"/>
    <mergeCell ref="D39:E39"/>
    <mergeCell ref="B37:C37"/>
    <mergeCell ref="B38:C38"/>
    <mergeCell ref="H45:I45"/>
    <mergeCell ref="B40:C40"/>
    <mergeCell ref="B56:C56"/>
    <mergeCell ref="L49:M49"/>
    <mergeCell ref="L61:M61"/>
    <mergeCell ref="J20:K20"/>
    <mergeCell ref="J21:K21"/>
    <mergeCell ref="J27:K27"/>
    <mergeCell ref="J26:K26"/>
    <mergeCell ref="J22:K22"/>
    <mergeCell ref="H27:I27"/>
    <mergeCell ref="J28:K28"/>
    <mergeCell ref="H20:I20"/>
    <mergeCell ref="H21:I21"/>
    <mergeCell ref="H26:I26"/>
    <mergeCell ref="H44:I44"/>
    <mergeCell ref="H34:I34"/>
    <mergeCell ref="H36:I36"/>
    <mergeCell ref="H33:I33"/>
    <mergeCell ref="F21:G21"/>
    <mergeCell ref="B41:C41"/>
    <mergeCell ref="D49:E49"/>
    <mergeCell ref="D40:E40"/>
    <mergeCell ref="B52:C52"/>
    <mergeCell ref="J16:K16"/>
    <mergeCell ref="J17:K17"/>
    <mergeCell ref="J18:K18"/>
    <mergeCell ref="J19:K19"/>
    <mergeCell ref="J24:K24"/>
    <mergeCell ref="J5:K5"/>
    <mergeCell ref="J6:K6"/>
    <mergeCell ref="J15:K15"/>
    <mergeCell ref="J7:K7"/>
    <mergeCell ref="J9:K9"/>
    <mergeCell ref="J8:K8"/>
    <mergeCell ref="J10:K10"/>
    <mergeCell ref="J13:K13"/>
    <mergeCell ref="J23:K23"/>
    <mergeCell ref="F5:G5"/>
    <mergeCell ref="F6:G6"/>
    <mergeCell ref="F13:G13"/>
    <mergeCell ref="H28:I28"/>
    <mergeCell ref="H22:I22"/>
    <mergeCell ref="H23:I23"/>
    <mergeCell ref="H24:I24"/>
    <mergeCell ref="H25:I25"/>
    <mergeCell ref="H5:I5"/>
    <mergeCell ref="H6:I6"/>
    <mergeCell ref="H10:I10"/>
    <mergeCell ref="H13:I13"/>
    <mergeCell ref="H7:I7"/>
    <mergeCell ref="H9:I9"/>
    <mergeCell ref="H8:I8"/>
    <mergeCell ref="H11:I11"/>
    <mergeCell ref="H15:I15"/>
    <mergeCell ref="H12:I12"/>
    <mergeCell ref="H14:I14"/>
    <mergeCell ref="H16:I16"/>
    <mergeCell ref="H19:I19"/>
    <mergeCell ref="F10:G10"/>
    <mergeCell ref="F12:G12"/>
    <mergeCell ref="F15:G15"/>
    <mergeCell ref="B5:C5"/>
    <mergeCell ref="D5:E5"/>
    <mergeCell ref="D17:E17"/>
    <mergeCell ref="B20:C20"/>
    <mergeCell ref="B15:C15"/>
    <mergeCell ref="D6:E6"/>
    <mergeCell ref="D15:E15"/>
    <mergeCell ref="D10:E10"/>
    <mergeCell ref="D13:E13"/>
    <mergeCell ref="D8:E8"/>
    <mergeCell ref="D7:E7"/>
    <mergeCell ref="D14:E14"/>
    <mergeCell ref="A16:A20"/>
    <mergeCell ref="D18:E18"/>
    <mergeCell ref="D19:E19"/>
    <mergeCell ref="D20:E20"/>
    <mergeCell ref="D16:E16"/>
    <mergeCell ref="A21:A25"/>
    <mergeCell ref="B25:C25"/>
    <mergeCell ref="B23:C23"/>
    <mergeCell ref="B24:C24"/>
    <mergeCell ref="D25:E25"/>
    <mergeCell ref="D24:E24"/>
    <mergeCell ref="D21:E21"/>
    <mergeCell ref="F11:G11"/>
    <mergeCell ref="F14:G14"/>
    <mergeCell ref="P77:P78"/>
    <mergeCell ref="H17:I17"/>
    <mergeCell ref="H18:I18"/>
    <mergeCell ref="B32:C32"/>
    <mergeCell ref="B35:C35"/>
    <mergeCell ref="B34:C34"/>
    <mergeCell ref="D34:E34"/>
    <mergeCell ref="D32:E32"/>
    <mergeCell ref="D26:E26"/>
    <mergeCell ref="F34:G34"/>
    <mergeCell ref="D28:E28"/>
    <mergeCell ref="F31:G31"/>
    <mergeCell ref="B31:C31"/>
    <mergeCell ref="D31:E31"/>
    <mergeCell ref="B33:C33"/>
    <mergeCell ref="D33:E33"/>
    <mergeCell ref="F27:G27"/>
    <mergeCell ref="F32:G32"/>
    <mergeCell ref="F35:G35"/>
    <mergeCell ref="J11:K11"/>
    <mergeCell ref="J12:K12"/>
    <mergeCell ref="J25:K25"/>
    <mergeCell ref="B36:C36"/>
    <mergeCell ref="D36:E36"/>
    <mergeCell ref="V75:W75"/>
    <mergeCell ref="D27:E27"/>
    <mergeCell ref="J14:K14"/>
    <mergeCell ref="H32:I32"/>
    <mergeCell ref="F22:G22"/>
    <mergeCell ref="F23:G23"/>
    <mergeCell ref="F24:G24"/>
    <mergeCell ref="F25:G25"/>
    <mergeCell ref="D22:E22"/>
    <mergeCell ref="D23:E23"/>
    <mergeCell ref="H31:I31"/>
    <mergeCell ref="H41:I41"/>
    <mergeCell ref="H35:I35"/>
    <mergeCell ref="F39:G39"/>
    <mergeCell ref="D41:E41"/>
    <mergeCell ref="D35:E35"/>
    <mergeCell ref="F44:G44"/>
    <mergeCell ref="F26:G26"/>
    <mergeCell ref="F16:G16"/>
    <mergeCell ref="F19:G19"/>
    <mergeCell ref="F20:G20"/>
    <mergeCell ref="F28:G28"/>
  </mergeCells>
  <phoneticPr fontId="20" type="noConversion"/>
  <pageMargins left="0.42" right="0.36" top="1" bottom="1" header="0.5" footer="0.5"/>
  <pageSetup paperSize="9" scale="6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G94"/>
  <sheetViews>
    <sheetView tabSelected="1" view="pageBreakPreview" topLeftCell="A51" zoomScaleNormal="90" zoomScaleSheetLayoutView="100" workbookViewId="0">
      <selection activeCell="AT93" sqref="AT93"/>
    </sheetView>
  </sheetViews>
  <sheetFormatPr defaultColWidth="2" defaultRowHeight="11.25"/>
  <cols>
    <col min="1" max="1" width="6.5546875" style="23" customWidth="1"/>
    <col min="2" max="6" width="1.6640625" style="23" customWidth="1"/>
    <col min="7" max="7" width="4.109375" style="23" customWidth="1"/>
    <col min="8" max="12" width="2" style="23" customWidth="1"/>
    <col min="13" max="13" width="2.5546875" style="23" customWidth="1"/>
    <col min="14" max="25" width="1.77734375" style="23" hidden="1" customWidth="1"/>
    <col min="26" max="30" width="1.77734375" style="23" customWidth="1"/>
    <col min="31" max="31" width="3" style="23" customWidth="1"/>
    <col min="32" max="36" width="1.77734375" style="23" customWidth="1"/>
    <col min="37" max="37" width="2.33203125" style="23" customWidth="1"/>
    <col min="38" max="42" width="1.77734375" style="23" customWidth="1"/>
    <col min="43" max="43" width="2.5546875" style="23" customWidth="1"/>
    <col min="44" max="45" width="10.6640625" style="23" bestFit="1" customWidth="1"/>
    <col min="46" max="48" width="13.33203125" style="23" customWidth="1"/>
    <col min="49" max="49" width="2" style="23" customWidth="1"/>
    <col min="50" max="50" width="2.88671875" style="23" bestFit="1" customWidth="1"/>
    <col min="51" max="51" width="5.109375" style="23" customWidth="1"/>
    <col min="52" max="53" width="4" style="23" bestFit="1" customWidth="1"/>
    <col min="54" max="55" width="3.77734375" style="23" bestFit="1" customWidth="1"/>
    <col min="56" max="56" width="2" style="23" bestFit="1" customWidth="1"/>
    <col min="57" max="57" width="5.33203125" style="23" bestFit="1" customWidth="1"/>
    <col min="58" max="58" width="3.109375" style="23" bestFit="1" customWidth="1"/>
    <col min="59" max="60" width="3.77734375" style="23" bestFit="1" customWidth="1"/>
    <col min="61" max="61" width="2.5546875" style="23" customWidth="1"/>
    <col min="62" max="62" width="2" style="23" customWidth="1"/>
    <col min="63" max="63" width="2.6640625" style="23" bestFit="1" customWidth="1"/>
    <col min="64" max="64" width="3" style="23" customWidth="1"/>
    <col min="65" max="65" width="1.5546875" style="23" customWidth="1"/>
    <col min="66" max="67" width="2.5546875" style="23" customWidth="1"/>
    <col min="68" max="68" width="2.77734375" style="23" customWidth="1"/>
    <col min="69" max="69" width="4" style="23" bestFit="1" customWidth="1"/>
    <col min="70" max="70" width="4.6640625" style="23" customWidth="1"/>
    <col min="71" max="71" width="20.21875" style="23" customWidth="1"/>
    <col min="72" max="72" width="3.88671875" style="41" customWidth="1"/>
    <col min="73" max="73" width="3.77734375" style="41" customWidth="1"/>
    <col min="74" max="74" width="6.109375" style="288" customWidth="1"/>
    <col min="75" max="75" width="9.33203125" style="288" customWidth="1"/>
    <col min="76" max="76" width="1.109375" style="288" customWidth="1"/>
    <col min="77" max="77" width="15.109375" style="23" bestFit="1" customWidth="1"/>
    <col min="78" max="78" width="2" style="23"/>
    <col min="79" max="79" width="8.88671875" style="23" customWidth="1"/>
    <col min="80" max="83" width="9.33203125" style="23" customWidth="1"/>
    <col min="84" max="16384" width="2" style="23"/>
  </cols>
  <sheetData>
    <row r="1" spans="1:79" ht="42" customHeight="1">
      <c r="A1" s="1296" t="s">
        <v>342</v>
      </c>
      <c r="B1" s="1296"/>
      <c r="C1" s="1296"/>
      <c r="D1" s="1296"/>
      <c r="E1" s="1296"/>
      <c r="F1" s="1296"/>
      <c r="G1" s="1296"/>
      <c r="H1" s="1296"/>
      <c r="I1" s="1296"/>
      <c r="J1" s="1296"/>
      <c r="K1" s="1296"/>
      <c r="L1" s="1296"/>
      <c r="M1" s="1296"/>
      <c r="N1" s="1296"/>
      <c r="O1" s="1296"/>
      <c r="P1" s="1296"/>
      <c r="Q1" s="1296"/>
      <c r="R1" s="1296"/>
      <c r="S1" s="1296"/>
      <c r="T1" s="1296"/>
      <c r="U1" s="1296"/>
      <c r="V1" s="1296"/>
      <c r="W1" s="1296"/>
      <c r="X1" s="1296"/>
      <c r="Y1" s="1296"/>
      <c r="Z1" s="1296"/>
      <c r="AA1" s="1296"/>
      <c r="AB1" s="1296"/>
      <c r="AC1" s="1296"/>
      <c r="AD1" s="1296"/>
      <c r="AE1" s="1296"/>
      <c r="AF1" s="1296"/>
      <c r="AG1" s="1296"/>
      <c r="AH1" s="1296"/>
      <c r="AI1" s="1296"/>
      <c r="AJ1" s="1296"/>
      <c r="AK1" s="1296"/>
      <c r="AL1" s="1296"/>
      <c r="AM1" s="1296"/>
      <c r="AN1" s="1296"/>
      <c r="AO1" s="1296"/>
      <c r="AP1" s="1296"/>
      <c r="AQ1" s="1296"/>
      <c r="AR1" s="1296"/>
      <c r="AS1" s="1296"/>
      <c r="AT1" s="1296"/>
      <c r="AU1" s="1296"/>
      <c r="AV1" s="1296"/>
      <c r="AW1" s="1296"/>
      <c r="AX1" s="1296"/>
      <c r="AY1" s="1296"/>
      <c r="AZ1" s="1296"/>
      <c r="BA1" s="1296"/>
      <c r="BB1" s="1296"/>
      <c r="BC1" s="1296"/>
      <c r="BD1" s="1296"/>
      <c r="BE1" s="1296"/>
      <c r="BF1" s="1296"/>
      <c r="BG1" s="1296"/>
      <c r="BH1" s="1296"/>
      <c r="BI1" s="1296"/>
      <c r="BJ1" s="1296"/>
      <c r="BK1" s="1296"/>
      <c r="BL1" s="1296"/>
      <c r="BM1" s="1296"/>
      <c r="BN1" s="1296"/>
      <c r="BO1" s="1296"/>
      <c r="BP1" s="1296"/>
      <c r="BQ1" s="1296"/>
      <c r="BR1" s="1296"/>
      <c r="BS1" s="1296"/>
      <c r="BT1" s="1296"/>
      <c r="BU1" s="1296"/>
      <c r="BV1" s="289"/>
      <c r="BW1" s="289"/>
      <c r="BX1" s="289"/>
    </row>
    <row r="2" spans="1:79" ht="12.75" customHeight="1" thickBot="1"/>
    <row r="3" spans="1:79" s="22" customFormat="1" ht="18" customHeight="1">
      <c r="A3" s="1190" t="s">
        <v>23</v>
      </c>
      <c r="B3" s="1191"/>
      <c r="C3" s="1191"/>
      <c r="D3" s="1191"/>
      <c r="E3" s="1191"/>
      <c r="F3" s="1192"/>
      <c r="G3" s="1222" t="s">
        <v>343</v>
      </c>
      <c r="H3" s="1223"/>
      <c r="I3" s="1223"/>
      <c r="J3" s="1223"/>
      <c r="K3" s="1223"/>
      <c r="L3" s="1223"/>
      <c r="M3" s="1223"/>
      <c r="N3" s="1223"/>
      <c r="O3" s="1223"/>
      <c r="P3" s="1223"/>
      <c r="Q3" s="1223"/>
      <c r="R3" s="1223"/>
      <c r="S3" s="1223"/>
      <c r="T3" s="1223"/>
      <c r="U3" s="1223"/>
      <c r="V3" s="1223"/>
      <c r="W3" s="1223"/>
      <c r="X3" s="1223"/>
      <c r="Y3" s="1223"/>
      <c r="Z3" s="1223"/>
      <c r="AA3" s="1223"/>
      <c r="AB3" s="1223"/>
      <c r="AC3" s="1223"/>
      <c r="AD3" s="1223"/>
      <c r="AE3" s="1223"/>
      <c r="AF3" s="1223"/>
      <c r="AG3" s="1223"/>
      <c r="AH3" s="1223"/>
      <c r="AI3" s="1223"/>
      <c r="AJ3" s="1223"/>
      <c r="AK3" s="1223"/>
      <c r="AL3" s="1223"/>
      <c r="AM3" s="1223"/>
      <c r="AN3" s="1223"/>
      <c r="AO3" s="1223"/>
      <c r="AP3" s="1223"/>
      <c r="AQ3" s="1223"/>
      <c r="AR3" s="1223"/>
      <c r="AS3" s="1223"/>
      <c r="AT3" s="1223"/>
      <c r="AU3" s="1223"/>
      <c r="AV3" s="1223"/>
      <c r="AW3" s="1223"/>
      <c r="AX3" s="1223"/>
      <c r="AY3" s="1223"/>
      <c r="AZ3" s="1223"/>
      <c r="BA3" s="1223"/>
      <c r="BB3" s="1223"/>
      <c r="BC3" s="1223"/>
      <c r="BD3" s="1223"/>
      <c r="BE3" s="1223"/>
      <c r="BF3" s="1223"/>
      <c r="BG3" s="1223"/>
      <c r="BH3" s="1223"/>
      <c r="BI3" s="1223"/>
      <c r="BJ3" s="1223"/>
      <c r="BK3" s="1223"/>
      <c r="BL3" s="1224"/>
      <c r="BV3" s="283"/>
      <c r="BW3" s="439"/>
      <c r="BX3" s="439"/>
    </row>
    <row r="4" spans="1:79" ht="18" customHeight="1" thickBot="1">
      <c r="A4" s="1266" t="s">
        <v>24</v>
      </c>
      <c r="B4" s="1267"/>
      <c r="C4" s="1267"/>
      <c r="D4" s="1267"/>
      <c r="E4" s="1267"/>
      <c r="F4" s="1267"/>
      <c r="G4" s="1225" t="s">
        <v>344</v>
      </c>
      <c r="H4" s="1226"/>
      <c r="I4" s="1226"/>
      <c r="J4" s="1226"/>
      <c r="K4" s="1226"/>
      <c r="L4" s="1226"/>
      <c r="M4" s="1226"/>
      <c r="N4" s="1226"/>
      <c r="O4" s="1226"/>
      <c r="P4" s="1226"/>
      <c r="Q4" s="1226"/>
      <c r="R4" s="1226"/>
      <c r="S4" s="1226"/>
      <c r="T4" s="1226"/>
      <c r="U4" s="1226"/>
      <c r="V4" s="1226"/>
      <c r="W4" s="1226"/>
      <c r="X4" s="1226"/>
      <c r="Y4" s="1226"/>
      <c r="Z4" s="1226"/>
      <c r="AA4" s="1226"/>
      <c r="AB4" s="1226"/>
      <c r="AC4" s="1226"/>
      <c r="AD4" s="1226"/>
      <c r="AE4" s="1226"/>
      <c r="AF4" s="1226"/>
      <c r="AG4" s="1226"/>
      <c r="AH4" s="1226"/>
      <c r="AI4" s="1226"/>
      <c r="AJ4" s="1226"/>
      <c r="AK4" s="1226"/>
      <c r="AL4" s="1226"/>
      <c r="AM4" s="1226"/>
      <c r="AN4" s="1226"/>
      <c r="AO4" s="1226"/>
      <c r="AP4" s="1226"/>
      <c r="AQ4" s="1226"/>
      <c r="AR4" s="1226"/>
      <c r="AS4" s="1226"/>
      <c r="AT4" s="1226"/>
      <c r="AU4" s="1226"/>
      <c r="AV4" s="1226"/>
      <c r="AW4" s="1226"/>
      <c r="AX4" s="1226"/>
      <c r="AY4" s="1226"/>
      <c r="AZ4" s="1226"/>
      <c r="BA4" s="1226"/>
      <c r="BB4" s="1226"/>
      <c r="BC4" s="1226"/>
      <c r="BD4" s="1226"/>
      <c r="BE4" s="1226"/>
      <c r="BF4" s="1226"/>
      <c r="BG4" s="1226"/>
      <c r="BH4" s="1226"/>
      <c r="BI4" s="1226"/>
      <c r="BJ4" s="1226"/>
      <c r="BK4" s="1226"/>
      <c r="BL4" s="1227"/>
      <c r="BM4" s="1294"/>
      <c r="BN4" s="1294"/>
      <c r="BO4" s="1294"/>
      <c r="BP4" s="1294"/>
      <c r="BQ4" s="1295"/>
      <c r="BR4" s="1295"/>
      <c r="BS4" s="1295"/>
      <c r="BT4" s="1295"/>
      <c r="BU4" s="280"/>
      <c r="BV4" s="280"/>
      <c r="BW4" s="437"/>
      <c r="BX4" s="437"/>
    </row>
    <row r="5" spans="1:79" ht="18" customHeight="1">
      <c r="A5" s="1315" t="s">
        <v>3</v>
      </c>
      <c r="B5" s="1316"/>
      <c r="C5" s="1316"/>
      <c r="D5" s="1316"/>
      <c r="E5" s="1316"/>
      <c r="F5" s="1316"/>
      <c r="G5" s="1317">
        <v>105981</v>
      </c>
      <c r="H5" s="1317"/>
      <c r="I5" s="1317"/>
      <c r="J5" s="1317"/>
      <c r="K5" s="1317"/>
      <c r="L5" s="1318"/>
      <c r="M5" s="354" t="s">
        <v>2</v>
      </c>
      <c r="N5" s="355"/>
      <c r="O5" s="572"/>
      <c r="P5" s="572"/>
      <c r="Q5" s="572"/>
      <c r="R5" s="572"/>
      <c r="S5" s="572"/>
      <c r="T5" s="572"/>
      <c r="U5" s="572"/>
      <c r="V5" s="572"/>
      <c r="W5" s="572"/>
      <c r="X5" s="572"/>
      <c r="Y5" s="572"/>
      <c r="Z5" s="1236">
        <f t="shared" ref="Z5:Z10" si="0">G5*0.3025</f>
        <v>32059.252499999999</v>
      </c>
      <c r="AA5" s="1236"/>
      <c r="AB5" s="1236"/>
      <c r="AC5" s="1236"/>
      <c r="AD5" s="1236"/>
      <c r="AE5" s="1236"/>
      <c r="AF5" s="1236"/>
      <c r="AG5" s="1236"/>
      <c r="AH5" s="1236"/>
      <c r="AI5" s="573" t="s">
        <v>75</v>
      </c>
      <c r="AJ5" s="1230" t="s">
        <v>70</v>
      </c>
      <c r="AK5" s="1231"/>
      <c r="AL5" s="1231"/>
      <c r="AM5" s="1231"/>
      <c r="AN5" s="1231"/>
      <c r="AO5" s="1231"/>
      <c r="AP5" s="1231"/>
      <c r="AQ5" s="1231"/>
      <c r="AR5" s="1241">
        <v>196.73</v>
      </c>
      <c r="AS5" s="1242"/>
      <c r="AT5" s="333" t="s">
        <v>1</v>
      </c>
      <c r="AU5" s="333"/>
      <c r="AV5" s="333"/>
      <c r="AW5" s="1301" t="s">
        <v>14</v>
      </c>
      <c r="AX5" s="1301"/>
      <c r="AY5" s="1301"/>
      <c r="AZ5" s="1301"/>
      <c r="BA5" s="1228">
        <v>14.55</v>
      </c>
      <c r="BB5" s="1229"/>
      <c r="BC5" s="1229"/>
      <c r="BD5" s="1229"/>
      <c r="BE5" s="1229"/>
      <c r="BF5" s="1229"/>
      <c r="BG5" s="1229"/>
      <c r="BH5" s="1229"/>
      <c r="BI5" s="1229"/>
      <c r="BJ5" s="1229"/>
      <c r="BK5" s="1234" t="s">
        <v>1</v>
      </c>
      <c r="BL5" s="1235"/>
      <c r="BM5" s="24"/>
      <c r="BN5" s="24"/>
      <c r="BO5" s="24"/>
      <c r="BP5" s="24"/>
      <c r="BQ5" s="24"/>
      <c r="BR5" s="24"/>
      <c r="BS5" s="24"/>
      <c r="BT5" s="24"/>
      <c r="BU5" s="24"/>
      <c r="BV5" s="280"/>
      <c r="BW5" s="437"/>
      <c r="BX5" s="437"/>
    </row>
    <row r="6" spans="1:79" ht="18" customHeight="1">
      <c r="A6" s="1268" t="s">
        <v>15</v>
      </c>
      <c r="B6" s="1269"/>
      <c r="C6" s="1269"/>
      <c r="D6" s="1269"/>
      <c r="E6" s="1269"/>
      <c r="F6" s="1269"/>
      <c r="G6" s="1302">
        <v>165</v>
      </c>
      <c r="H6" s="1302"/>
      <c r="I6" s="1302"/>
      <c r="J6" s="1302"/>
      <c r="K6" s="1302"/>
      <c r="L6" s="1303"/>
      <c r="M6" s="356" t="s">
        <v>2</v>
      </c>
      <c r="N6" s="357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1237">
        <f t="shared" si="0"/>
        <v>49.912500000000001</v>
      </c>
      <c r="AA6" s="1237"/>
      <c r="AB6" s="1237"/>
      <c r="AC6" s="1237"/>
      <c r="AD6" s="1237"/>
      <c r="AE6" s="1237"/>
      <c r="AF6" s="1237"/>
      <c r="AG6" s="1237"/>
      <c r="AH6" s="1237"/>
      <c r="AI6" s="575" t="s">
        <v>75</v>
      </c>
      <c r="AJ6" s="1252" t="s">
        <v>51</v>
      </c>
      <c r="AK6" s="1253"/>
      <c r="AL6" s="1253"/>
      <c r="AM6" s="1253"/>
      <c r="AN6" s="1253"/>
      <c r="AO6" s="1253"/>
      <c r="AP6" s="1253"/>
      <c r="AQ6" s="1253"/>
      <c r="AR6" s="1243">
        <v>37</v>
      </c>
      <c r="AS6" s="1244"/>
      <c r="AT6" s="347" t="s">
        <v>29</v>
      </c>
      <c r="AU6" s="347"/>
      <c r="AV6" s="347"/>
      <c r="AW6" s="1238" t="s">
        <v>25</v>
      </c>
      <c r="AX6" s="1238"/>
      <c r="AY6" s="1238"/>
      <c r="AZ6" s="1238"/>
      <c r="BA6" s="576"/>
      <c r="BB6" s="1247" t="s">
        <v>222</v>
      </c>
      <c r="BC6" s="1247"/>
      <c r="BD6" s="577">
        <v>2</v>
      </c>
      <c r="BE6" s="1247" t="s">
        <v>221</v>
      </c>
      <c r="BF6" s="1247"/>
      <c r="BG6" s="1159">
        <v>24</v>
      </c>
      <c r="BH6" s="1159"/>
      <c r="BI6" s="1159">
        <v>20</v>
      </c>
      <c r="BJ6" s="1159"/>
      <c r="BK6" s="350" t="s">
        <v>220</v>
      </c>
      <c r="BL6" s="351"/>
      <c r="BM6" s="24"/>
      <c r="BN6" s="24"/>
      <c r="BO6" s="24"/>
      <c r="BP6" s="24"/>
      <c r="BQ6" s="24"/>
      <c r="BR6" s="24"/>
      <c r="BS6" s="24"/>
      <c r="BT6" s="24"/>
      <c r="BU6" s="24"/>
      <c r="BV6" s="281"/>
      <c r="BW6" s="281"/>
      <c r="BX6" s="281"/>
    </row>
    <row r="7" spans="1:79" ht="18" customHeight="1">
      <c r="A7" s="1268" t="s">
        <v>22</v>
      </c>
      <c r="B7" s="1269"/>
      <c r="C7" s="1269"/>
      <c r="D7" s="1269"/>
      <c r="E7" s="1269"/>
      <c r="F7" s="1269"/>
      <c r="G7" s="1302">
        <v>0</v>
      </c>
      <c r="H7" s="1302"/>
      <c r="I7" s="1302"/>
      <c r="J7" s="1302"/>
      <c r="K7" s="1302"/>
      <c r="L7" s="1303"/>
      <c r="M7" s="356" t="s">
        <v>2</v>
      </c>
      <c r="N7" s="357"/>
      <c r="O7" s="574"/>
      <c r="P7" s="574"/>
      <c r="Q7" s="574"/>
      <c r="R7" s="574"/>
      <c r="S7" s="574"/>
      <c r="T7" s="574"/>
      <c r="U7" s="574"/>
      <c r="V7" s="574"/>
      <c r="W7" s="574"/>
      <c r="X7" s="574"/>
      <c r="Y7" s="574"/>
      <c r="Z7" s="1237">
        <f t="shared" si="0"/>
        <v>0</v>
      </c>
      <c r="AA7" s="1237"/>
      <c r="AB7" s="1237"/>
      <c r="AC7" s="1237"/>
      <c r="AD7" s="1237"/>
      <c r="AE7" s="1237"/>
      <c r="AF7" s="1237"/>
      <c r="AG7" s="1237"/>
      <c r="AH7" s="1237"/>
      <c r="AI7" s="575" t="s">
        <v>75</v>
      </c>
      <c r="AJ7" s="1252" t="s">
        <v>66</v>
      </c>
      <c r="AK7" s="1253"/>
      <c r="AL7" s="1253"/>
      <c r="AM7" s="1253"/>
      <c r="AN7" s="1253"/>
      <c r="AO7" s="1253"/>
      <c r="AP7" s="1253"/>
      <c r="AQ7" s="1253"/>
      <c r="AR7" s="1023">
        <v>1885</v>
      </c>
      <c r="AS7" s="1022"/>
      <c r="AT7" s="347" t="s">
        <v>32</v>
      </c>
      <c r="AU7" s="347"/>
      <c r="AV7" s="347"/>
      <c r="AW7" s="1238" t="s">
        <v>85</v>
      </c>
      <c r="AX7" s="1238"/>
      <c r="AY7" s="1238"/>
      <c r="AZ7" s="1238"/>
      <c r="BA7" s="1248">
        <f>AR89</f>
        <v>6585203</v>
      </c>
      <c r="BB7" s="1249"/>
      <c r="BC7" s="1249"/>
      <c r="BD7" s="1249"/>
      <c r="BE7" s="1249"/>
      <c r="BF7" s="1249"/>
      <c r="BG7" s="1249"/>
      <c r="BH7" s="1249"/>
      <c r="BI7" s="1249"/>
      <c r="BJ7" s="1249"/>
      <c r="BK7" s="1249"/>
      <c r="BL7" s="1250"/>
      <c r="BM7" s="24"/>
      <c r="BN7" s="24"/>
      <c r="BO7" s="24"/>
      <c r="BP7" s="24"/>
      <c r="BQ7" s="24"/>
      <c r="BR7" s="24"/>
      <c r="BS7" s="24"/>
      <c r="BT7" s="24"/>
      <c r="BU7" s="24"/>
      <c r="BV7" s="119"/>
      <c r="BW7" s="438"/>
      <c r="BX7" s="438"/>
    </row>
    <row r="8" spans="1:79" ht="18" customHeight="1">
      <c r="A8" s="1268" t="s">
        <v>26</v>
      </c>
      <c r="B8" s="1269"/>
      <c r="C8" s="1269"/>
      <c r="D8" s="1269"/>
      <c r="E8" s="1269"/>
      <c r="F8" s="1269"/>
      <c r="G8" s="1221">
        <f>G5-G6-G7</f>
        <v>105816</v>
      </c>
      <c r="H8" s="1221"/>
      <c r="I8" s="1221"/>
      <c r="J8" s="1221"/>
      <c r="K8" s="1221"/>
      <c r="L8" s="1217"/>
      <c r="M8" s="356" t="s">
        <v>2</v>
      </c>
      <c r="N8" s="357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1237">
        <f t="shared" si="0"/>
        <v>32009.34</v>
      </c>
      <c r="AA8" s="1237"/>
      <c r="AB8" s="1237"/>
      <c r="AC8" s="1237"/>
      <c r="AD8" s="1237"/>
      <c r="AE8" s="1237"/>
      <c r="AF8" s="1237"/>
      <c r="AG8" s="1237"/>
      <c r="AH8" s="1237"/>
      <c r="AI8" s="575" t="s">
        <v>75</v>
      </c>
      <c r="AJ8" s="1252" t="s">
        <v>67</v>
      </c>
      <c r="AK8" s="1253"/>
      <c r="AL8" s="1253"/>
      <c r="AM8" s="1253"/>
      <c r="AN8" s="1253"/>
      <c r="AO8" s="1253"/>
      <c r="AP8" s="1253"/>
      <c r="AQ8" s="1253"/>
      <c r="AR8" s="1023">
        <v>2529</v>
      </c>
      <c r="AS8" s="1022"/>
      <c r="AT8" s="347" t="s">
        <v>219</v>
      </c>
      <c r="AU8" s="700"/>
      <c r="AV8" s="700"/>
      <c r="AW8" s="1239" t="s">
        <v>172</v>
      </c>
      <c r="AX8" s="1239"/>
      <c r="AY8" s="1239"/>
      <c r="AZ8" s="1239"/>
      <c r="BA8" s="1254"/>
      <c r="BB8" s="1255"/>
      <c r="BC8" s="1255"/>
      <c r="BD8" s="1255"/>
      <c r="BE8" s="1255"/>
      <c r="BF8" s="1255"/>
      <c r="BG8" s="1255"/>
      <c r="BH8" s="1255"/>
      <c r="BI8" s="1255"/>
      <c r="BJ8" s="1255"/>
      <c r="BK8" s="1255"/>
      <c r="BL8" s="1256"/>
      <c r="BM8" s="24"/>
      <c r="BN8" s="24"/>
      <c r="BO8" s="24"/>
      <c r="BP8" s="24"/>
      <c r="BQ8" s="24"/>
      <c r="BR8" s="24"/>
      <c r="BS8" s="24"/>
      <c r="BT8" s="24"/>
      <c r="BU8" s="24"/>
      <c r="BV8" s="283"/>
      <c r="BW8" s="439"/>
      <c r="BX8" s="439"/>
    </row>
    <row r="9" spans="1:79" ht="18" customHeight="1">
      <c r="A9" s="1268" t="s">
        <v>4</v>
      </c>
      <c r="B9" s="1269"/>
      <c r="C9" s="1269"/>
      <c r="D9" s="1269"/>
      <c r="E9" s="1269"/>
      <c r="F9" s="1269"/>
      <c r="G9" s="1217">
        <f>SUM(G10,AR10)</f>
        <v>297049.16000000003</v>
      </c>
      <c r="H9" s="1218"/>
      <c r="I9" s="1218"/>
      <c r="J9" s="1218"/>
      <c r="K9" s="1218"/>
      <c r="L9" s="1218"/>
      <c r="M9" s="356" t="s">
        <v>2</v>
      </c>
      <c r="N9" s="357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1237">
        <f t="shared" si="0"/>
        <v>89857.370900000009</v>
      </c>
      <c r="AA9" s="1237"/>
      <c r="AB9" s="1237"/>
      <c r="AC9" s="1237"/>
      <c r="AD9" s="1237"/>
      <c r="AE9" s="1237"/>
      <c r="AF9" s="1237"/>
      <c r="AG9" s="1237"/>
      <c r="AH9" s="1237"/>
      <c r="AI9" s="575" t="s">
        <v>75</v>
      </c>
      <c r="AJ9" s="1252" t="s">
        <v>68</v>
      </c>
      <c r="AK9" s="1253"/>
      <c r="AL9" s="1253"/>
      <c r="AM9" s="1253"/>
      <c r="AN9" s="1253"/>
      <c r="AO9" s="1253"/>
      <c r="AP9" s="1253"/>
      <c r="AQ9" s="1253"/>
      <c r="AR9" s="1245">
        <f>AR10*0.3025</f>
        <v>26785.700424999999</v>
      </c>
      <c r="AS9" s="1246"/>
      <c r="AT9" s="348" t="s">
        <v>75</v>
      </c>
      <c r="AU9" s="348"/>
      <c r="AV9" s="348"/>
      <c r="AW9" s="1238" t="s">
        <v>86</v>
      </c>
      <c r="AX9" s="1238"/>
      <c r="AY9" s="1238"/>
      <c r="AZ9" s="1238"/>
      <c r="BA9" s="1160"/>
      <c r="BB9" s="1161"/>
      <c r="BC9" s="1161"/>
      <c r="BD9" s="1161"/>
      <c r="BE9" s="1161"/>
      <c r="BF9" s="1161"/>
      <c r="BG9" s="1161"/>
      <c r="BH9" s="1161"/>
      <c r="BI9" s="1161"/>
      <c r="BJ9" s="1161"/>
      <c r="BK9" s="1161"/>
      <c r="BL9" s="1162"/>
      <c r="BM9" s="24"/>
      <c r="BN9" s="24"/>
      <c r="BO9" s="24"/>
      <c r="BP9" s="24"/>
      <c r="BQ9" s="24"/>
      <c r="BR9" s="24"/>
      <c r="BS9" s="24"/>
      <c r="BT9" s="24"/>
      <c r="BU9" s="24"/>
      <c r="BV9" s="284"/>
      <c r="BW9" s="284"/>
      <c r="BX9" s="284"/>
    </row>
    <row r="10" spans="1:79" ht="18" customHeight="1" thickBot="1">
      <c r="A10" s="1266" t="s">
        <v>17</v>
      </c>
      <c r="B10" s="1267"/>
      <c r="C10" s="1267"/>
      <c r="D10" s="1267"/>
      <c r="E10" s="1267"/>
      <c r="F10" s="1267"/>
      <c r="G10" s="1219">
        <v>208501.39</v>
      </c>
      <c r="H10" s="1219"/>
      <c r="I10" s="1219"/>
      <c r="J10" s="1219"/>
      <c r="K10" s="1219"/>
      <c r="L10" s="1220"/>
      <c r="M10" s="358" t="s">
        <v>2</v>
      </c>
      <c r="N10" s="357"/>
      <c r="O10" s="578"/>
      <c r="P10" s="578"/>
      <c r="Q10" s="578"/>
      <c r="R10" s="578"/>
      <c r="S10" s="578"/>
      <c r="T10" s="578"/>
      <c r="U10" s="578"/>
      <c r="V10" s="578"/>
      <c r="W10" s="578"/>
      <c r="X10" s="578"/>
      <c r="Y10" s="578"/>
      <c r="Z10" s="1240">
        <f t="shared" si="0"/>
        <v>63071.670474999999</v>
      </c>
      <c r="AA10" s="1240"/>
      <c r="AB10" s="1240"/>
      <c r="AC10" s="1240"/>
      <c r="AD10" s="1240"/>
      <c r="AE10" s="1240"/>
      <c r="AF10" s="1240"/>
      <c r="AG10" s="1240"/>
      <c r="AH10" s="1240"/>
      <c r="AI10" s="579" t="s">
        <v>75</v>
      </c>
      <c r="AJ10" s="1232" t="s">
        <v>68</v>
      </c>
      <c r="AK10" s="1233"/>
      <c r="AL10" s="1233"/>
      <c r="AM10" s="1233"/>
      <c r="AN10" s="1233"/>
      <c r="AO10" s="1233"/>
      <c r="AP10" s="1233"/>
      <c r="AQ10" s="1233"/>
      <c r="AR10" s="1163">
        <v>88547.77</v>
      </c>
      <c r="AS10" s="1164"/>
      <c r="AT10" s="676" t="s">
        <v>69</v>
      </c>
      <c r="AU10" s="349"/>
      <c r="AV10" s="726"/>
      <c r="AW10" s="1251" t="s">
        <v>424</v>
      </c>
      <c r="AX10" s="1251"/>
      <c r="AY10" s="1251"/>
      <c r="AZ10" s="1251"/>
      <c r="BA10" s="1156">
        <f>현금흐름표!BY129</f>
        <v>3082966.1843224186</v>
      </c>
      <c r="BB10" s="1157"/>
      <c r="BC10" s="1157"/>
      <c r="BD10" s="1157"/>
      <c r="BE10" s="1157"/>
      <c r="BF10" s="1157"/>
      <c r="BG10" s="1157"/>
      <c r="BH10" s="1157"/>
      <c r="BI10" s="1157"/>
      <c r="BJ10" s="1157"/>
      <c r="BK10" s="1157"/>
      <c r="BL10" s="1158"/>
      <c r="BM10" s="1300" t="s">
        <v>96</v>
      </c>
      <c r="BN10" s="1300"/>
      <c r="BO10" s="1300"/>
      <c r="BP10" s="1300"/>
      <c r="BQ10" s="1300"/>
      <c r="BR10" s="1300"/>
      <c r="BS10" s="1300"/>
      <c r="BT10" s="1300"/>
      <c r="BU10" s="1300"/>
      <c r="BV10" s="283"/>
      <c r="BW10" s="439"/>
      <c r="BX10" s="439"/>
      <c r="CA10" s="23" t="s">
        <v>340</v>
      </c>
    </row>
    <row r="11" spans="1:79" ht="18" customHeight="1">
      <c r="A11" s="1193" t="s">
        <v>18</v>
      </c>
      <c r="B11" s="1194"/>
      <c r="C11" s="1194"/>
      <c r="D11" s="1194"/>
      <c r="E11" s="1194"/>
      <c r="F11" s="1194"/>
      <c r="G11" s="1194"/>
      <c r="H11" s="1194"/>
      <c r="I11" s="1194"/>
      <c r="J11" s="1194"/>
      <c r="K11" s="1194"/>
      <c r="L11" s="1194"/>
      <c r="M11" s="1195"/>
      <c r="N11" s="1287" t="s">
        <v>91</v>
      </c>
      <c r="O11" s="1194"/>
      <c r="P11" s="1194"/>
      <c r="Q11" s="1194"/>
      <c r="R11" s="1194"/>
      <c r="S11" s="1288"/>
      <c r="T11" s="1289" t="s">
        <v>92</v>
      </c>
      <c r="U11" s="1290"/>
      <c r="V11" s="1290"/>
      <c r="W11" s="1290"/>
      <c r="X11" s="1290"/>
      <c r="Y11" s="1290"/>
      <c r="Z11" s="1309" t="s">
        <v>95</v>
      </c>
      <c r="AA11" s="1197"/>
      <c r="AB11" s="1197"/>
      <c r="AC11" s="1197"/>
      <c r="AD11" s="1197"/>
      <c r="AE11" s="1197"/>
      <c r="AF11" s="1197"/>
      <c r="AG11" s="1197"/>
      <c r="AH11" s="1197"/>
      <c r="AI11" s="1197"/>
      <c r="AJ11" s="1197"/>
      <c r="AK11" s="1197"/>
      <c r="AL11" s="1197"/>
      <c r="AM11" s="1197"/>
      <c r="AN11" s="1197"/>
      <c r="AO11" s="1197"/>
      <c r="AP11" s="1197"/>
      <c r="AQ11" s="1197"/>
      <c r="AR11" s="1313" t="s">
        <v>199</v>
      </c>
      <c r="AS11" s="1314"/>
      <c r="AT11" s="716" t="s">
        <v>200</v>
      </c>
      <c r="AU11" s="1449" t="s">
        <v>390</v>
      </c>
      <c r="AV11" s="1451" t="s">
        <v>391</v>
      </c>
      <c r="AW11" s="1308" t="s">
        <v>19</v>
      </c>
      <c r="AX11" s="1194"/>
      <c r="AY11" s="1194"/>
      <c r="AZ11" s="1194"/>
      <c r="BA11" s="1194"/>
      <c r="BB11" s="1194"/>
      <c r="BC11" s="1194"/>
      <c r="BD11" s="1194"/>
      <c r="BE11" s="1194"/>
      <c r="BF11" s="1194"/>
      <c r="BG11" s="1194"/>
      <c r="BH11" s="1194"/>
      <c r="BI11" s="1194"/>
      <c r="BJ11" s="1194"/>
      <c r="BK11" s="1194"/>
      <c r="BL11" s="1195"/>
      <c r="BM11" s="1287" t="s">
        <v>170</v>
      </c>
      <c r="BN11" s="1288"/>
      <c r="BO11" s="1288"/>
      <c r="BP11" s="1288"/>
      <c r="BQ11" s="1288"/>
      <c r="BR11" s="1288"/>
      <c r="BS11" s="1195"/>
      <c r="BT11" s="1304" t="s">
        <v>20</v>
      </c>
      <c r="BU11" s="1305"/>
      <c r="BV11" s="285"/>
      <c r="BW11" s="1005" t="s">
        <v>338</v>
      </c>
      <c r="BX11" s="285"/>
      <c r="CA11" s="23" t="s">
        <v>338</v>
      </c>
    </row>
    <row r="12" spans="1:79" ht="18" customHeight="1" thickBot="1">
      <c r="A12" s="1196"/>
      <c r="B12" s="1197"/>
      <c r="C12" s="1197"/>
      <c r="D12" s="1197"/>
      <c r="E12" s="1197"/>
      <c r="F12" s="1197"/>
      <c r="G12" s="1197"/>
      <c r="H12" s="1197"/>
      <c r="I12" s="1197"/>
      <c r="J12" s="1197"/>
      <c r="K12" s="1197"/>
      <c r="L12" s="1197"/>
      <c r="M12" s="1198"/>
      <c r="N12" s="1286" t="s">
        <v>87</v>
      </c>
      <c r="O12" s="1283"/>
      <c r="P12" s="1283"/>
      <c r="Q12" s="1283"/>
      <c r="R12" s="1283"/>
      <c r="S12" s="1283"/>
      <c r="T12" s="1282" t="s">
        <v>87</v>
      </c>
      <c r="U12" s="1283"/>
      <c r="V12" s="1283"/>
      <c r="W12" s="1283"/>
      <c r="X12" s="1283"/>
      <c r="Y12" s="1283"/>
      <c r="Z12" s="1299" t="s">
        <v>196</v>
      </c>
      <c r="AA12" s="1298"/>
      <c r="AB12" s="1298"/>
      <c r="AC12" s="1298"/>
      <c r="AD12" s="1298"/>
      <c r="AE12" s="1298"/>
      <c r="AF12" s="1310" t="s">
        <v>197</v>
      </c>
      <c r="AG12" s="1311"/>
      <c r="AH12" s="1311"/>
      <c r="AI12" s="1311"/>
      <c r="AJ12" s="1311"/>
      <c r="AK12" s="1312"/>
      <c r="AL12" s="1297" t="s">
        <v>198</v>
      </c>
      <c r="AM12" s="1298"/>
      <c r="AN12" s="1298"/>
      <c r="AO12" s="1298"/>
      <c r="AP12" s="1298"/>
      <c r="AQ12" s="1298"/>
      <c r="AR12" s="409" t="s">
        <v>201</v>
      </c>
      <c r="AS12" s="705" t="s">
        <v>202</v>
      </c>
      <c r="AT12" s="717" t="s">
        <v>265</v>
      </c>
      <c r="AU12" s="1450"/>
      <c r="AV12" s="1452"/>
      <c r="AW12" s="1197"/>
      <c r="AX12" s="1197"/>
      <c r="AY12" s="1197"/>
      <c r="AZ12" s="1197"/>
      <c r="BA12" s="1197"/>
      <c r="BB12" s="1197"/>
      <c r="BC12" s="1197"/>
      <c r="BD12" s="1197"/>
      <c r="BE12" s="1197"/>
      <c r="BF12" s="1197"/>
      <c r="BG12" s="1197"/>
      <c r="BH12" s="1197"/>
      <c r="BI12" s="1197"/>
      <c r="BJ12" s="1197"/>
      <c r="BK12" s="1197"/>
      <c r="BL12" s="1198"/>
      <c r="BM12" s="1286" t="s">
        <v>171</v>
      </c>
      <c r="BN12" s="1283"/>
      <c r="BO12" s="1283"/>
      <c r="BP12" s="1283"/>
      <c r="BQ12" s="1283"/>
      <c r="BR12" s="1319"/>
      <c r="BS12" s="410" t="s">
        <v>169</v>
      </c>
      <c r="BT12" s="1306"/>
      <c r="BU12" s="1307"/>
      <c r="BV12" s="285"/>
      <c r="BW12" s="1005"/>
      <c r="BX12" s="285"/>
    </row>
    <row r="13" spans="1:79" ht="18" customHeight="1">
      <c r="A13" s="1431" t="s">
        <v>252</v>
      </c>
      <c r="B13" s="1387" t="s">
        <v>267</v>
      </c>
      <c r="C13" s="1388"/>
      <c r="D13" s="1388"/>
      <c r="E13" s="1388"/>
      <c r="F13" s="1389"/>
      <c r="G13" s="1364" t="s">
        <v>266</v>
      </c>
      <c r="H13" s="1365"/>
      <c r="I13" s="1365" t="s">
        <v>345</v>
      </c>
      <c r="J13" s="1365"/>
      <c r="K13" s="1365"/>
      <c r="L13" s="1365"/>
      <c r="M13" s="1366"/>
      <c r="N13" s="1409"/>
      <c r="O13" s="1410"/>
      <c r="P13" s="1410"/>
      <c r="Q13" s="1410"/>
      <c r="R13" s="1410"/>
      <c r="S13" s="1410"/>
      <c r="T13" s="1411"/>
      <c r="U13" s="1410"/>
      <c r="V13" s="1410"/>
      <c r="W13" s="1410"/>
      <c r="X13" s="1410"/>
      <c r="Y13" s="1410"/>
      <c r="Z13" s="1412">
        <f>AW13*BB13*BH13</f>
        <v>118945226.40000001</v>
      </c>
      <c r="AA13" s="1413"/>
      <c r="AB13" s="1413"/>
      <c r="AC13" s="1413"/>
      <c r="AD13" s="1413"/>
      <c r="AE13" s="1414"/>
      <c r="AF13" s="1415">
        <v>0</v>
      </c>
      <c r="AG13" s="1416"/>
      <c r="AH13" s="1416"/>
      <c r="AI13" s="1416"/>
      <c r="AJ13" s="1416"/>
      <c r="AK13" s="1417"/>
      <c r="AL13" s="1415">
        <f>Z13+AF13</f>
        <v>118945226.40000001</v>
      </c>
      <c r="AM13" s="1416"/>
      <c r="AN13" s="1416"/>
      <c r="AO13" s="1416"/>
      <c r="AP13" s="1416"/>
      <c r="AQ13" s="1416"/>
      <c r="AR13" s="451"/>
      <c r="AS13" s="706"/>
      <c r="AT13" s="718"/>
      <c r="AU13" s="727"/>
      <c r="AV13" s="728"/>
      <c r="AW13" s="1384">
        <f>분양개요!B6</f>
        <v>25.285975000000001</v>
      </c>
      <c r="AX13" s="1384"/>
      <c r="AY13" s="1384"/>
      <c r="AZ13" s="469" t="s">
        <v>268</v>
      </c>
      <c r="BA13" s="469" t="s">
        <v>0</v>
      </c>
      <c r="BB13" s="1385">
        <f>분양개요!D6</f>
        <v>14000</v>
      </c>
      <c r="BC13" s="1385"/>
      <c r="BD13" s="1385"/>
      <c r="BE13" s="1122" t="s">
        <v>21</v>
      </c>
      <c r="BF13" s="1122"/>
      <c r="BG13" s="469" t="s">
        <v>269</v>
      </c>
      <c r="BH13" s="1386">
        <f>분양개요!B50</f>
        <v>336</v>
      </c>
      <c r="BI13" s="1386"/>
      <c r="BJ13" s="1386"/>
      <c r="BK13" s="1376" t="s">
        <v>270</v>
      </c>
      <c r="BL13" s="1377"/>
      <c r="BM13" s="1373" t="s">
        <v>271</v>
      </c>
      <c r="BN13" s="1374"/>
      <c r="BO13" s="1374"/>
      <c r="BP13" s="1375">
        <f>Z13/BH13</f>
        <v>354003.65</v>
      </c>
      <c r="BQ13" s="1375"/>
      <c r="BR13" s="459" t="s">
        <v>272</v>
      </c>
      <c r="BS13" s="460" t="s">
        <v>273</v>
      </c>
      <c r="BT13" s="1342">
        <f>AL13/$AL$23</f>
        <v>0.12970004155542933</v>
      </c>
      <c r="BU13" s="1343"/>
      <c r="BV13" s="285"/>
      <c r="BW13" s="544">
        <f>BP13+$BB$22</f>
        <v>374003.65</v>
      </c>
      <c r="BX13" s="285"/>
      <c r="BY13" s="541">
        <f t="shared" ref="BY13:BY14" si="1">BW13/AW13</f>
        <v>14790.952296678297</v>
      </c>
    </row>
    <row r="14" spans="1:79" ht="18" customHeight="1">
      <c r="A14" s="1432"/>
      <c r="B14" s="1390"/>
      <c r="C14" s="1391"/>
      <c r="D14" s="1391"/>
      <c r="E14" s="1391"/>
      <c r="F14" s="1392"/>
      <c r="G14" s="1367" t="s">
        <v>266</v>
      </c>
      <c r="H14" s="1368"/>
      <c r="I14" s="1368" t="s">
        <v>231</v>
      </c>
      <c r="J14" s="1368"/>
      <c r="K14" s="1368"/>
      <c r="L14" s="1368"/>
      <c r="M14" s="1369"/>
      <c r="N14" s="1291"/>
      <c r="O14" s="1292"/>
      <c r="P14" s="1292"/>
      <c r="Q14" s="1292"/>
      <c r="R14" s="1292"/>
      <c r="S14" s="1292"/>
      <c r="T14" s="1293"/>
      <c r="U14" s="1292"/>
      <c r="V14" s="1292"/>
      <c r="W14" s="1292"/>
      <c r="X14" s="1292"/>
      <c r="Y14" s="1292"/>
      <c r="Z14" s="1381">
        <f t="shared" ref="Z14:Z17" si="2">AW14*BB14*BH14</f>
        <v>749088112.8499999</v>
      </c>
      <c r="AA14" s="1382"/>
      <c r="AB14" s="1382"/>
      <c r="AC14" s="1382"/>
      <c r="AD14" s="1382"/>
      <c r="AE14" s="1383"/>
      <c r="AF14" s="1378">
        <v>0</v>
      </c>
      <c r="AG14" s="1379"/>
      <c r="AH14" s="1379"/>
      <c r="AI14" s="1379"/>
      <c r="AJ14" s="1379"/>
      <c r="AK14" s="1380"/>
      <c r="AL14" s="1378">
        <f>Z14+AF14</f>
        <v>749088112.8499999</v>
      </c>
      <c r="AM14" s="1379"/>
      <c r="AN14" s="1379"/>
      <c r="AO14" s="1379"/>
      <c r="AP14" s="1379"/>
      <c r="AQ14" s="1379"/>
      <c r="AR14" s="452"/>
      <c r="AS14" s="707"/>
      <c r="AT14" s="719"/>
      <c r="AU14" s="714"/>
      <c r="AV14" s="701"/>
      <c r="AW14" s="1165">
        <f>분양개요!B7</f>
        <v>34.542474999999996</v>
      </c>
      <c r="AX14" s="1165"/>
      <c r="AY14" s="1165"/>
      <c r="AZ14" s="470" t="s">
        <v>268</v>
      </c>
      <c r="BA14" s="470" t="s">
        <v>0</v>
      </c>
      <c r="BB14" s="1166">
        <f>분양개요!D7</f>
        <v>14000</v>
      </c>
      <c r="BC14" s="1166"/>
      <c r="BD14" s="1166"/>
      <c r="BE14" s="1013" t="s">
        <v>21</v>
      </c>
      <c r="BF14" s="1013"/>
      <c r="BG14" s="470" t="s">
        <v>269</v>
      </c>
      <c r="BH14" s="1172">
        <f>분양개요!B51</f>
        <v>1549</v>
      </c>
      <c r="BI14" s="1172"/>
      <c r="BJ14" s="1172"/>
      <c r="BK14" s="1215" t="s">
        <v>270</v>
      </c>
      <c r="BL14" s="1216"/>
      <c r="BM14" s="1370" t="s">
        <v>271</v>
      </c>
      <c r="BN14" s="1371"/>
      <c r="BO14" s="1371"/>
      <c r="BP14" s="1372">
        <f>Z14/BH14</f>
        <v>483594.64999999997</v>
      </c>
      <c r="BQ14" s="1372"/>
      <c r="BR14" s="461" t="s">
        <v>272</v>
      </c>
      <c r="BS14" s="462" t="s">
        <v>273</v>
      </c>
      <c r="BT14" s="1344">
        <f t="shared" ref="BT14:BT17" si="3">AL14/$AL$23</f>
        <v>0.81681932353128139</v>
      </c>
      <c r="BU14" s="1345"/>
      <c r="BV14" s="285"/>
      <c r="BW14" s="544">
        <f t="shared" ref="BW14:BW16" si="4">BP14+$BB$22</f>
        <v>503594.64999999997</v>
      </c>
      <c r="BX14" s="285"/>
      <c r="BY14" s="541">
        <f t="shared" si="1"/>
        <v>14578.997306938776</v>
      </c>
    </row>
    <row r="15" spans="1:79" ht="18" hidden="1" customHeight="1">
      <c r="A15" s="1432"/>
      <c r="B15" s="1390"/>
      <c r="C15" s="1391"/>
      <c r="D15" s="1391"/>
      <c r="E15" s="1391"/>
      <c r="F15" s="1392"/>
      <c r="G15" s="1367" t="s">
        <v>266</v>
      </c>
      <c r="H15" s="1368"/>
      <c r="I15" s="1368" t="s">
        <v>232</v>
      </c>
      <c r="J15" s="1368"/>
      <c r="K15" s="1368"/>
      <c r="L15" s="1368"/>
      <c r="M15" s="1369"/>
      <c r="N15" s="1291"/>
      <c r="O15" s="1292"/>
      <c r="P15" s="1292"/>
      <c r="Q15" s="1292"/>
      <c r="R15" s="1292"/>
      <c r="S15" s="1292"/>
      <c r="T15" s="1293"/>
      <c r="U15" s="1292"/>
      <c r="V15" s="1292"/>
      <c r="W15" s="1292"/>
      <c r="X15" s="1292"/>
      <c r="Y15" s="1292"/>
      <c r="Z15" s="1381">
        <f t="shared" si="2"/>
        <v>0</v>
      </c>
      <c r="AA15" s="1382"/>
      <c r="AB15" s="1382"/>
      <c r="AC15" s="1382"/>
      <c r="AD15" s="1382"/>
      <c r="AE15" s="1383"/>
      <c r="AF15" s="1378">
        <v>0</v>
      </c>
      <c r="AG15" s="1379"/>
      <c r="AH15" s="1379"/>
      <c r="AI15" s="1379"/>
      <c r="AJ15" s="1379"/>
      <c r="AK15" s="1380"/>
      <c r="AL15" s="1378">
        <f t="shared" ref="AL15:AL17" si="5">Z15+AF15</f>
        <v>0</v>
      </c>
      <c r="AM15" s="1379"/>
      <c r="AN15" s="1379"/>
      <c r="AO15" s="1379"/>
      <c r="AP15" s="1379"/>
      <c r="AQ15" s="1379"/>
      <c r="AR15" s="452"/>
      <c r="AS15" s="707"/>
      <c r="AT15" s="719"/>
      <c r="AU15" s="714"/>
      <c r="AV15" s="701"/>
      <c r="AW15" s="1165">
        <f>분양개요!B8</f>
        <v>0</v>
      </c>
      <c r="AX15" s="1165"/>
      <c r="AY15" s="1165"/>
      <c r="AZ15" s="470" t="s">
        <v>268</v>
      </c>
      <c r="BA15" s="470" t="s">
        <v>0</v>
      </c>
      <c r="BB15" s="1166">
        <f>분양개요!D8</f>
        <v>0</v>
      </c>
      <c r="BC15" s="1166"/>
      <c r="BD15" s="1166"/>
      <c r="BE15" s="1013" t="s">
        <v>21</v>
      </c>
      <c r="BF15" s="1013"/>
      <c r="BG15" s="470" t="s">
        <v>269</v>
      </c>
      <c r="BH15" s="1172">
        <f>분양개요!B52</f>
        <v>0</v>
      </c>
      <c r="BI15" s="1172"/>
      <c r="BJ15" s="1172"/>
      <c r="BK15" s="1215" t="s">
        <v>270</v>
      </c>
      <c r="BL15" s="1216"/>
      <c r="BM15" s="1370" t="s">
        <v>271</v>
      </c>
      <c r="BN15" s="1371"/>
      <c r="BO15" s="1371"/>
      <c r="BP15" s="1372" t="e">
        <f>Z15/BH15</f>
        <v>#DIV/0!</v>
      </c>
      <c r="BQ15" s="1372"/>
      <c r="BR15" s="461" t="s">
        <v>272</v>
      </c>
      <c r="BS15" s="462" t="s">
        <v>273</v>
      </c>
      <c r="BT15" s="1344">
        <f t="shared" si="3"/>
        <v>0</v>
      </c>
      <c r="BU15" s="1345"/>
      <c r="BV15" s="285"/>
      <c r="BW15" s="544" t="e">
        <f t="shared" si="4"/>
        <v>#DIV/0!</v>
      </c>
      <c r="BX15" s="285"/>
      <c r="BY15" s="541" t="e">
        <f>BW15/AW15</f>
        <v>#DIV/0!</v>
      </c>
    </row>
    <row r="16" spans="1:79" ht="18" hidden="1" customHeight="1">
      <c r="A16" s="1432"/>
      <c r="B16" s="1390"/>
      <c r="C16" s="1391"/>
      <c r="D16" s="1391"/>
      <c r="E16" s="1391"/>
      <c r="F16" s="1392"/>
      <c r="G16" s="1367" t="s">
        <v>266</v>
      </c>
      <c r="H16" s="1368"/>
      <c r="I16" s="1368" t="s">
        <v>335</v>
      </c>
      <c r="J16" s="1368"/>
      <c r="K16" s="1368"/>
      <c r="L16" s="1368"/>
      <c r="M16" s="1369"/>
      <c r="N16" s="474"/>
      <c r="O16" s="475"/>
      <c r="P16" s="475"/>
      <c r="Q16" s="475"/>
      <c r="R16" s="475"/>
      <c r="S16" s="475"/>
      <c r="T16" s="476"/>
      <c r="U16" s="475"/>
      <c r="V16" s="475"/>
      <c r="W16" s="475"/>
      <c r="X16" s="475"/>
      <c r="Y16" s="475"/>
      <c r="Z16" s="1381">
        <f t="shared" si="2"/>
        <v>0</v>
      </c>
      <c r="AA16" s="1382"/>
      <c r="AB16" s="1382"/>
      <c r="AC16" s="1382"/>
      <c r="AD16" s="1382"/>
      <c r="AE16" s="1383"/>
      <c r="AF16" s="1378">
        <v>0</v>
      </c>
      <c r="AG16" s="1379"/>
      <c r="AH16" s="1379"/>
      <c r="AI16" s="1379"/>
      <c r="AJ16" s="1379"/>
      <c r="AK16" s="1380"/>
      <c r="AL16" s="1378">
        <f t="shared" si="5"/>
        <v>0</v>
      </c>
      <c r="AM16" s="1379"/>
      <c r="AN16" s="1379"/>
      <c r="AO16" s="1379"/>
      <c r="AP16" s="1379"/>
      <c r="AQ16" s="1379"/>
      <c r="AR16" s="452"/>
      <c r="AS16" s="707"/>
      <c r="AT16" s="719"/>
      <c r="AU16" s="714"/>
      <c r="AV16" s="701"/>
      <c r="AW16" s="1165">
        <f>분양개요!B9</f>
        <v>0</v>
      </c>
      <c r="AX16" s="1165"/>
      <c r="AY16" s="1165"/>
      <c r="AZ16" s="470" t="s">
        <v>268</v>
      </c>
      <c r="BA16" s="470" t="s">
        <v>0</v>
      </c>
      <c r="BB16" s="1166">
        <f>분양개요!D9</f>
        <v>0</v>
      </c>
      <c r="BC16" s="1166"/>
      <c r="BD16" s="1166"/>
      <c r="BE16" s="1013" t="s">
        <v>21</v>
      </c>
      <c r="BF16" s="1013"/>
      <c r="BG16" s="470" t="s">
        <v>269</v>
      </c>
      <c r="BH16" s="1172">
        <f>분양개요!B53</f>
        <v>0</v>
      </c>
      <c r="BI16" s="1172"/>
      <c r="BJ16" s="1172"/>
      <c r="BK16" s="1215" t="s">
        <v>270</v>
      </c>
      <c r="BL16" s="1216"/>
      <c r="BM16" s="1370" t="s">
        <v>271</v>
      </c>
      <c r="BN16" s="1371"/>
      <c r="BO16" s="1371"/>
      <c r="BP16" s="1372" t="e">
        <f>Z16/BH16</f>
        <v>#DIV/0!</v>
      </c>
      <c r="BQ16" s="1372"/>
      <c r="BR16" s="461" t="s">
        <v>272</v>
      </c>
      <c r="BS16" s="462" t="s">
        <v>273</v>
      </c>
      <c r="BT16" s="1344">
        <f t="shared" si="3"/>
        <v>0</v>
      </c>
      <c r="BU16" s="1345"/>
      <c r="BV16" s="285"/>
      <c r="BW16" s="544" t="e">
        <f t="shared" si="4"/>
        <v>#DIV/0!</v>
      </c>
      <c r="BX16" s="285"/>
      <c r="BY16" s="541" t="e">
        <f>BW16/AW16</f>
        <v>#DIV/0!</v>
      </c>
    </row>
    <row r="17" spans="1:83" ht="18" hidden="1" customHeight="1">
      <c r="A17" s="1432"/>
      <c r="B17" s="1390"/>
      <c r="C17" s="1391"/>
      <c r="D17" s="1391"/>
      <c r="E17" s="1391"/>
      <c r="F17" s="1392"/>
      <c r="G17" s="1367" t="s">
        <v>266</v>
      </c>
      <c r="H17" s="1368"/>
      <c r="I17" s="1368" t="s">
        <v>336</v>
      </c>
      <c r="J17" s="1368"/>
      <c r="K17" s="1368"/>
      <c r="L17" s="1368"/>
      <c r="M17" s="1369"/>
      <c r="N17" s="474"/>
      <c r="O17" s="475"/>
      <c r="P17" s="475"/>
      <c r="Q17" s="475"/>
      <c r="R17" s="475"/>
      <c r="S17" s="475"/>
      <c r="T17" s="476"/>
      <c r="U17" s="475"/>
      <c r="V17" s="475"/>
      <c r="W17" s="475"/>
      <c r="X17" s="475"/>
      <c r="Y17" s="475"/>
      <c r="Z17" s="1423">
        <f t="shared" si="2"/>
        <v>0</v>
      </c>
      <c r="AA17" s="1424"/>
      <c r="AB17" s="1424"/>
      <c r="AC17" s="1424"/>
      <c r="AD17" s="1424"/>
      <c r="AE17" s="1425"/>
      <c r="AF17" s="1378">
        <f>분양개요!H36</f>
        <v>0</v>
      </c>
      <c r="AG17" s="1379"/>
      <c r="AH17" s="1379"/>
      <c r="AI17" s="1379"/>
      <c r="AJ17" s="1379"/>
      <c r="AK17" s="1380"/>
      <c r="AL17" s="1378">
        <f t="shared" si="5"/>
        <v>0</v>
      </c>
      <c r="AM17" s="1379"/>
      <c r="AN17" s="1379"/>
      <c r="AO17" s="1379"/>
      <c r="AP17" s="1379"/>
      <c r="AQ17" s="1379"/>
      <c r="AR17" s="452"/>
      <c r="AS17" s="707"/>
      <c r="AT17" s="719"/>
      <c r="AU17" s="714"/>
      <c r="AV17" s="701"/>
      <c r="AW17" s="1165">
        <f>분양개요!B10</f>
        <v>0</v>
      </c>
      <c r="AX17" s="1165"/>
      <c r="AY17" s="1165"/>
      <c r="AZ17" s="470" t="s">
        <v>268</v>
      </c>
      <c r="BA17" s="470" t="s">
        <v>0</v>
      </c>
      <c r="BB17" s="1166">
        <f>분양개요!D10</f>
        <v>0</v>
      </c>
      <c r="BC17" s="1166"/>
      <c r="BD17" s="1166"/>
      <c r="BE17" s="1013" t="s">
        <v>21</v>
      </c>
      <c r="BF17" s="1013"/>
      <c r="BG17" s="470" t="s">
        <v>269</v>
      </c>
      <c r="BH17" s="1172">
        <f>분양개요!B54</f>
        <v>0</v>
      </c>
      <c r="BI17" s="1172"/>
      <c r="BJ17" s="1172"/>
      <c r="BK17" s="1215" t="s">
        <v>270</v>
      </c>
      <c r="BL17" s="1216"/>
      <c r="BM17" s="1353" t="s">
        <v>271</v>
      </c>
      <c r="BN17" s="1354"/>
      <c r="BO17" s="1354"/>
      <c r="BP17" s="1355" t="e">
        <f>Z17/BH17</f>
        <v>#DIV/0!</v>
      </c>
      <c r="BQ17" s="1355"/>
      <c r="BR17" s="464" t="s">
        <v>272</v>
      </c>
      <c r="BS17" s="465" t="e">
        <f>AL17/BH17</f>
        <v>#DIV/0!</v>
      </c>
      <c r="BT17" s="1344">
        <f t="shared" si="3"/>
        <v>0</v>
      </c>
      <c r="BU17" s="1345"/>
      <c r="BV17" s="285"/>
      <c r="BW17" s="544" t="e">
        <f>BS17+BB22</f>
        <v>#DIV/0!</v>
      </c>
      <c r="BX17" s="285"/>
      <c r="BY17" s="541" t="e">
        <f>BW17/AW17</f>
        <v>#DIV/0!</v>
      </c>
      <c r="CA17" s="585" t="e">
        <f>BP17+BB22</f>
        <v>#DIV/0!</v>
      </c>
      <c r="CB17" s="541" t="e">
        <f>CA17/AW17</f>
        <v>#DIV/0!</v>
      </c>
    </row>
    <row r="18" spans="1:83" ht="18" customHeight="1" thickBot="1">
      <c r="A18" s="1432"/>
      <c r="B18" s="1390"/>
      <c r="C18" s="1391"/>
      <c r="D18" s="1391"/>
      <c r="E18" s="1391"/>
      <c r="F18" s="1391"/>
      <c r="G18" s="1393" t="s">
        <v>8</v>
      </c>
      <c r="H18" s="1393"/>
      <c r="I18" s="1393"/>
      <c r="J18" s="1393"/>
      <c r="K18" s="1393"/>
      <c r="L18" s="1393"/>
      <c r="M18" s="1394"/>
      <c r="N18" s="448"/>
      <c r="O18" s="447"/>
      <c r="P18" s="447"/>
      <c r="Q18" s="447"/>
      <c r="R18" s="447"/>
      <c r="S18" s="447"/>
      <c r="T18" s="449"/>
      <c r="U18" s="447"/>
      <c r="V18" s="447"/>
      <c r="W18" s="447"/>
      <c r="X18" s="447"/>
      <c r="Y18" s="447"/>
      <c r="Z18" s="1435">
        <f>SUM(Z13:AE17)</f>
        <v>868033339.24999988</v>
      </c>
      <c r="AA18" s="1436"/>
      <c r="AB18" s="1436"/>
      <c r="AC18" s="1436"/>
      <c r="AD18" s="1436"/>
      <c r="AE18" s="1437"/>
      <c r="AF18" s="1438">
        <f>SUM(AF13:AK17)</f>
        <v>0</v>
      </c>
      <c r="AG18" s="1436"/>
      <c r="AH18" s="1436"/>
      <c r="AI18" s="1436"/>
      <c r="AJ18" s="1436"/>
      <c r="AK18" s="1437"/>
      <c r="AL18" s="1438">
        <f>Z18+AF18</f>
        <v>868033339.24999988</v>
      </c>
      <c r="AM18" s="1436"/>
      <c r="AN18" s="1436"/>
      <c r="AO18" s="1436"/>
      <c r="AP18" s="1436"/>
      <c r="AQ18" s="1439"/>
      <c r="AR18" s="446"/>
      <c r="AS18" s="708"/>
      <c r="AT18" s="720"/>
      <c r="AU18" s="668"/>
      <c r="AV18" s="702"/>
      <c r="AW18" s="1434">
        <f>분양개요!I59</f>
        <v>62002.381374999997</v>
      </c>
      <c r="AX18" s="1434"/>
      <c r="AY18" s="1434"/>
      <c r="AZ18" s="471" t="s">
        <v>268</v>
      </c>
      <c r="BA18" s="471" t="s">
        <v>0</v>
      </c>
      <c r="BB18" s="1016">
        <f>Z18/AW18</f>
        <v>13999.999999999998</v>
      </c>
      <c r="BC18" s="1016"/>
      <c r="BD18" s="1016"/>
      <c r="BE18" s="1175" t="s">
        <v>21</v>
      </c>
      <c r="BF18" s="1175"/>
      <c r="BG18" s="471" t="s">
        <v>280</v>
      </c>
      <c r="BH18" s="1177">
        <f>SUM(BH13:BJ17)</f>
        <v>1885</v>
      </c>
      <c r="BI18" s="1177"/>
      <c r="BJ18" s="1177"/>
      <c r="BK18" s="1016" t="s">
        <v>270</v>
      </c>
      <c r="BL18" s="1017"/>
      <c r="BM18" s="1339"/>
      <c r="BN18" s="1340"/>
      <c r="BO18" s="1340"/>
      <c r="BP18" s="1341"/>
      <c r="BQ18" s="1341"/>
      <c r="BR18" s="472"/>
      <c r="BS18" s="473"/>
      <c r="BT18" s="1337">
        <f>AL18/$AL$23</f>
        <v>0.94651936508671064</v>
      </c>
      <c r="BU18" s="1338"/>
      <c r="BV18" s="880">
        <f t="shared" ref="BV18:BV23" si="6">Z18/$Z$23</f>
        <v>0.9510999495357586</v>
      </c>
      <c r="BW18" s="285"/>
      <c r="BX18" s="285"/>
    </row>
    <row r="19" spans="1:83" ht="18" customHeight="1">
      <c r="A19" s="1432"/>
      <c r="B19" s="1440" t="s">
        <v>276</v>
      </c>
      <c r="C19" s="1441"/>
      <c r="D19" s="1441"/>
      <c r="E19" s="1441"/>
      <c r="F19" s="1441"/>
      <c r="G19" s="1367" t="s">
        <v>274</v>
      </c>
      <c r="H19" s="1368"/>
      <c r="I19" s="1368" t="s">
        <v>275</v>
      </c>
      <c r="J19" s="1368"/>
      <c r="K19" s="1368"/>
      <c r="L19" s="1368"/>
      <c r="M19" s="1369"/>
      <c r="N19" s="474"/>
      <c r="O19" s="475"/>
      <c r="P19" s="475"/>
      <c r="Q19" s="475"/>
      <c r="R19" s="475"/>
      <c r="S19" s="475"/>
      <c r="T19" s="476"/>
      <c r="U19" s="475"/>
      <c r="V19" s="475"/>
      <c r="W19" s="475"/>
      <c r="X19" s="475"/>
      <c r="Y19" s="475"/>
      <c r="Z19" s="1423">
        <f t="shared" ref="Z19:Z20" si="7">AW19*BB19*BH19</f>
        <v>4021072</v>
      </c>
      <c r="AA19" s="1424"/>
      <c r="AB19" s="1424"/>
      <c r="AC19" s="1424"/>
      <c r="AD19" s="1424"/>
      <c r="AE19" s="1425"/>
      <c r="AF19" s="1426">
        <v>378594</v>
      </c>
      <c r="AG19" s="1427"/>
      <c r="AH19" s="1427"/>
      <c r="AI19" s="1427"/>
      <c r="AJ19" s="1427"/>
      <c r="AK19" s="1428"/>
      <c r="AL19" s="1378">
        <f>Z19+AF19</f>
        <v>4399666</v>
      </c>
      <c r="AM19" s="1379"/>
      <c r="AN19" s="1379"/>
      <c r="AO19" s="1379"/>
      <c r="AP19" s="1379"/>
      <c r="AQ19" s="1379"/>
      <c r="AR19" s="452"/>
      <c r="AS19" s="707"/>
      <c r="AT19" s="719"/>
      <c r="AU19" s="714"/>
      <c r="AV19" s="701"/>
      <c r="AW19" s="1430">
        <f>분양개요!B21</f>
        <v>201.05359999999999</v>
      </c>
      <c r="AX19" s="1430"/>
      <c r="AY19" s="1430"/>
      <c r="AZ19" s="463" t="s">
        <v>268</v>
      </c>
      <c r="BA19" s="463" t="s">
        <v>0</v>
      </c>
      <c r="BB19" s="1421">
        <f>분양개요!D21</f>
        <v>20000</v>
      </c>
      <c r="BC19" s="1421"/>
      <c r="BD19" s="1421"/>
      <c r="BE19" s="1422" t="s">
        <v>21</v>
      </c>
      <c r="BF19" s="1422"/>
      <c r="BG19" s="463" t="s">
        <v>269</v>
      </c>
      <c r="BH19" s="1420">
        <v>1</v>
      </c>
      <c r="BI19" s="1420"/>
      <c r="BJ19" s="1420"/>
      <c r="BK19" s="1418" t="s">
        <v>270</v>
      </c>
      <c r="BL19" s="1419"/>
      <c r="BM19" s="1353" t="s">
        <v>271</v>
      </c>
      <c r="BN19" s="1354"/>
      <c r="BO19" s="1354"/>
      <c r="BP19" s="1361">
        <f>Z19/BH19</f>
        <v>4021072</v>
      </c>
      <c r="BQ19" s="1361"/>
      <c r="BR19" s="464" t="s">
        <v>272</v>
      </c>
      <c r="BS19" s="465">
        <f>AL19</f>
        <v>4399666</v>
      </c>
      <c r="BT19" s="1344">
        <f t="shared" ref="BT19:BT20" si="8">AL19/$AL$23</f>
        <v>4.7974759500731797E-3</v>
      </c>
      <c r="BU19" s="1345"/>
      <c r="BV19" s="880">
        <f t="shared" si="6"/>
        <v>4.4058692256959331E-3</v>
      </c>
      <c r="BW19" s="285"/>
      <c r="BX19" s="285"/>
      <c r="CA19" s="1346" t="s">
        <v>253</v>
      </c>
      <c r="CB19" s="1347"/>
      <c r="CC19" s="1347"/>
      <c r="CD19" s="1347"/>
      <c r="CE19" s="1348"/>
    </row>
    <row r="20" spans="1:83" ht="18" customHeight="1">
      <c r="A20" s="1432"/>
      <c r="B20" s="1442"/>
      <c r="C20" s="1443"/>
      <c r="D20" s="1443"/>
      <c r="E20" s="1443"/>
      <c r="F20" s="1443"/>
      <c r="G20" s="1367" t="s">
        <v>266</v>
      </c>
      <c r="H20" s="1368"/>
      <c r="I20" s="1368" t="s">
        <v>346</v>
      </c>
      <c r="J20" s="1368"/>
      <c r="K20" s="1368"/>
      <c r="L20" s="1368"/>
      <c r="M20" s="1369"/>
      <c r="N20" s="477"/>
      <c r="O20" s="478"/>
      <c r="P20" s="478"/>
      <c r="Q20" s="478"/>
      <c r="R20" s="478"/>
      <c r="S20" s="478"/>
      <c r="T20" s="479"/>
      <c r="U20" s="478"/>
      <c r="V20" s="478"/>
      <c r="W20" s="478"/>
      <c r="X20" s="478"/>
      <c r="Y20" s="478"/>
      <c r="Z20" s="1423">
        <f t="shared" si="7"/>
        <v>2908174.5</v>
      </c>
      <c r="AA20" s="1424"/>
      <c r="AB20" s="1424"/>
      <c r="AC20" s="1424"/>
      <c r="AD20" s="1424"/>
      <c r="AE20" s="1425"/>
      <c r="AF20" s="1426">
        <v>268144</v>
      </c>
      <c r="AG20" s="1427"/>
      <c r="AH20" s="1427"/>
      <c r="AI20" s="1427"/>
      <c r="AJ20" s="1427"/>
      <c r="AK20" s="1428"/>
      <c r="AL20" s="1378">
        <f>Z20+AF20</f>
        <v>3176318.5</v>
      </c>
      <c r="AM20" s="1379"/>
      <c r="AN20" s="1379"/>
      <c r="AO20" s="1379"/>
      <c r="AP20" s="1379"/>
      <c r="AQ20" s="1379"/>
      <c r="AR20" s="452"/>
      <c r="AS20" s="707"/>
      <c r="AT20" s="719"/>
      <c r="AU20" s="714"/>
      <c r="AV20" s="701"/>
      <c r="AW20" s="1430">
        <f>분양개요!B22</f>
        <v>193.8783</v>
      </c>
      <c r="AX20" s="1430"/>
      <c r="AY20" s="1430"/>
      <c r="AZ20" s="463" t="s">
        <v>268</v>
      </c>
      <c r="BA20" s="463" t="s">
        <v>0</v>
      </c>
      <c r="BB20" s="1421">
        <v>15000</v>
      </c>
      <c r="BC20" s="1421"/>
      <c r="BD20" s="1421"/>
      <c r="BE20" s="1422" t="s">
        <v>21</v>
      </c>
      <c r="BF20" s="1422"/>
      <c r="BG20" s="463" t="s">
        <v>269</v>
      </c>
      <c r="BH20" s="1420">
        <v>1</v>
      </c>
      <c r="BI20" s="1420"/>
      <c r="BJ20" s="1420"/>
      <c r="BK20" s="1418" t="s">
        <v>270</v>
      </c>
      <c r="BL20" s="1419"/>
      <c r="BM20" s="1353" t="s">
        <v>271</v>
      </c>
      <c r="BN20" s="1354"/>
      <c r="BO20" s="1354"/>
      <c r="BP20" s="1361">
        <f>Z20/BH20</f>
        <v>2908174.5</v>
      </c>
      <c r="BQ20" s="1361"/>
      <c r="BR20" s="464" t="s">
        <v>272</v>
      </c>
      <c r="BS20" s="465">
        <f>AL20</f>
        <v>3176318.5</v>
      </c>
      <c r="BT20" s="1344">
        <f t="shared" si="8"/>
        <v>3.4635155517538188E-3</v>
      </c>
      <c r="BU20" s="1345"/>
      <c r="BV20" s="880">
        <f t="shared" si="6"/>
        <v>3.1864727944447791E-3</v>
      </c>
      <c r="BW20" s="285"/>
      <c r="BX20" s="285"/>
      <c r="CA20" s="415" t="s">
        <v>255</v>
      </c>
      <c r="CB20" s="422">
        <f>분양개요!M32</f>
        <v>2.2417360772654217E-3</v>
      </c>
      <c r="CC20" s="322"/>
      <c r="CD20" s="414"/>
      <c r="CE20" s="323"/>
    </row>
    <row r="21" spans="1:83" ht="18" customHeight="1" thickBot="1">
      <c r="A21" s="1432"/>
      <c r="B21" s="1444"/>
      <c r="C21" s="1445"/>
      <c r="D21" s="1445"/>
      <c r="E21" s="1445"/>
      <c r="F21" s="1445"/>
      <c r="G21" s="1393" t="s">
        <v>8</v>
      </c>
      <c r="H21" s="1393"/>
      <c r="I21" s="1393"/>
      <c r="J21" s="1393"/>
      <c r="K21" s="1393"/>
      <c r="L21" s="1393"/>
      <c r="M21" s="1394"/>
      <c r="N21" s="453"/>
      <c r="O21" s="454"/>
      <c r="P21" s="454"/>
      <c r="Q21" s="454"/>
      <c r="R21" s="454"/>
      <c r="S21" s="454"/>
      <c r="T21" s="455"/>
      <c r="U21" s="454"/>
      <c r="V21" s="454"/>
      <c r="W21" s="454"/>
      <c r="X21" s="454"/>
      <c r="Y21" s="454"/>
      <c r="Z21" s="1435">
        <f>SUM(Z19:AE20)</f>
        <v>6929246.5</v>
      </c>
      <c r="AA21" s="1436"/>
      <c r="AB21" s="1436"/>
      <c r="AC21" s="1436"/>
      <c r="AD21" s="1436"/>
      <c r="AE21" s="1437"/>
      <c r="AF21" s="1438">
        <f>SUM(AF19:AK20)</f>
        <v>646738</v>
      </c>
      <c r="AG21" s="1436"/>
      <c r="AH21" s="1436"/>
      <c r="AI21" s="1436"/>
      <c r="AJ21" s="1436"/>
      <c r="AK21" s="1437"/>
      <c r="AL21" s="1438">
        <f>SUM(AL19:AQ20)</f>
        <v>7575984.5</v>
      </c>
      <c r="AM21" s="1436"/>
      <c r="AN21" s="1436"/>
      <c r="AO21" s="1436"/>
      <c r="AP21" s="1436"/>
      <c r="AQ21" s="1439"/>
      <c r="AR21" s="446"/>
      <c r="AS21" s="708"/>
      <c r="AT21" s="720"/>
      <c r="AU21" s="668"/>
      <c r="AV21" s="702"/>
      <c r="AW21" s="1434">
        <f>분양개요!M73</f>
        <v>394.93189999999998</v>
      </c>
      <c r="AX21" s="1434"/>
      <c r="AY21" s="1434"/>
      <c r="AZ21" s="471" t="s">
        <v>268</v>
      </c>
      <c r="BA21" s="471" t="s">
        <v>0</v>
      </c>
      <c r="BB21" s="1016">
        <f>Z21/AW21</f>
        <v>17545.421121970649</v>
      </c>
      <c r="BC21" s="1016"/>
      <c r="BD21" s="1016"/>
      <c r="BE21" s="1175" t="s">
        <v>21</v>
      </c>
      <c r="BF21" s="1175"/>
      <c r="BG21" s="471" t="s">
        <v>280</v>
      </c>
      <c r="BH21" s="1177">
        <f>SUM(BH19:BJ20)</f>
        <v>2</v>
      </c>
      <c r="BI21" s="1177"/>
      <c r="BJ21" s="1177"/>
      <c r="BK21" s="1016" t="s">
        <v>270</v>
      </c>
      <c r="BL21" s="1017"/>
      <c r="BM21" s="456"/>
      <c r="BN21" s="457"/>
      <c r="BO21" s="457"/>
      <c r="BP21" s="457"/>
      <c r="BQ21" s="457"/>
      <c r="BR21" s="457"/>
      <c r="BS21" s="458"/>
      <c r="BT21" s="1337">
        <f>AL21/$AL$23</f>
        <v>8.2609915018269989E-3</v>
      </c>
      <c r="BU21" s="1338"/>
      <c r="BV21" s="880">
        <f t="shared" si="6"/>
        <v>7.5923420201407122E-3</v>
      </c>
      <c r="BW21" s="285"/>
      <c r="BX21" s="285"/>
      <c r="CA21" s="416" t="s">
        <v>254</v>
      </c>
      <c r="CB21" s="423">
        <f>CB20*CC21</f>
        <v>1.7933888618123376E-3</v>
      </c>
      <c r="CC21" s="417">
        <v>0.8</v>
      </c>
      <c r="CD21" s="418"/>
      <c r="CE21" s="419"/>
    </row>
    <row r="22" spans="1:83" ht="18" customHeight="1" thickBot="1">
      <c r="A22" s="1432"/>
      <c r="B22" s="1395" t="s">
        <v>279</v>
      </c>
      <c r="C22" s="1396"/>
      <c r="D22" s="1396"/>
      <c r="E22" s="1396"/>
      <c r="F22" s="1396"/>
      <c r="G22" s="1396"/>
      <c r="H22" s="1396"/>
      <c r="I22" s="1396"/>
      <c r="J22" s="1396"/>
      <c r="K22" s="1396"/>
      <c r="L22" s="1396"/>
      <c r="M22" s="1397"/>
      <c r="N22" s="1398"/>
      <c r="O22" s="1399"/>
      <c r="P22" s="1399"/>
      <c r="Q22" s="1399"/>
      <c r="R22" s="1399"/>
      <c r="S22" s="1399"/>
      <c r="T22" s="1400"/>
      <c r="U22" s="1399"/>
      <c r="V22" s="1399"/>
      <c r="W22" s="1399"/>
      <c r="X22" s="1399"/>
      <c r="Y22" s="1399"/>
      <c r="Z22" s="1401">
        <f>BB22*BH22</f>
        <v>37700000</v>
      </c>
      <c r="AA22" s="1402"/>
      <c r="AB22" s="1402"/>
      <c r="AC22" s="1402"/>
      <c r="AD22" s="1402"/>
      <c r="AE22" s="1402"/>
      <c r="AF22" s="1403">
        <f>Z22*0.1</f>
        <v>3770000</v>
      </c>
      <c r="AG22" s="1404"/>
      <c r="AH22" s="1404"/>
      <c r="AI22" s="1404"/>
      <c r="AJ22" s="1404"/>
      <c r="AK22" s="1405"/>
      <c r="AL22" s="1403">
        <f>SUM(Z22:AK22)</f>
        <v>41470000</v>
      </c>
      <c r="AM22" s="1404"/>
      <c r="AN22" s="1404"/>
      <c r="AO22" s="1404"/>
      <c r="AP22" s="1404"/>
      <c r="AQ22" s="1404"/>
      <c r="AR22" s="450"/>
      <c r="AS22" s="709"/>
      <c r="AT22" s="721"/>
      <c r="AU22" s="669"/>
      <c r="AV22" s="729"/>
      <c r="AW22" s="1429"/>
      <c r="AX22" s="1429"/>
      <c r="AY22" s="1429"/>
      <c r="AZ22" s="1429"/>
      <c r="BA22" s="1429"/>
      <c r="BB22" s="1016">
        <v>20000</v>
      </c>
      <c r="BC22" s="1016"/>
      <c r="BD22" s="1016"/>
      <c r="BE22" s="1175" t="s">
        <v>334</v>
      </c>
      <c r="BF22" s="1175"/>
      <c r="BG22" s="471" t="s">
        <v>280</v>
      </c>
      <c r="BH22" s="1177">
        <f>BH18</f>
        <v>1885</v>
      </c>
      <c r="BI22" s="1177"/>
      <c r="BJ22" s="1177"/>
      <c r="BK22" s="1016" t="s">
        <v>32</v>
      </c>
      <c r="BL22" s="1017"/>
      <c r="BM22" s="1406"/>
      <c r="BN22" s="1407"/>
      <c r="BO22" s="1407"/>
      <c r="BP22" s="1407"/>
      <c r="BQ22" s="1407"/>
      <c r="BR22" s="1407"/>
      <c r="BS22" s="1408"/>
      <c r="BT22" s="1337">
        <f>AL22/$AL$23</f>
        <v>4.5219643411462319E-2</v>
      </c>
      <c r="BU22" s="1338"/>
      <c r="BV22" s="880">
        <f t="shared" si="6"/>
        <v>4.1307708444100644E-2</v>
      </c>
      <c r="BW22" s="285"/>
      <c r="BX22" s="285"/>
      <c r="CA22" s="1349" t="s">
        <v>257</v>
      </c>
      <c r="CB22" s="1350"/>
      <c r="CC22" s="420" t="s">
        <v>258</v>
      </c>
      <c r="CD22" s="420" t="s">
        <v>259</v>
      </c>
      <c r="CE22" s="421" t="s">
        <v>260</v>
      </c>
    </row>
    <row r="23" spans="1:83" ht="21" customHeight="1" thickBot="1">
      <c r="A23" s="1433"/>
      <c r="B23" s="1447" t="s">
        <v>277</v>
      </c>
      <c r="C23" s="1447"/>
      <c r="D23" s="1447"/>
      <c r="E23" s="1447"/>
      <c r="F23" s="1447"/>
      <c r="G23" s="1447"/>
      <c r="H23" s="1447"/>
      <c r="I23" s="1447"/>
      <c r="J23" s="1447"/>
      <c r="K23" s="1447"/>
      <c r="L23" s="1447"/>
      <c r="M23" s="1448"/>
      <c r="N23" s="1010" t="e">
        <f>#REF!+#REF!+#REF!</f>
        <v>#REF!</v>
      </c>
      <c r="O23" s="1011"/>
      <c r="P23" s="1011"/>
      <c r="Q23" s="1011"/>
      <c r="R23" s="1011"/>
      <c r="S23" s="1011"/>
      <c r="T23" s="1284" t="e">
        <f>#REF!+#REF!+#REF!</f>
        <v>#REF!</v>
      </c>
      <c r="U23" s="1011"/>
      <c r="V23" s="1011"/>
      <c r="W23" s="1011"/>
      <c r="X23" s="1011"/>
      <c r="Y23" s="1011"/>
      <c r="Z23" s="1007">
        <f>SUM(Z18,Z21,Z22)</f>
        <v>912662585.74999988</v>
      </c>
      <c r="AA23" s="999"/>
      <c r="AB23" s="999"/>
      <c r="AC23" s="999"/>
      <c r="AD23" s="999"/>
      <c r="AE23" s="1008"/>
      <c r="AF23" s="998">
        <f>SUM(AF18,AF21,AF22)</f>
        <v>4416738</v>
      </c>
      <c r="AG23" s="999"/>
      <c r="AH23" s="999"/>
      <c r="AI23" s="999"/>
      <c r="AJ23" s="999"/>
      <c r="AK23" s="999"/>
      <c r="AL23" s="998">
        <f>SUM(AL18,AL21,AL22)</f>
        <v>917079323.74999988</v>
      </c>
      <c r="AM23" s="999"/>
      <c r="AN23" s="999"/>
      <c r="AO23" s="999"/>
      <c r="AP23" s="999"/>
      <c r="AQ23" s="999"/>
      <c r="AR23" s="755"/>
      <c r="AS23" s="756"/>
      <c r="AT23" s="732"/>
      <c r="AU23" s="675"/>
      <c r="AV23" s="733"/>
      <c r="AW23" s="412"/>
      <c r="AX23" s="412"/>
      <c r="AY23" s="412"/>
      <c r="AZ23" s="412"/>
      <c r="BA23" s="412"/>
      <c r="BB23" s="412"/>
      <c r="BC23" s="412"/>
      <c r="BD23" s="412"/>
      <c r="BE23" s="412"/>
      <c r="BF23" s="411"/>
      <c r="BG23" s="412"/>
      <c r="BH23" s="412"/>
      <c r="BI23" s="412"/>
      <c r="BJ23" s="412"/>
      <c r="BK23" s="412"/>
      <c r="BL23" s="412"/>
      <c r="BM23" s="1358"/>
      <c r="BN23" s="1359"/>
      <c r="BO23" s="1359"/>
      <c r="BP23" s="1359"/>
      <c r="BQ23" s="1359"/>
      <c r="BR23" s="1359"/>
      <c r="BS23" s="1360"/>
      <c r="BT23" s="1356">
        <f>SUM(BT18,BT21:BU22)</f>
        <v>1</v>
      </c>
      <c r="BU23" s="1357"/>
      <c r="BV23" s="880">
        <f t="shared" si="6"/>
        <v>1</v>
      </c>
      <c r="BW23" s="286"/>
      <c r="BX23" s="286"/>
      <c r="BY23" s="157"/>
      <c r="CA23" s="1351" t="s">
        <v>212</v>
      </c>
      <c r="CB23" s="1352"/>
      <c r="CC23" s="334">
        <f>AF23</f>
        <v>4416738</v>
      </c>
      <c r="CD23" s="344">
        <f>CC23-CE23</f>
        <v>0</v>
      </c>
      <c r="CE23" s="345">
        <f>CC23</f>
        <v>4416738</v>
      </c>
    </row>
    <row r="24" spans="1:83" s="25" customFormat="1" ht="20.25" customHeight="1">
      <c r="A24" s="1199" t="s">
        <v>42</v>
      </c>
      <c r="B24" s="1201" t="s">
        <v>27</v>
      </c>
      <c r="C24" s="1201"/>
      <c r="D24" s="1201"/>
      <c r="E24" s="1201"/>
      <c r="F24" s="1202"/>
      <c r="G24" s="1446" t="s">
        <v>380</v>
      </c>
      <c r="H24" s="1446"/>
      <c r="I24" s="1446"/>
      <c r="J24" s="1446"/>
      <c r="K24" s="1446"/>
      <c r="L24" s="1446"/>
      <c r="M24" s="1446"/>
      <c r="N24" s="1006">
        <v>11500000</v>
      </c>
      <c r="O24" s="1006"/>
      <c r="P24" s="1006"/>
      <c r="Q24" s="1006"/>
      <c r="R24" s="1006"/>
      <c r="S24" s="1006"/>
      <c r="T24" s="1006">
        <v>11500000</v>
      </c>
      <c r="U24" s="1006"/>
      <c r="V24" s="1006"/>
      <c r="W24" s="1006"/>
      <c r="X24" s="1006"/>
      <c r="Y24" s="1006"/>
      <c r="Z24" s="1012">
        <v>96000000</v>
      </c>
      <c r="AA24" s="1012"/>
      <c r="AB24" s="1012"/>
      <c r="AC24" s="1012"/>
      <c r="AD24" s="1012"/>
      <c r="AE24" s="1012"/>
      <c r="AF24" s="1012">
        <v>0</v>
      </c>
      <c r="AG24" s="1012"/>
      <c r="AH24" s="1012"/>
      <c r="AI24" s="1012"/>
      <c r="AJ24" s="1012"/>
      <c r="AK24" s="1012"/>
      <c r="AL24" s="1012">
        <f t="shared" ref="AL24:AL28" si="9">Z24+AF24</f>
        <v>96000000</v>
      </c>
      <c r="AM24" s="1012"/>
      <c r="AN24" s="1012"/>
      <c r="AO24" s="1012"/>
      <c r="AP24" s="1012"/>
      <c r="AQ24" s="1012"/>
      <c r="AR24" s="731">
        <v>0</v>
      </c>
      <c r="AS24" s="761">
        <v>96000000</v>
      </c>
      <c r="AT24" s="765">
        <f t="shared" ref="AT24:AT27" si="10">AL24-AR24-AS24</f>
        <v>0</v>
      </c>
      <c r="AU24" s="730">
        <v>0</v>
      </c>
      <c r="AV24" s="731">
        <v>0</v>
      </c>
      <c r="AW24" s="1009"/>
      <c r="AX24" s="1009"/>
      <c r="AY24" s="1009"/>
      <c r="AZ24" s="1009"/>
      <c r="BA24" s="546"/>
      <c r="BB24" s="546"/>
      <c r="BC24" s="1180"/>
      <c r="BD24" s="1180"/>
      <c r="BE24" s="1180"/>
      <c r="BF24" s="1180"/>
      <c r="BG24" s="1180"/>
      <c r="BH24" s="1180"/>
      <c r="BI24" s="333"/>
      <c r="BJ24" s="1178"/>
      <c r="BK24" s="1178"/>
      <c r="BL24" s="1179"/>
      <c r="BM24" s="1325" t="s">
        <v>398</v>
      </c>
      <c r="BN24" s="1326"/>
      <c r="BO24" s="1326"/>
      <c r="BP24" s="1326"/>
      <c r="BQ24" s="1326"/>
      <c r="BR24" s="1326"/>
      <c r="BS24" s="1327"/>
      <c r="BT24" s="1362">
        <f>AL24/$AL$23</f>
        <v>0.10468014872197691</v>
      </c>
      <c r="BU24" s="1363"/>
      <c r="BV24" s="282">
        <f>Z24/$Z$23</f>
        <v>0.1051867376825905</v>
      </c>
      <c r="BW24" s="436"/>
      <c r="BX24" s="436"/>
      <c r="BY24" s="127" t="str">
        <f>G24</f>
        <v>채권매입비용</v>
      </c>
      <c r="CA24" s="335"/>
      <c r="CB24" s="336">
        <f>IF($CA24=$CA$21, $CB$21, IF($CA24=$CA$20,$CB$20, ))</f>
        <v>0</v>
      </c>
      <c r="CC24" s="324">
        <f>AF24</f>
        <v>0</v>
      </c>
      <c r="CD24" s="324">
        <f>CC24-CE24</f>
        <v>0</v>
      </c>
      <c r="CE24" s="337">
        <f t="shared" ref="CE24:CE33" si="11">CC24*CB24</f>
        <v>0</v>
      </c>
    </row>
    <row r="25" spans="1:83" s="25" customFormat="1" ht="20.25" customHeight="1">
      <c r="A25" s="1200"/>
      <c r="B25" s="1203"/>
      <c r="C25" s="1203"/>
      <c r="D25" s="1203"/>
      <c r="E25" s="1203"/>
      <c r="F25" s="1202"/>
      <c r="G25" s="974" t="s">
        <v>383</v>
      </c>
      <c r="H25" s="974"/>
      <c r="I25" s="974"/>
      <c r="J25" s="974"/>
      <c r="K25" s="974"/>
      <c r="L25" s="974"/>
      <c r="M25" s="974"/>
      <c r="N25" s="983">
        <v>575000</v>
      </c>
      <c r="O25" s="983"/>
      <c r="P25" s="983"/>
      <c r="Q25" s="983"/>
      <c r="R25" s="983"/>
      <c r="S25" s="983"/>
      <c r="T25" s="983">
        <f>Z25</f>
        <v>13969158</v>
      </c>
      <c r="U25" s="983"/>
      <c r="V25" s="983"/>
      <c r="W25" s="983"/>
      <c r="X25" s="983"/>
      <c r="Y25" s="983"/>
      <c r="Z25" s="975">
        <v>13969158</v>
      </c>
      <c r="AA25" s="975"/>
      <c r="AB25" s="975"/>
      <c r="AC25" s="975"/>
      <c r="AD25" s="975"/>
      <c r="AE25" s="975"/>
      <c r="AF25" s="975"/>
      <c r="AG25" s="975"/>
      <c r="AH25" s="975"/>
      <c r="AI25" s="975"/>
      <c r="AJ25" s="975"/>
      <c r="AK25" s="975"/>
      <c r="AL25" s="975">
        <f t="shared" si="9"/>
        <v>13969158</v>
      </c>
      <c r="AM25" s="975"/>
      <c r="AN25" s="975"/>
      <c r="AO25" s="975"/>
      <c r="AP25" s="975"/>
      <c r="AQ25" s="975"/>
      <c r="AR25" s="703">
        <v>0</v>
      </c>
      <c r="AS25" s="735">
        <f>AL25</f>
        <v>13969158</v>
      </c>
      <c r="AT25" s="766">
        <f t="shared" si="10"/>
        <v>0</v>
      </c>
      <c r="AU25" s="667">
        <v>0</v>
      </c>
      <c r="AV25" s="703">
        <v>0</v>
      </c>
      <c r="AW25" s="1170"/>
      <c r="AX25" s="1170"/>
      <c r="AY25" s="1170"/>
      <c r="AZ25" s="1170"/>
      <c r="BA25" s="588"/>
      <c r="BB25" s="547"/>
      <c r="BC25" s="1171"/>
      <c r="BD25" s="978"/>
      <c r="BE25" s="978"/>
      <c r="BF25" s="978"/>
      <c r="BG25" s="978"/>
      <c r="BH25" s="978"/>
      <c r="BI25" s="548"/>
      <c r="BJ25" s="1173"/>
      <c r="BK25" s="1173"/>
      <c r="BL25" s="1174"/>
      <c r="BM25" s="955" t="s">
        <v>382</v>
      </c>
      <c r="BN25" s="956"/>
      <c r="BO25" s="956"/>
      <c r="BP25" s="956"/>
      <c r="BQ25" s="956"/>
      <c r="BR25" s="956"/>
      <c r="BS25" s="957"/>
      <c r="BT25" s="942">
        <f t="shared" ref="BT25" si="12">AL25/$AL$23</f>
        <v>1.5232224343341599E-2</v>
      </c>
      <c r="BU25" s="943"/>
      <c r="BV25" s="880">
        <f t="shared" ref="BV25:BV88" si="13">Z25/$Z$23</f>
        <v>1.5305939147840215E-2</v>
      </c>
      <c r="BW25" s="436"/>
      <c r="BX25" s="436"/>
      <c r="BY25" s="127" t="str">
        <f>G25</f>
        <v>토지비(공동주택)</v>
      </c>
      <c r="CA25" s="335" t="s">
        <v>207</v>
      </c>
      <c r="CB25" s="336">
        <f>IF($CA25=$CA$21, $CB$21, IF($CA25=$CA$20,$CB$20, ))</f>
        <v>1.7933888618123376E-3</v>
      </c>
      <c r="CC25" s="324">
        <f>AF25</f>
        <v>0</v>
      </c>
      <c r="CD25" s="324">
        <f>CC25-CE25</f>
        <v>0</v>
      </c>
      <c r="CE25" s="337">
        <f t="shared" si="11"/>
        <v>0</v>
      </c>
    </row>
    <row r="26" spans="1:83" s="25" customFormat="1" ht="20.25" customHeight="1">
      <c r="A26" s="1200"/>
      <c r="B26" s="1201"/>
      <c r="C26" s="1201"/>
      <c r="D26" s="1201"/>
      <c r="E26" s="1201"/>
      <c r="F26" s="1202"/>
      <c r="G26" s="974" t="s">
        <v>384</v>
      </c>
      <c r="H26" s="974"/>
      <c r="I26" s="974"/>
      <c r="J26" s="974"/>
      <c r="K26" s="974"/>
      <c r="L26" s="974"/>
      <c r="M26" s="974"/>
      <c r="N26" s="754"/>
      <c r="O26" s="754"/>
      <c r="P26" s="754"/>
      <c r="Q26" s="754"/>
      <c r="R26" s="754"/>
      <c r="S26" s="754"/>
      <c r="T26" s="754"/>
      <c r="U26" s="754"/>
      <c r="V26" s="754"/>
      <c r="W26" s="754"/>
      <c r="X26" s="754"/>
      <c r="Y26" s="754"/>
      <c r="Z26" s="975">
        <v>11960903</v>
      </c>
      <c r="AA26" s="975"/>
      <c r="AB26" s="975"/>
      <c r="AC26" s="975"/>
      <c r="AD26" s="975"/>
      <c r="AE26" s="975"/>
      <c r="AF26" s="975"/>
      <c r="AG26" s="975"/>
      <c r="AH26" s="975"/>
      <c r="AI26" s="975"/>
      <c r="AJ26" s="975"/>
      <c r="AK26" s="975"/>
      <c r="AL26" s="975">
        <f t="shared" ref="AL26" si="14">Z26+AF26</f>
        <v>11960903</v>
      </c>
      <c r="AM26" s="975"/>
      <c r="AN26" s="975"/>
      <c r="AO26" s="975"/>
      <c r="AP26" s="975"/>
      <c r="AQ26" s="975"/>
      <c r="AR26" s="703">
        <v>0</v>
      </c>
      <c r="AS26" s="735">
        <v>11960903</v>
      </c>
      <c r="AT26" s="766">
        <f t="shared" si="10"/>
        <v>0</v>
      </c>
      <c r="AU26" s="667">
        <v>0</v>
      </c>
      <c r="AV26" s="703">
        <v>0</v>
      </c>
      <c r="AW26" s="656"/>
      <c r="AX26" s="656"/>
      <c r="AY26" s="656"/>
      <c r="AZ26" s="656"/>
      <c r="BA26" s="652"/>
      <c r="BB26" s="652"/>
      <c r="BC26" s="657"/>
      <c r="BD26" s="652"/>
      <c r="BE26" s="652"/>
      <c r="BF26" s="652"/>
      <c r="BG26" s="652"/>
      <c r="BH26" s="652"/>
      <c r="BI26" s="651"/>
      <c r="BJ26" s="653"/>
      <c r="BK26" s="653"/>
      <c r="BL26" s="654"/>
      <c r="BM26" s="955" t="s">
        <v>385</v>
      </c>
      <c r="BN26" s="956"/>
      <c r="BO26" s="956"/>
      <c r="BP26" s="956"/>
      <c r="BQ26" s="956"/>
      <c r="BR26" s="956"/>
      <c r="BS26" s="957"/>
      <c r="BT26" s="942">
        <f t="shared" ref="BT26" si="15">AL26/$AL$23</f>
        <v>1.3042386509261874E-2</v>
      </c>
      <c r="BU26" s="943"/>
      <c r="BV26" s="880">
        <f t="shared" si="13"/>
        <v>1.3105503815707393E-2</v>
      </c>
      <c r="BW26" s="655"/>
      <c r="BX26" s="655"/>
      <c r="BY26" s="127"/>
      <c r="CA26" s="335"/>
      <c r="CB26" s="336"/>
      <c r="CC26" s="324"/>
      <c r="CD26" s="324"/>
      <c r="CE26" s="337"/>
    </row>
    <row r="27" spans="1:83" s="25" customFormat="1" ht="20.25" customHeight="1">
      <c r="A27" s="1200"/>
      <c r="B27" s="1201"/>
      <c r="C27" s="1201"/>
      <c r="D27" s="1201"/>
      <c r="E27" s="1201"/>
      <c r="F27" s="1202"/>
      <c r="G27" s="974" t="s">
        <v>388</v>
      </c>
      <c r="H27" s="974"/>
      <c r="I27" s="974"/>
      <c r="J27" s="974"/>
      <c r="K27" s="974"/>
      <c r="L27" s="974"/>
      <c r="M27" s="974"/>
      <c r="N27" s="754"/>
      <c r="O27" s="754"/>
      <c r="P27" s="754"/>
      <c r="Q27" s="754"/>
      <c r="R27" s="754"/>
      <c r="S27" s="754"/>
      <c r="T27" s="754"/>
      <c r="U27" s="754"/>
      <c r="V27" s="754"/>
      <c r="W27" s="754"/>
      <c r="X27" s="754"/>
      <c r="Y27" s="754"/>
      <c r="Z27" s="975">
        <v>7470960</v>
      </c>
      <c r="AA27" s="975"/>
      <c r="AB27" s="975"/>
      <c r="AC27" s="975"/>
      <c r="AD27" s="975"/>
      <c r="AE27" s="975"/>
      <c r="AF27" s="975"/>
      <c r="AG27" s="975"/>
      <c r="AH27" s="975"/>
      <c r="AI27" s="975"/>
      <c r="AJ27" s="975"/>
      <c r="AK27" s="975"/>
      <c r="AL27" s="975">
        <f t="shared" ref="AL27" si="16">Z27+AF27</f>
        <v>7470960</v>
      </c>
      <c r="AM27" s="975"/>
      <c r="AN27" s="975"/>
      <c r="AO27" s="975"/>
      <c r="AP27" s="975"/>
      <c r="AQ27" s="975"/>
      <c r="AR27" s="703">
        <v>0</v>
      </c>
      <c r="AS27" s="735">
        <f>AL27</f>
        <v>7470960</v>
      </c>
      <c r="AT27" s="766">
        <f t="shared" si="10"/>
        <v>0</v>
      </c>
      <c r="AU27" s="667">
        <v>0</v>
      </c>
      <c r="AV27" s="703">
        <v>0</v>
      </c>
      <c r="AW27" s="658"/>
      <c r="AX27" s="658"/>
      <c r="AY27" s="658"/>
      <c r="AZ27" s="658"/>
      <c r="BA27" s="660"/>
      <c r="BB27" s="660"/>
      <c r="BC27" s="659"/>
      <c r="BD27" s="660"/>
      <c r="BE27" s="660"/>
      <c r="BF27" s="660"/>
      <c r="BG27" s="660"/>
      <c r="BH27" s="660"/>
      <c r="BI27" s="661"/>
      <c r="BJ27" s="662"/>
      <c r="BK27" s="662"/>
      <c r="BL27" s="663"/>
      <c r="BM27" s="955" t="s">
        <v>481</v>
      </c>
      <c r="BN27" s="956"/>
      <c r="BO27" s="956"/>
      <c r="BP27" s="956"/>
      <c r="BQ27" s="956"/>
      <c r="BR27" s="956"/>
      <c r="BS27" s="957"/>
      <c r="BT27" s="942">
        <f t="shared" ref="BT27" si="17">AL27/$AL$23</f>
        <v>8.1464708739160483E-3</v>
      </c>
      <c r="BU27" s="943"/>
      <c r="BV27" s="880">
        <f t="shared" si="13"/>
        <v>8.1858948933033991E-3</v>
      </c>
      <c r="BW27" s="797">
        <f>AS27-5000000</f>
        <v>2470960</v>
      </c>
      <c r="BX27" s="664"/>
      <c r="BY27" s="127"/>
      <c r="CA27" s="335"/>
      <c r="CB27" s="336"/>
      <c r="CC27" s="324"/>
      <c r="CD27" s="324"/>
      <c r="CE27" s="337"/>
    </row>
    <row r="28" spans="1:83" s="25" customFormat="1" ht="20.25" customHeight="1">
      <c r="A28" s="1200"/>
      <c r="B28" s="1204"/>
      <c r="C28" s="1204"/>
      <c r="D28" s="1204"/>
      <c r="E28" s="1204"/>
      <c r="F28" s="1205"/>
      <c r="G28" s="976" t="s">
        <v>381</v>
      </c>
      <c r="H28" s="976"/>
      <c r="I28" s="976"/>
      <c r="J28" s="976"/>
      <c r="K28" s="976"/>
      <c r="L28" s="976"/>
      <c r="M28" s="976"/>
      <c r="N28" s="983">
        <v>575000</v>
      </c>
      <c r="O28" s="983"/>
      <c r="P28" s="983"/>
      <c r="Q28" s="983"/>
      <c r="R28" s="983"/>
      <c r="S28" s="983"/>
      <c r="T28" s="983">
        <f>Z28</f>
        <v>1603249.0080000001</v>
      </c>
      <c r="U28" s="983"/>
      <c r="V28" s="983"/>
      <c r="W28" s="983"/>
      <c r="X28" s="983"/>
      <c r="Y28" s="983"/>
      <c r="Z28" s="975">
        <f>AW28*BC28</f>
        <v>1603249.0080000001</v>
      </c>
      <c r="AA28" s="975"/>
      <c r="AB28" s="975"/>
      <c r="AC28" s="975"/>
      <c r="AD28" s="975"/>
      <c r="AE28" s="975"/>
      <c r="AF28" s="975"/>
      <c r="AG28" s="975"/>
      <c r="AH28" s="975"/>
      <c r="AI28" s="975"/>
      <c r="AJ28" s="975"/>
      <c r="AK28" s="975"/>
      <c r="AL28" s="975">
        <f t="shared" si="9"/>
        <v>1603249.0080000001</v>
      </c>
      <c r="AM28" s="975"/>
      <c r="AN28" s="975"/>
      <c r="AO28" s="975"/>
      <c r="AP28" s="975"/>
      <c r="AQ28" s="975"/>
      <c r="AR28" s="703">
        <v>0</v>
      </c>
      <c r="AS28" s="735">
        <f>(AS25+AS26+AS27)*BC28</f>
        <v>1603249.0080000001</v>
      </c>
      <c r="AT28" s="766">
        <v>0</v>
      </c>
      <c r="AU28" s="667">
        <v>0</v>
      </c>
      <c r="AV28" s="703">
        <v>0</v>
      </c>
      <c r="AW28" s="1170">
        <f>AS25+AS26+AS27</f>
        <v>33401021</v>
      </c>
      <c r="AX28" s="1170"/>
      <c r="AY28" s="1170"/>
      <c r="AZ28" s="1170"/>
      <c r="BA28" s="549" t="s">
        <v>21</v>
      </c>
      <c r="BB28" s="549" t="s">
        <v>0</v>
      </c>
      <c r="BC28" s="1171">
        <v>4.8000000000000001E-2</v>
      </c>
      <c r="BD28" s="978"/>
      <c r="BE28" s="978"/>
      <c r="BF28" s="978"/>
      <c r="BG28" s="978"/>
      <c r="BH28" s="978"/>
      <c r="BI28" s="291"/>
      <c r="BJ28" s="1014"/>
      <c r="BK28" s="1014"/>
      <c r="BL28" s="1015"/>
      <c r="BM28" s="955" t="s">
        <v>482</v>
      </c>
      <c r="BN28" s="956"/>
      <c r="BO28" s="956"/>
      <c r="BP28" s="956"/>
      <c r="BQ28" s="956"/>
      <c r="BR28" s="956"/>
      <c r="BS28" s="957"/>
      <c r="BT28" s="942">
        <f t="shared" ref="BT28" si="18">AL28/$AL$23</f>
        <v>1.7482119228729371E-3</v>
      </c>
      <c r="BU28" s="943"/>
      <c r="BV28" s="880">
        <f t="shared" si="13"/>
        <v>1.7566722171288485E-3</v>
      </c>
      <c r="BW28" s="436"/>
      <c r="BX28" s="436"/>
      <c r="BY28" s="127" t="str">
        <f>G28</f>
        <v>취등록세</v>
      </c>
      <c r="CA28" s="335" t="s">
        <v>207</v>
      </c>
      <c r="CB28" s="336">
        <f>IF($CA28=$CA$21, $CB$21, IF($CA28=$CA$20,$CB$20, ))</f>
        <v>1.7933888618123376E-3</v>
      </c>
      <c r="CC28" s="324">
        <f>AF28</f>
        <v>0</v>
      </c>
      <c r="CD28" s="324">
        <f>CC28-CE28</f>
        <v>0</v>
      </c>
      <c r="CE28" s="337">
        <f t="shared" si="11"/>
        <v>0</v>
      </c>
    </row>
    <row r="29" spans="1:83" s="25" customFormat="1" ht="20.25" customHeight="1">
      <c r="A29" s="1200"/>
      <c r="B29" s="1204"/>
      <c r="C29" s="1204"/>
      <c r="D29" s="1204"/>
      <c r="E29" s="1204"/>
      <c r="F29" s="1205"/>
      <c r="G29" s="976" t="s">
        <v>386</v>
      </c>
      <c r="H29" s="976"/>
      <c r="I29" s="976"/>
      <c r="J29" s="976"/>
      <c r="K29" s="976"/>
      <c r="L29" s="976"/>
      <c r="M29" s="976"/>
      <c r="N29" s="983">
        <v>575000</v>
      </c>
      <c r="O29" s="983"/>
      <c r="P29" s="983"/>
      <c r="Q29" s="983"/>
      <c r="R29" s="983"/>
      <c r="S29" s="983"/>
      <c r="T29" s="983">
        <f>Z29</f>
        <v>3882030.63</v>
      </c>
      <c r="U29" s="983"/>
      <c r="V29" s="983"/>
      <c r="W29" s="983"/>
      <c r="X29" s="983"/>
      <c r="Y29" s="983"/>
      <c r="Z29" s="975">
        <f>AW29*BC29</f>
        <v>3882030.63</v>
      </c>
      <c r="AA29" s="975"/>
      <c r="AB29" s="975"/>
      <c r="AC29" s="975"/>
      <c r="AD29" s="975"/>
      <c r="AE29" s="975"/>
      <c r="AF29" s="975">
        <v>0</v>
      </c>
      <c r="AG29" s="975"/>
      <c r="AH29" s="975"/>
      <c r="AI29" s="975"/>
      <c r="AJ29" s="975"/>
      <c r="AK29" s="975"/>
      <c r="AL29" s="975">
        <f t="shared" ref="AL29" si="19">Z29+AF29</f>
        <v>3882030.63</v>
      </c>
      <c r="AM29" s="975"/>
      <c r="AN29" s="975"/>
      <c r="AO29" s="975"/>
      <c r="AP29" s="975"/>
      <c r="AQ29" s="975"/>
      <c r="AR29" s="703">
        <v>0</v>
      </c>
      <c r="AS29" s="735">
        <f>AL29-AR29</f>
        <v>3882030.63</v>
      </c>
      <c r="AT29" s="766">
        <f>AL29-AR29-AS29</f>
        <v>0</v>
      </c>
      <c r="AU29" s="667">
        <v>0</v>
      </c>
      <c r="AV29" s="703">
        <v>0</v>
      </c>
      <c r="AW29" s="1170">
        <f>Z24+Z25+Z26+Z27</f>
        <v>129401021</v>
      </c>
      <c r="AX29" s="1170"/>
      <c r="AY29" s="1170"/>
      <c r="AZ29" s="1170"/>
      <c r="BA29" s="652" t="s">
        <v>21</v>
      </c>
      <c r="BB29" s="652" t="s">
        <v>0</v>
      </c>
      <c r="BC29" s="1171">
        <v>0.03</v>
      </c>
      <c r="BD29" s="978"/>
      <c r="BE29" s="978"/>
      <c r="BF29" s="978"/>
      <c r="BG29" s="978"/>
      <c r="BH29" s="978"/>
      <c r="BI29" s="650"/>
      <c r="BJ29" s="1014"/>
      <c r="BK29" s="1014"/>
      <c r="BL29" s="1015"/>
      <c r="BM29" s="984"/>
      <c r="BN29" s="985"/>
      <c r="BO29" s="985"/>
      <c r="BP29" s="985"/>
      <c r="BQ29" s="985"/>
      <c r="BR29" s="985"/>
      <c r="BS29" s="986"/>
      <c r="BT29" s="942">
        <f t="shared" ref="BT29" si="20">AL29/$AL$23</f>
        <v>4.2330369134548932E-3</v>
      </c>
      <c r="BU29" s="943"/>
      <c r="BV29" s="880">
        <f t="shared" si="13"/>
        <v>4.2535222661832456E-3</v>
      </c>
      <c r="BW29" s="436"/>
      <c r="BX29" s="436"/>
      <c r="BY29" s="127" t="str">
        <f>G29</f>
        <v>명도 및 보상비</v>
      </c>
      <c r="CA29" s="335"/>
      <c r="CB29" s="336">
        <f>IF($CA29=$CA$21, $CB$21, IF($CA29=$CA$20,$CB$20, ))</f>
        <v>0</v>
      </c>
      <c r="CC29" s="324">
        <f>AF29</f>
        <v>0</v>
      </c>
      <c r="CD29" s="324">
        <f>CC29-CE29</f>
        <v>0</v>
      </c>
      <c r="CE29" s="337">
        <f t="shared" si="11"/>
        <v>0</v>
      </c>
    </row>
    <row r="30" spans="1:83" s="25" customFormat="1" ht="20.25" customHeight="1">
      <c r="A30" s="1200"/>
      <c r="B30" s="1204"/>
      <c r="C30" s="1204"/>
      <c r="D30" s="1204"/>
      <c r="E30" s="1204"/>
      <c r="F30" s="1206"/>
      <c r="G30" s="976" t="s">
        <v>399</v>
      </c>
      <c r="H30" s="976"/>
      <c r="I30" s="976"/>
      <c r="J30" s="976"/>
      <c r="K30" s="976"/>
      <c r="L30" s="976"/>
      <c r="M30" s="976"/>
      <c r="N30" s="784"/>
      <c r="O30" s="785"/>
      <c r="P30" s="785"/>
      <c r="Q30" s="785"/>
      <c r="R30" s="785"/>
      <c r="S30" s="785"/>
      <c r="T30" s="785"/>
      <c r="U30" s="785"/>
      <c r="V30" s="785"/>
      <c r="W30" s="785"/>
      <c r="X30" s="785"/>
      <c r="Y30" s="785"/>
      <c r="Z30" s="975">
        <v>5000000</v>
      </c>
      <c r="AA30" s="975"/>
      <c r="AB30" s="975"/>
      <c r="AC30" s="975"/>
      <c r="AD30" s="975"/>
      <c r="AE30" s="975"/>
      <c r="AF30" s="975">
        <v>0</v>
      </c>
      <c r="AG30" s="975"/>
      <c r="AH30" s="975"/>
      <c r="AI30" s="975"/>
      <c r="AJ30" s="975"/>
      <c r="AK30" s="975"/>
      <c r="AL30" s="975">
        <f t="shared" ref="AL30" si="21">Z30+AF30</f>
        <v>5000000</v>
      </c>
      <c r="AM30" s="975"/>
      <c r="AN30" s="975"/>
      <c r="AO30" s="975"/>
      <c r="AP30" s="975"/>
      <c r="AQ30" s="975"/>
      <c r="AR30" s="790">
        <v>0</v>
      </c>
      <c r="AS30" s="735">
        <f>AL30-AR30</f>
        <v>5000000</v>
      </c>
      <c r="AT30" s="766"/>
      <c r="AU30" s="792"/>
      <c r="AV30" s="790"/>
      <c r="AW30" s="786"/>
      <c r="AX30" s="786"/>
      <c r="AY30" s="786"/>
      <c r="AZ30" s="786"/>
      <c r="BA30" s="789"/>
      <c r="BB30" s="789"/>
      <c r="BC30" s="787"/>
      <c r="BD30" s="789"/>
      <c r="BE30" s="789"/>
      <c r="BF30" s="789"/>
      <c r="BG30" s="789"/>
      <c r="BH30" s="789"/>
      <c r="BI30" s="287"/>
      <c r="BJ30" s="788"/>
      <c r="BK30" s="788"/>
      <c r="BL30" s="788"/>
      <c r="BM30" s="984"/>
      <c r="BN30" s="985"/>
      <c r="BO30" s="985"/>
      <c r="BP30" s="985"/>
      <c r="BQ30" s="985"/>
      <c r="BR30" s="985"/>
      <c r="BS30" s="986"/>
      <c r="BT30" s="942">
        <f t="shared" ref="BT30" si="22">AL30/$AL$23</f>
        <v>5.4520910792696308E-3</v>
      </c>
      <c r="BU30" s="943"/>
      <c r="BV30" s="880">
        <f t="shared" si="13"/>
        <v>5.4784759209682557E-3</v>
      </c>
      <c r="BW30" s="791"/>
      <c r="BX30" s="791"/>
      <c r="BY30" s="127"/>
      <c r="CA30" s="335"/>
      <c r="CB30" s="336"/>
      <c r="CC30" s="324"/>
      <c r="CD30" s="324"/>
      <c r="CE30" s="337"/>
    </row>
    <row r="31" spans="1:83" s="25" customFormat="1" ht="20.25" customHeight="1">
      <c r="A31" s="1200"/>
      <c r="B31" s="1204"/>
      <c r="C31" s="1204"/>
      <c r="D31" s="1204"/>
      <c r="E31" s="1204"/>
      <c r="F31" s="1206"/>
      <c r="G31" s="976" t="s">
        <v>394</v>
      </c>
      <c r="H31" s="976"/>
      <c r="I31" s="976"/>
      <c r="J31" s="976"/>
      <c r="K31" s="976"/>
      <c r="L31" s="976"/>
      <c r="M31" s="976"/>
      <c r="N31" s="784"/>
      <c r="O31" s="785"/>
      <c r="P31" s="785"/>
      <c r="Q31" s="785"/>
      <c r="R31" s="785"/>
      <c r="S31" s="785"/>
      <c r="T31" s="785"/>
      <c r="U31" s="785"/>
      <c r="V31" s="785"/>
      <c r="W31" s="785"/>
      <c r="X31" s="785"/>
      <c r="Y31" s="785"/>
      <c r="Z31" s="975">
        <v>5444723</v>
      </c>
      <c r="AA31" s="975"/>
      <c r="AB31" s="975"/>
      <c r="AC31" s="975"/>
      <c r="AD31" s="975"/>
      <c r="AE31" s="975"/>
      <c r="AF31" s="975">
        <v>0</v>
      </c>
      <c r="AG31" s="975"/>
      <c r="AH31" s="975"/>
      <c r="AI31" s="975"/>
      <c r="AJ31" s="975"/>
      <c r="AK31" s="975"/>
      <c r="AL31" s="975">
        <f t="shared" ref="AL31" si="23">Z31+AF31</f>
        <v>5444723</v>
      </c>
      <c r="AM31" s="975"/>
      <c r="AN31" s="975"/>
      <c r="AO31" s="975"/>
      <c r="AP31" s="975"/>
      <c r="AQ31" s="975"/>
      <c r="AR31" s="779">
        <v>5444723</v>
      </c>
      <c r="AS31" s="735">
        <f>AL31-AR31</f>
        <v>0</v>
      </c>
      <c r="AT31" s="766"/>
      <c r="AU31" s="780"/>
      <c r="AV31" s="779"/>
      <c r="AW31" s="786"/>
      <c r="AX31" s="786"/>
      <c r="AY31" s="786"/>
      <c r="AZ31" s="786"/>
      <c r="BA31" s="778"/>
      <c r="BB31" s="778"/>
      <c r="BC31" s="787"/>
      <c r="BD31" s="778"/>
      <c r="BE31" s="778"/>
      <c r="BF31" s="778"/>
      <c r="BG31" s="778"/>
      <c r="BH31" s="778"/>
      <c r="BI31" s="287"/>
      <c r="BJ31" s="788"/>
      <c r="BK31" s="788"/>
      <c r="BL31" s="788"/>
      <c r="BM31" s="984" t="s">
        <v>395</v>
      </c>
      <c r="BN31" s="985"/>
      <c r="BO31" s="985"/>
      <c r="BP31" s="985"/>
      <c r="BQ31" s="985"/>
      <c r="BR31" s="985"/>
      <c r="BS31" s="986"/>
      <c r="BT31" s="942">
        <f t="shared" ref="BT31" si="24">AL31/$AL$23</f>
        <v>5.9370251394788368E-3</v>
      </c>
      <c r="BU31" s="943"/>
      <c r="BV31" s="880">
        <f t="shared" si="13"/>
        <v>5.9657567703684088E-3</v>
      </c>
      <c r="BW31" s="781"/>
      <c r="BX31" s="781"/>
      <c r="BY31" s="127"/>
      <c r="CA31" s="335"/>
      <c r="CB31" s="336"/>
      <c r="CC31" s="324"/>
      <c r="CD31" s="324"/>
      <c r="CE31" s="337"/>
    </row>
    <row r="32" spans="1:83" ht="20.25" customHeight="1">
      <c r="A32" s="1200"/>
      <c r="B32" s="1204"/>
      <c r="C32" s="1204"/>
      <c r="D32" s="1204"/>
      <c r="E32" s="1204"/>
      <c r="F32" s="1205"/>
      <c r="G32" s="1214" t="s">
        <v>45</v>
      </c>
      <c r="H32" s="1215"/>
      <c r="I32" s="1215"/>
      <c r="J32" s="1215"/>
      <c r="K32" s="1215"/>
      <c r="L32" s="1215"/>
      <c r="M32" s="1216"/>
      <c r="N32" s="1033">
        <f>SUM(N24:S28)</f>
        <v>12650000</v>
      </c>
      <c r="O32" s="1036"/>
      <c r="P32" s="1036"/>
      <c r="Q32" s="1036"/>
      <c r="R32" s="1036"/>
      <c r="S32" s="1034"/>
      <c r="T32" s="1285">
        <f>SUM(T24:Y28)</f>
        <v>27072407.008000001</v>
      </c>
      <c r="U32" s="1034"/>
      <c r="V32" s="1034"/>
      <c r="W32" s="1034"/>
      <c r="X32" s="1034"/>
      <c r="Y32" s="1034"/>
      <c r="Z32" s="1455">
        <f>SUM(Z24:AE31)</f>
        <v>145331023.63800001</v>
      </c>
      <c r="AA32" s="1084"/>
      <c r="AB32" s="1084"/>
      <c r="AC32" s="1084"/>
      <c r="AD32" s="1084"/>
      <c r="AE32" s="1084"/>
      <c r="AF32" s="1083">
        <f>SUM(AF24:AK29)</f>
        <v>0</v>
      </c>
      <c r="AG32" s="1084"/>
      <c r="AH32" s="1084"/>
      <c r="AI32" s="1084"/>
      <c r="AJ32" s="1084"/>
      <c r="AK32" s="1456"/>
      <c r="AL32" s="1457">
        <f>SUM(AL24:AQ31)</f>
        <v>145331023.63800001</v>
      </c>
      <c r="AM32" s="1458"/>
      <c r="AN32" s="1458"/>
      <c r="AO32" s="1458"/>
      <c r="AP32" s="1458"/>
      <c r="AQ32" s="1458"/>
      <c r="AR32" s="430">
        <f>SUM(AR24:AR31)</f>
        <v>5444723</v>
      </c>
      <c r="AS32" s="710">
        <f>SUM(AS24:AS31)</f>
        <v>139886300.63800001</v>
      </c>
      <c r="AT32" s="722">
        <f>SUM(AT24:AT28)</f>
        <v>0</v>
      </c>
      <c r="AU32" s="671">
        <f>SUM(AU24:AU31)</f>
        <v>0</v>
      </c>
      <c r="AV32" s="673">
        <f>SUM(AV24:AV31)</f>
        <v>0</v>
      </c>
      <c r="AW32" s="316"/>
      <c r="AX32" s="27"/>
      <c r="AY32" s="28"/>
      <c r="AZ32" s="28"/>
      <c r="BA32" s="29"/>
      <c r="BB32" s="27"/>
      <c r="BC32" s="27"/>
      <c r="BD32" s="27"/>
      <c r="BE32" s="27"/>
      <c r="BF32" s="29"/>
      <c r="BG32" s="27"/>
      <c r="BH32" s="27"/>
      <c r="BI32" s="27"/>
      <c r="BJ32" s="27"/>
      <c r="BK32" s="27"/>
      <c r="BL32" s="27"/>
      <c r="BM32" s="1187"/>
      <c r="BN32" s="1188"/>
      <c r="BO32" s="1188"/>
      <c r="BP32" s="1188"/>
      <c r="BQ32" s="1188"/>
      <c r="BR32" s="1188"/>
      <c r="BS32" s="1189"/>
      <c r="BT32" s="947">
        <f>AL32/$AL$23</f>
        <v>0.15847159550357273</v>
      </c>
      <c r="BU32" s="948"/>
      <c r="BV32" s="880">
        <f t="shared" si="13"/>
        <v>0.15923850271409029</v>
      </c>
      <c r="BW32" s="436"/>
      <c r="BX32" s="436"/>
      <c r="BY32" s="127"/>
      <c r="CA32" s="338"/>
      <c r="CB32" s="339"/>
      <c r="CC32" s="325" t="b">
        <f>SUM(CC24:CC28)=AF32</f>
        <v>1</v>
      </c>
      <c r="CD32" s="325"/>
      <c r="CE32" s="340">
        <f t="shared" si="11"/>
        <v>0</v>
      </c>
    </row>
    <row r="33" spans="1:85" ht="20.25" customHeight="1">
      <c r="A33" s="1200"/>
      <c r="B33" s="1207" t="s">
        <v>16</v>
      </c>
      <c r="C33" s="1208"/>
      <c r="D33" s="1208"/>
      <c r="E33" s="1208"/>
      <c r="F33" s="1208"/>
      <c r="G33" s="976" t="s">
        <v>99</v>
      </c>
      <c r="H33" s="976"/>
      <c r="I33" s="976"/>
      <c r="J33" s="976"/>
      <c r="K33" s="976"/>
      <c r="L33" s="976"/>
      <c r="M33" s="976"/>
      <c r="N33" s="979">
        <v>94609110</v>
      </c>
      <c r="O33" s="979"/>
      <c r="P33" s="979"/>
      <c r="Q33" s="979"/>
      <c r="R33" s="979"/>
      <c r="S33" s="979"/>
      <c r="T33" s="979">
        <f>AW33*4200</f>
        <v>377400957.78000003</v>
      </c>
      <c r="U33" s="979"/>
      <c r="V33" s="979"/>
      <c r="W33" s="979"/>
      <c r="X33" s="979"/>
      <c r="Y33" s="979"/>
      <c r="Z33" s="975">
        <f>AW33*BC33</f>
        <v>440301117.41000003</v>
      </c>
      <c r="AA33" s="975"/>
      <c r="AB33" s="975"/>
      <c r="AC33" s="975"/>
      <c r="AD33" s="975"/>
      <c r="AE33" s="975"/>
      <c r="AF33" s="1002">
        <f>Z33*분양개요!M32*0.1</f>
        <v>98703.889975827537</v>
      </c>
      <c r="AG33" s="1002"/>
      <c r="AH33" s="1002"/>
      <c r="AI33" s="1002"/>
      <c r="AJ33" s="1002"/>
      <c r="AK33" s="1002"/>
      <c r="AL33" s="975">
        <f>Z33+AF33</f>
        <v>440399821.29997587</v>
      </c>
      <c r="AM33" s="975"/>
      <c r="AN33" s="975"/>
      <c r="AO33" s="975"/>
      <c r="AP33" s="975"/>
      <c r="AQ33" s="975"/>
      <c r="AR33" s="703"/>
      <c r="AS33" s="735"/>
      <c r="AT33" s="766">
        <f>AL33*90%</f>
        <v>396359839.16997832</v>
      </c>
      <c r="AU33" s="667"/>
      <c r="AV33" s="703">
        <f>AL33-AT33</f>
        <v>44039982.129997551</v>
      </c>
      <c r="AW33" s="1176">
        <f>+Z9</f>
        <v>89857.370900000009</v>
      </c>
      <c r="AX33" s="1176"/>
      <c r="AY33" s="1176"/>
      <c r="AZ33" s="1176"/>
      <c r="BA33" s="385" t="s">
        <v>76</v>
      </c>
      <c r="BB33" s="385" t="s">
        <v>0</v>
      </c>
      <c r="BC33" s="1167">
        <v>4900</v>
      </c>
      <c r="BD33" s="1167"/>
      <c r="BE33" s="1167"/>
      <c r="BF33" s="982" t="s">
        <v>21</v>
      </c>
      <c r="BG33" s="982"/>
      <c r="BH33" s="1168"/>
      <c r="BI33" s="1168"/>
      <c r="BJ33" s="1168"/>
      <c r="BK33" s="1168"/>
      <c r="BL33" s="1169"/>
      <c r="BM33" s="1334" t="s">
        <v>425</v>
      </c>
      <c r="BN33" s="1335"/>
      <c r="BO33" s="1335"/>
      <c r="BP33" s="1335"/>
      <c r="BQ33" s="1335"/>
      <c r="BR33" s="1335"/>
      <c r="BS33" s="1336"/>
      <c r="BT33" s="1324">
        <f>AL33/$AL$23</f>
        <v>0.4802199874043076</v>
      </c>
      <c r="BU33" s="1075"/>
      <c r="BV33" s="880">
        <f t="shared" si="13"/>
        <v>0.48243581394122037</v>
      </c>
      <c r="BW33" s="436"/>
      <c r="BX33" s="436"/>
      <c r="BY33" s="127" t="str">
        <f>G33</f>
        <v>직접공사비(본공사)</v>
      </c>
      <c r="CA33" s="341" t="s">
        <v>261</v>
      </c>
      <c r="CB33" s="336">
        <f>IF($CA33=$CA$21, $CB$21, IF($CA33=$CA$20,$CB$20, ))</f>
        <v>2.2417360772654217E-3</v>
      </c>
      <c r="CC33" s="324">
        <f>AF33</f>
        <v>98703.889975827537</v>
      </c>
      <c r="CD33" s="324">
        <f>CC33-CE33</f>
        <v>98482.62190470229</v>
      </c>
      <c r="CE33" s="337">
        <f t="shared" si="11"/>
        <v>221.26807112524941</v>
      </c>
    </row>
    <row r="34" spans="1:85" ht="20.25" hidden="1" customHeight="1">
      <c r="A34" s="1200"/>
      <c r="B34" s="1209"/>
      <c r="C34" s="1210"/>
      <c r="D34" s="1210"/>
      <c r="E34" s="1210"/>
      <c r="F34" s="1210"/>
      <c r="G34" s="976" t="s">
        <v>339</v>
      </c>
      <c r="H34" s="976"/>
      <c r="I34" s="976"/>
      <c r="J34" s="976"/>
      <c r="K34" s="976"/>
      <c r="L34" s="976"/>
      <c r="M34" s="976"/>
      <c r="N34" s="757"/>
      <c r="O34" s="757"/>
      <c r="P34" s="757"/>
      <c r="Q34" s="757"/>
      <c r="R34" s="757"/>
      <c r="S34" s="757"/>
      <c r="T34" s="757"/>
      <c r="U34" s="757"/>
      <c r="V34" s="757"/>
      <c r="W34" s="757"/>
      <c r="X34" s="757"/>
      <c r="Y34" s="757"/>
      <c r="Z34" s="975"/>
      <c r="AA34" s="975"/>
      <c r="AB34" s="975"/>
      <c r="AC34" s="975"/>
      <c r="AD34" s="975"/>
      <c r="AE34" s="975"/>
      <c r="AF34" s="1002"/>
      <c r="AG34" s="1002"/>
      <c r="AH34" s="1002"/>
      <c r="AI34" s="1002"/>
      <c r="AJ34" s="1002"/>
      <c r="AK34" s="1002"/>
      <c r="AL34" s="975"/>
      <c r="AM34" s="975"/>
      <c r="AN34" s="975"/>
      <c r="AO34" s="975"/>
      <c r="AP34" s="975"/>
      <c r="AQ34" s="975"/>
      <c r="AR34" s="703"/>
      <c r="AS34" s="735"/>
      <c r="AT34" s="766"/>
      <c r="AU34" s="667"/>
      <c r="AV34" s="703"/>
      <c r="AW34" s="981"/>
      <c r="AX34" s="981"/>
      <c r="AY34" s="981"/>
      <c r="AZ34" s="981"/>
      <c r="BA34" s="384" t="s">
        <v>76</v>
      </c>
      <c r="BB34" s="384" t="s">
        <v>0</v>
      </c>
      <c r="BC34" s="1000"/>
      <c r="BD34" s="1000"/>
      <c r="BE34" s="1000"/>
      <c r="BF34" s="950" t="s">
        <v>21</v>
      </c>
      <c r="BG34" s="950"/>
      <c r="BH34" s="987"/>
      <c r="BI34" s="987"/>
      <c r="BJ34" s="987"/>
      <c r="BK34" s="987"/>
      <c r="BL34" s="988"/>
      <c r="BM34" s="1328"/>
      <c r="BN34" s="1329"/>
      <c r="BO34" s="1329"/>
      <c r="BP34" s="1329"/>
      <c r="BQ34" s="1329"/>
      <c r="BR34" s="1329"/>
      <c r="BS34" s="1330"/>
      <c r="BT34" s="1324">
        <f t="shared" ref="BT34" si="25">AL34/$AL$23</f>
        <v>0</v>
      </c>
      <c r="BU34" s="1075"/>
      <c r="BV34" s="880">
        <f t="shared" si="13"/>
        <v>0</v>
      </c>
      <c r="BW34" s="436"/>
      <c r="BX34" s="436"/>
      <c r="BY34" s="127" t="str">
        <f>G34</f>
        <v>기타공사비(본공사)</v>
      </c>
      <c r="CA34" s="341" t="s">
        <v>209</v>
      </c>
      <c r="CB34" s="336">
        <f>IF($CA34=$CA$21, $CB$21, IF($CA34=$CA$20,$CB$20, ))</f>
        <v>2.2417360772654217E-3</v>
      </c>
      <c r="CC34" s="324"/>
      <c r="CD34" s="324"/>
      <c r="CE34" s="337"/>
    </row>
    <row r="35" spans="1:85" ht="20.25" customHeight="1">
      <c r="A35" s="1200"/>
      <c r="B35" s="1209"/>
      <c r="C35" s="1210"/>
      <c r="D35" s="1210"/>
      <c r="E35" s="1210"/>
      <c r="F35" s="1210"/>
      <c r="G35" s="976" t="s">
        <v>48</v>
      </c>
      <c r="H35" s="976"/>
      <c r="I35" s="976"/>
      <c r="J35" s="976"/>
      <c r="K35" s="976"/>
      <c r="L35" s="976"/>
      <c r="M35" s="976"/>
      <c r="N35" s="979">
        <v>692261</v>
      </c>
      <c r="O35" s="979"/>
      <c r="P35" s="979"/>
      <c r="Q35" s="979"/>
      <c r="R35" s="979"/>
      <c r="S35" s="979"/>
      <c r="T35" s="979">
        <f>Z35</f>
        <v>2695721.1270000003</v>
      </c>
      <c r="U35" s="979"/>
      <c r="V35" s="979"/>
      <c r="W35" s="979"/>
      <c r="X35" s="979"/>
      <c r="Y35" s="979"/>
      <c r="Z35" s="975">
        <f>AW35*BC35</f>
        <v>2695721.1270000003</v>
      </c>
      <c r="AA35" s="975"/>
      <c r="AB35" s="975"/>
      <c r="AC35" s="975"/>
      <c r="AD35" s="975"/>
      <c r="AE35" s="975"/>
      <c r="AF35" s="975">
        <f>Z35*0.1</f>
        <v>269572.11270000006</v>
      </c>
      <c r="AG35" s="975"/>
      <c r="AH35" s="975"/>
      <c r="AI35" s="975"/>
      <c r="AJ35" s="975"/>
      <c r="AK35" s="975"/>
      <c r="AL35" s="975">
        <f>Z35+AF35</f>
        <v>2965293.2397000003</v>
      </c>
      <c r="AM35" s="975"/>
      <c r="AN35" s="975"/>
      <c r="AO35" s="975"/>
      <c r="AP35" s="975"/>
      <c r="AQ35" s="975"/>
      <c r="AR35" s="674"/>
      <c r="AS35" s="762"/>
      <c r="AT35" s="766">
        <f t="shared" ref="AT35:AT36" si="26">AL35-AR35-AS35</f>
        <v>2965293.2397000003</v>
      </c>
      <c r="AU35" s="667"/>
      <c r="AV35" s="703"/>
      <c r="AW35" s="981">
        <f>+Z9</f>
        <v>89857.370900000009</v>
      </c>
      <c r="AX35" s="981"/>
      <c r="AY35" s="981"/>
      <c r="AZ35" s="981"/>
      <c r="BA35" s="305" t="s">
        <v>75</v>
      </c>
      <c r="BB35" s="305" t="s">
        <v>0</v>
      </c>
      <c r="BC35" s="949">
        <v>30</v>
      </c>
      <c r="BD35" s="949"/>
      <c r="BE35" s="949"/>
      <c r="BF35" s="950" t="s">
        <v>21</v>
      </c>
      <c r="BG35" s="950"/>
      <c r="BH35" s="987"/>
      <c r="BI35" s="987"/>
      <c r="BJ35" s="987"/>
      <c r="BK35" s="987"/>
      <c r="BL35" s="988"/>
      <c r="BM35" s="951"/>
      <c r="BN35" s="952"/>
      <c r="BO35" s="952"/>
      <c r="BP35" s="952"/>
      <c r="BQ35" s="952"/>
      <c r="BR35" s="952"/>
      <c r="BS35" s="953"/>
      <c r="BT35" s="942">
        <f t="shared" ref="BT35:BT36" si="27">AL35/$AL$23</f>
        <v>3.2334097639173829E-3</v>
      </c>
      <c r="BU35" s="943"/>
      <c r="BV35" s="880">
        <f t="shared" si="13"/>
        <v>2.9536886567829821E-3</v>
      </c>
      <c r="BW35" s="436"/>
      <c r="BX35" s="436"/>
      <c r="BY35" s="127" t="str">
        <f>G35</f>
        <v>각종인입비</v>
      </c>
      <c r="BZ35" s="25"/>
      <c r="CA35" s="335" t="s">
        <v>289</v>
      </c>
      <c r="CB35" s="336">
        <f>IF($CA35=$CA$21, $CB$21, IF($CA35=$CA$20,$CB$20, ))</f>
        <v>2.2417360772654217E-3</v>
      </c>
      <c r="CC35" s="324">
        <f>AF35</f>
        <v>269572.11270000006</v>
      </c>
      <c r="CD35" s="324">
        <f>CC35-CE35</f>
        <v>268967.80316953582</v>
      </c>
      <c r="CE35" s="337">
        <f>CC35*CB35</f>
        <v>604.30953046425032</v>
      </c>
      <c r="CF35" s="25"/>
      <c r="CG35" s="25"/>
    </row>
    <row r="36" spans="1:85" s="25" customFormat="1" ht="20.25" customHeight="1">
      <c r="A36" s="1200"/>
      <c r="B36" s="1211"/>
      <c r="C36" s="1210"/>
      <c r="D36" s="1210"/>
      <c r="E36" s="1210"/>
      <c r="F36" s="1210"/>
      <c r="G36" s="1140" t="s">
        <v>347</v>
      </c>
      <c r="H36" s="1140"/>
      <c r="I36" s="1140"/>
      <c r="J36" s="1140"/>
      <c r="K36" s="1140"/>
      <c r="L36" s="1140"/>
      <c r="M36" s="1140"/>
      <c r="N36" s="979">
        <v>300000</v>
      </c>
      <c r="O36" s="979"/>
      <c r="P36" s="979"/>
      <c r="Q36" s="979"/>
      <c r="R36" s="979"/>
      <c r="S36" s="979"/>
      <c r="T36" s="979">
        <v>300000</v>
      </c>
      <c r="U36" s="979"/>
      <c r="V36" s="979"/>
      <c r="W36" s="979"/>
      <c r="X36" s="979"/>
      <c r="Y36" s="979"/>
      <c r="Z36" s="975">
        <f>AW36*BC36</f>
        <v>6401868</v>
      </c>
      <c r="AA36" s="975"/>
      <c r="AB36" s="975"/>
      <c r="AC36" s="975"/>
      <c r="AD36" s="975"/>
      <c r="AE36" s="975"/>
      <c r="AF36" s="975">
        <f>Z36*0.1</f>
        <v>640186.80000000005</v>
      </c>
      <c r="AG36" s="975"/>
      <c r="AH36" s="975"/>
      <c r="AI36" s="975"/>
      <c r="AJ36" s="975"/>
      <c r="AK36" s="975"/>
      <c r="AL36" s="975">
        <f>Z36+AF36</f>
        <v>7042054.7999999998</v>
      </c>
      <c r="AM36" s="975"/>
      <c r="AN36" s="975"/>
      <c r="AO36" s="975"/>
      <c r="AP36" s="975"/>
      <c r="AQ36" s="975"/>
      <c r="AR36" s="703"/>
      <c r="AS36" s="735"/>
      <c r="AT36" s="766">
        <f t="shared" si="26"/>
        <v>7042054.7999999998</v>
      </c>
      <c r="AU36" s="667"/>
      <c r="AV36" s="703"/>
      <c r="AW36" s="981">
        <f>Z8</f>
        <v>32009.34</v>
      </c>
      <c r="AX36" s="981"/>
      <c r="AY36" s="981"/>
      <c r="AZ36" s="981"/>
      <c r="BA36" s="586" t="s">
        <v>75</v>
      </c>
      <c r="BB36" s="586" t="s">
        <v>0</v>
      </c>
      <c r="BC36" s="949">
        <v>200</v>
      </c>
      <c r="BD36" s="949"/>
      <c r="BE36" s="949"/>
      <c r="BF36" s="950" t="s">
        <v>21</v>
      </c>
      <c r="BG36" s="950"/>
      <c r="BH36" s="987"/>
      <c r="BI36" s="987"/>
      <c r="BJ36" s="987"/>
      <c r="BK36" s="987"/>
      <c r="BL36" s="988"/>
      <c r="BM36" s="951"/>
      <c r="BN36" s="952"/>
      <c r="BO36" s="952"/>
      <c r="BP36" s="952"/>
      <c r="BQ36" s="952"/>
      <c r="BR36" s="952"/>
      <c r="BS36" s="953"/>
      <c r="BT36" s="942">
        <f t="shared" si="27"/>
        <v>7.6787848309615766E-3</v>
      </c>
      <c r="BU36" s="943"/>
      <c r="BV36" s="880">
        <f t="shared" si="13"/>
        <v>7.0144959374434405E-3</v>
      </c>
      <c r="BW36" s="436"/>
      <c r="BX36" s="436"/>
      <c r="BY36" s="127" t="str">
        <f>G36</f>
        <v>조건부이행공사비</v>
      </c>
      <c r="CA36" s="335" t="s">
        <v>209</v>
      </c>
      <c r="CB36" s="336">
        <f>IF($CA36=$CA$21, $CB$21, IF($CA36=$CA$20,$CB$20, ))</f>
        <v>2.2417360772654217E-3</v>
      </c>
      <c r="CC36" s="324">
        <f>AF36</f>
        <v>640186.80000000005</v>
      </c>
      <c r="CD36" s="324">
        <f>CC36-CE36</f>
        <v>638751.67015425093</v>
      </c>
      <c r="CE36" s="337">
        <f>CC36*CB36</f>
        <v>1435.1298457491032</v>
      </c>
    </row>
    <row r="37" spans="1:85" s="25" customFormat="1" ht="20.25" customHeight="1">
      <c r="A37" s="1200"/>
      <c r="B37" s="1209"/>
      <c r="C37" s="1210"/>
      <c r="D37" s="1210"/>
      <c r="E37" s="1210"/>
      <c r="F37" s="1210"/>
      <c r="G37" s="1140" t="s">
        <v>348</v>
      </c>
      <c r="H37" s="1140"/>
      <c r="I37" s="1140"/>
      <c r="J37" s="1140"/>
      <c r="K37" s="1140"/>
      <c r="L37" s="1140"/>
      <c r="M37" s="1140"/>
      <c r="N37" s="979">
        <v>300000</v>
      </c>
      <c r="O37" s="979"/>
      <c r="P37" s="979"/>
      <c r="Q37" s="979"/>
      <c r="R37" s="979"/>
      <c r="S37" s="979"/>
      <c r="T37" s="979">
        <v>300000</v>
      </c>
      <c r="U37" s="979"/>
      <c r="V37" s="979"/>
      <c r="W37" s="979"/>
      <c r="X37" s="979"/>
      <c r="Y37" s="979"/>
      <c r="Z37" s="975">
        <f>AW37*BC37*BI37</f>
        <v>685589.05806325004</v>
      </c>
      <c r="AA37" s="975"/>
      <c r="AB37" s="975"/>
      <c r="AC37" s="975"/>
      <c r="AD37" s="975"/>
      <c r="AE37" s="975"/>
      <c r="AF37" s="975">
        <f>Z37*0.1</f>
        <v>68558.905806325012</v>
      </c>
      <c r="AG37" s="975"/>
      <c r="AH37" s="975"/>
      <c r="AI37" s="975"/>
      <c r="AJ37" s="975"/>
      <c r="AK37" s="975"/>
      <c r="AL37" s="975">
        <f t="shared" ref="AL37" si="28">Z37+AF37</f>
        <v>754147.96386957506</v>
      </c>
      <c r="AM37" s="975"/>
      <c r="AN37" s="975"/>
      <c r="AO37" s="975"/>
      <c r="AP37" s="975"/>
      <c r="AQ37" s="975"/>
      <c r="AR37" s="703"/>
      <c r="AS37" s="735">
        <v>0</v>
      </c>
      <c r="AT37" s="766">
        <f t="shared" ref="AT37" si="29">AL37-AR37-AS37</f>
        <v>754147.96386957506</v>
      </c>
      <c r="AU37" s="667"/>
      <c r="AV37" s="703"/>
      <c r="AW37" s="981">
        <f>Z10</f>
        <v>63071.670474999999</v>
      </c>
      <c r="AX37" s="981"/>
      <c r="AY37" s="981"/>
      <c r="AZ37" s="981"/>
      <c r="BA37" s="586" t="s">
        <v>75</v>
      </c>
      <c r="BB37" s="586" t="s">
        <v>0</v>
      </c>
      <c r="BC37" s="949">
        <v>2174</v>
      </c>
      <c r="BD37" s="949"/>
      <c r="BE37" s="949"/>
      <c r="BF37" s="950" t="s">
        <v>21</v>
      </c>
      <c r="BG37" s="950"/>
      <c r="BH37" s="586" t="s">
        <v>0</v>
      </c>
      <c r="BI37" s="989">
        <v>5.0000000000000001E-3</v>
      </c>
      <c r="BJ37" s="989"/>
      <c r="BK37" s="590"/>
      <c r="BL37" s="590"/>
      <c r="BM37" s="951"/>
      <c r="BN37" s="952"/>
      <c r="BO37" s="952"/>
      <c r="BP37" s="952"/>
      <c r="BQ37" s="952"/>
      <c r="BR37" s="952"/>
      <c r="BS37" s="953"/>
      <c r="BT37" s="942">
        <f t="shared" ref="BT37" si="30">AL37/$AL$23</f>
        <v>8.2233667725253325E-4</v>
      </c>
      <c r="BU37" s="943"/>
      <c r="BV37" s="880">
        <f t="shared" si="13"/>
        <v>7.5119662925576445E-4</v>
      </c>
      <c r="BW37" s="444"/>
      <c r="BX37" s="444"/>
      <c r="BY37" s="127" t="str">
        <f>G37</f>
        <v>예술장식품비</v>
      </c>
      <c r="CA37" s="335" t="s">
        <v>209</v>
      </c>
      <c r="CB37" s="336">
        <f>IF($CA37=$CA$21, $CB$21, IF($CA37=$CA$20,$CB$20, ))</f>
        <v>2.2417360772654217E-3</v>
      </c>
      <c r="CC37" s="324">
        <f>AF37</f>
        <v>68558.905806325012</v>
      </c>
      <c r="CD37" s="324">
        <f>CC37-CE37</f>
        <v>68405.214833761129</v>
      </c>
      <c r="CE37" s="337">
        <f>CC37*CB37</f>
        <v>153.69097256388059</v>
      </c>
    </row>
    <row r="38" spans="1:85" s="25" customFormat="1" ht="20.25" customHeight="1">
      <c r="A38" s="1200"/>
      <c r="B38" s="1212"/>
      <c r="C38" s="1213"/>
      <c r="D38" s="1213"/>
      <c r="E38" s="1213"/>
      <c r="F38" s="1213"/>
      <c r="G38" s="1454" t="s">
        <v>53</v>
      </c>
      <c r="H38" s="1454"/>
      <c r="I38" s="1454"/>
      <c r="J38" s="1454"/>
      <c r="K38" s="1454"/>
      <c r="L38" s="1454"/>
      <c r="M38" s="1454"/>
      <c r="N38" s="1018">
        <f>SUM(N33:S36)</f>
        <v>95601371</v>
      </c>
      <c r="O38" s="1018"/>
      <c r="P38" s="1018"/>
      <c r="Q38" s="1018"/>
      <c r="R38" s="1018"/>
      <c r="S38" s="1018"/>
      <c r="T38" s="1018">
        <f>SUM(T33:Y36)</f>
        <v>380396678.90700001</v>
      </c>
      <c r="U38" s="1018"/>
      <c r="V38" s="1018"/>
      <c r="W38" s="1018"/>
      <c r="X38" s="1018"/>
      <c r="Y38" s="1018"/>
      <c r="Z38" s="1003">
        <f>SUM(Z33:AE37)</f>
        <v>450084295.59506327</v>
      </c>
      <c r="AA38" s="1003"/>
      <c r="AB38" s="1003"/>
      <c r="AC38" s="1003"/>
      <c r="AD38" s="1003"/>
      <c r="AE38" s="1003"/>
      <c r="AF38" s="1003">
        <f>SUM(AF33:AK37)</f>
        <v>1077021.7084821525</v>
      </c>
      <c r="AG38" s="1003"/>
      <c r="AH38" s="1003"/>
      <c r="AI38" s="1003"/>
      <c r="AJ38" s="1003"/>
      <c r="AK38" s="1003"/>
      <c r="AL38" s="1453">
        <f>SUM(AL33:AQ37)</f>
        <v>451161317.30354548</v>
      </c>
      <c r="AM38" s="1453"/>
      <c r="AN38" s="1453"/>
      <c r="AO38" s="1453"/>
      <c r="AP38" s="1453"/>
      <c r="AQ38" s="1453"/>
      <c r="AR38" s="673">
        <f>SUM(AR33:AR37)</f>
        <v>0</v>
      </c>
      <c r="AS38" s="763">
        <f>SUM(AS33:AS37)</f>
        <v>0</v>
      </c>
      <c r="AT38" s="722">
        <f>SUM(AT33:AT37)</f>
        <v>407121335.17354792</v>
      </c>
      <c r="AU38" s="672">
        <f>SUM(AU33:AU37)</f>
        <v>0</v>
      </c>
      <c r="AV38" s="673">
        <f>SUM(AV33:AV37)</f>
        <v>44039982.129997551</v>
      </c>
      <c r="AW38" s="317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30"/>
      <c r="BN38" s="31"/>
      <c r="BO38" s="31"/>
      <c r="BP38" s="31"/>
      <c r="BQ38" s="31"/>
      <c r="BR38" s="31"/>
      <c r="BS38" s="32"/>
      <c r="BT38" s="947">
        <f>AL38/$AL$23</f>
        <v>0.49195451867643913</v>
      </c>
      <c r="BU38" s="948"/>
      <c r="BV38" s="880">
        <f t="shared" si="13"/>
        <v>0.49315519516470258</v>
      </c>
      <c r="BW38" s="436"/>
      <c r="BX38" s="436"/>
      <c r="BY38" s="127"/>
      <c r="CA38" s="338"/>
      <c r="CB38" s="339"/>
      <c r="CC38" s="325" t="b">
        <f>SUM(CC33:CC37)=AF38</f>
        <v>1</v>
      </c>
      <c r="CD38" s="325"/>
      <c r="CE38" s="340"/>
    </row>
    <row r="39" spans="1:85" s="25" customFormat="1" ht="20.25" customHeight="1">
      <c r="A39" s="1200"/>
      <c r="B39" s="1207" t="s">
        <v>43</v>
      </c>
      <c r="C39" s="1208"/>
      <c r="D39" s="1208"/>
      <c r="E39" s="1208"/>
      <c r="F39" s="1280"/>
      <c r="G39" s="976" t="s">
        <v>28</v>
      </c>
      <c r="H39" s="976"/>
      <c r="I39" s="976"/>
      <c r="J39" s="976"/>
      <c r="K39" s="976"/>
      <c r="L39" s="976"/>
      <c r="M39" s="976"/>
      <c r="N39" s="979">
        <v>1450000</v>
      </c>
      <c r="O39" s="979"/>
      <c r="P39" s="979"/>
      <c r="Q39" s="979"/>
      <c r="R39" s="979"/>
      <c r="S39" s="979"/>
      <c r="T39" s="979">
        <v>1450000</v>
      </c>
      <c r="U39" s="979"/>
      <c r="V39" s="979"/>
      <c r="W39" s="979"/>
      <c r="X39" s="979"/>
      <c r="Y39" s="979"/>
      <c r="Z39" s="975">
        <v>4368000</v>
      </c>
      <c r="AA39" s="975"/>
      <c r="AB39" s="975"/>
      <c r="AC39" s="975"/>
      <c r="AD39" s="975"/>
      <c r="AE39" s="975"/>
      <c r="AF39" s="977">
        <f>Z39*10%</f>
        <v>436800</v>
      </c>
      <c r="AG39" s="977"/>
      <c r="AH39" s="977"/>
      <c r="AI39" s="977"/>
      <c r="AJ39" s="977"/>
      <c r="AK39" s="977"/>
      <c r="AL39" s="975">
        <f t="shared" ref="AL39:AL40" si="31">Z39+AF39</f>
        <v>4804800</v>
      </c>
      <c r="AM39" s="975"/>
      <c r="AN39" s="975"/>
      <c r="AO39" s="975"/>
      <c r="AP39" s="975"/>
      <c r="AQ39" s="975"/>
      <c r="AR39" s="674">
        <f>AL39*10%</f>
        <v>480480</v>
      </c>
      <c r="AS39" s="762">
        <v>0</v>
      </c>
      <c r="AT39" s="767">
        <f t="shared" ref="AT39:AT48" si="32">AL39-AR39-AS39</f>
        <v>4324320</v>
      </c>
      <c r="AU39" s="715"/>
      <c r="AV39" s="674"/>
      <c r="AW39" s="993">
        <f>+Z9</f>
        <v>89857.370900000009</v>
      </c>
      <c r="AX39" s="993"/>
      <c r="AY39" s="993"/>
      <c r="AZ39" s="993"/>
      <c r="BA39" s="147" t="s">
        <v>76</v>
      </c>
      <c r="BB39" s="147" t="s">
        <v>0</v>
      </c>
      <c r="BC39" s="1001">
        <v>80</v>
      </c>
      <c r="BD39" s="1001"/>
      <c r="BE39" s="1001"/>
      <c r="BF39" s="982" t="s">
        <v>21</v>
      </c>
      <c r="BG39" s="982"/>
      <c r="BH39" s="35"/>
      <c r="BI39" s="35"/>
      <c r="BJ39" s="35"/>
      <c r="BK39" s="35"/>
      <c r="BL39" s="35"/>
      <c r="BM39" s="1331"/>
      <c r="BN39" s="1332"/>
      <c r="BO39" s="1332"/>
      <c r="BP39" s="1332"/>
      <c r="BQ39" s="1332"/>
      <c r="BR39" s="1332"/>
      <c r="BS39" s="1333"/>
      <c r="BT39" s="970">
        <f>AL39/$AL$23</f>
        <v>5.2392414435349444E-3</v>
      </c>
      <c r="BU39" s="971"/>
      <c r="BV39" s="880">
        <f t="shared" si="13"/>
        <v>4.7859965645578682E-3</v>
      </c>
      <c r="BW39" s="436"/>
      <c r="BX39" s="436"/>
      <c r="BY39" s="127" t="str">
        <f>G39</f>
        <v>설계비</v>
      </c>
      <c r="CA39" s="335" t="s">
        <v>209</v>
      </c>
      <c r="CB39" s="336">
        <f>IF($CA39=$CA$21, $CB$21, IF($CA39=$CA$20,$CB$20, ))</f>
        <v>2.2417360772654217E-3</v>
      </c>
      <c r="CC39" s="324">
        <f>AF39</f>
        <v>436800</v>
      </c>
      <c r="CD39" s="324">
        <f>CC39-CE39</f>
        <v>435820.80968145048</v>
      </c>
      <c r="CE39" s="337">
        <f>CC39*CB39</f>
        <v>979.19031854953619</v>
      </c>
    </row>
    <row r="40" spans="1:85" s="25" customFormat="1" ht="20.25" customHeight="1">
      <c r="A40" s="1200"/>
      <c r="B40" s="1211"/>
      <c r="C40" s="1210"/>
      <c r="D40" s="1210"/>
      <c r="E40" s="1210"/>
      <c r="F40" s="1210"/>
      <c r="G40" s="976" t="s">
        <v>329</v>
      </c>
      <c r="H40" s="976"/>
      <c r="I40" s="976"/>
      <c r="J40" s="976"/>
      <c r="K40" s="976"/>
      <c r="L40" s="976"/>
      <c r="M40" s="976"/>
      <c r="N40" s="979">
        <v>2538293</v>
      </c>
      <c r="O40" s="979"/>
      <c r="P40" s="979"/>
      <c r="Q40" s="979"/>
      <c r="R40" s="979"/>
      <c r="S40" s="979"/>
      <c r="T40" s="979">
        <f>Z40</f>
        <v>9884310.7990000006</v>
      </c>
      <c r="U40" s="979"/>
      <c r="V40" s="979"/>
      <c r="W40" s="979"/>
      <c r="X40" s="979"/>
      <c r="Y40" s="979"/>
      <c r="Z40" s="975">
        <f>AW40*BC40</f>
        <v>9884310.7990000006</v>
      </c>
      <c r="AA40" s="975"/>
      <c r="AB40" s="975"/>
      <c r="AC40" s="975"/>
      <c r="AD40" s="975"/>
      <c r="AE40" s="975"/>
      <c r="AF40" s="977">
        <f>Z40*0.1</f>
        <v>988431.07990000013</v>
      </c>
      <c r="AG40" s="977"/>
      <c r="AH40" s="977"/>
      <c r="AI40" s="977"/>
      <c r="AJ40" s="977"/>
      <c r="AK40" s="977"/>
      <c r="AL40" s="975">
        <f t="shared" si="31"/>
        <v>10872741.878900001</v>
      </c>
      <c r="AM40" s="975"/>
      <c r="AN40" s="975"/>
      <c r="AO40" s="975"/>
      <c r="AP40" s="975"/>
      <c r="AQ40" s="975"/>
      <c r="AR40" s="674"/>
      <c r="AS40" s="762">
        <f>현금흐름표!Y60</f>
        <v>0</v>
      </c>
      <c r="AT40" s="767">
        <f>AL40-AU40</f>
        <v>9785467.6910100002</v>
      </c>
      <c r="AU40" s="715">
        <f>AL40*10%</f>
        <v>1087274.1878900002</v>
      </c>
      <c r="AV40" s="674"/>
      <c r="AW40" s="980">
        <f>+Z9</f>
        <v>89857.370900000009</v>
      </c>
      <c r="AX40" s="980"/>
      <c r="AY40" s="980"/>
      <c r="AZ40" s="980"/>
      <c r="BA40" s="146" t="s">
        <v>76</v>
      </c>
      <c r="BB40" s="146" t="s">
        <v>0</v>
      </c>
      <c r="BC40" s="973">
        <v>110</v>
      </c>
      <c r="BD40" s="973"/>
      <c r="BE40" s="973"/>
      <c r="BF40" s="950" t="s">
        <v>21</v>
      </c>
      <c r="BG40" s="950"/>
      <c r="BH40" s="148"/>
      <c r="BI40" s="148"/>
      <c r="BJ40" s="148"/>
      <c r="BK40" s="148"/>
      <c r="BL40" s="148"/>
      <c r="BM40" s="951"/>
      <c r="BN40" s="952"/>
      <c r="BO40" s="952"/>
      <c r="BP40" s="952"/>
      <c r="BQ40" s="952"/>
      <c r="BR40" s="952"/>
      <c r="BS40" s="953"/>
      <c r="BT40" s="942">
        <f>AL40/$AL$23</f>
        <v>1.1855835801030404E-2</v>
      </c>
      <c r="BU40" s="943"/>
      <c r="BV40" s="880">
        <f t="shared" si="13"/>
        <v>1.08301917415376E-2</v>
      </c>
      <c r="BW40" s="436"/>
      <c r="BX40" s="436"/>
      <c r="BY40" s="127" t="str">
        <f>G40</f>
        <v>감리비</v>
      </c>
      <c r="CA40" s="335" t="s">
        <v>209</v>
      </c>
      <c r="CB40" s="336">
        <f>IF($CA40=$CA$21, $CB$21, IF($CA40=$CA$20,$CB$20, ))</f>
        <v>2.2417360772654217E-3</v>
      </c>
      <c r="CC40" s="324">
        <f>AF40</f>
        <v>988431.07990000013</v>
      </c>
      <c r="CD40" s="324">
        <f>CC40-CE40</f>
        <v>986215.27828829782</v>
      </c>
      <c r="CE40" s="337">
        <f>CC40*CB40</f>
        <v>2215.8016117022507</v>
      </c>
    </row>
    <row r="41" spans="1:85" s="25" customFormat="1" ht="20.25" hidden="1" customHeight="1">
      <c r="A41" s="1200"/>
      <c r="B41" s="1211"/>
      <c r="C41" s="1210"/>
      <c r="D41" s="1210"/>
      <c r="E41" s="1210"/>
      <c r="F41" s="1210"/>
      <c r="G41" s="976" t="s">
        <v>397</v>
      </c>
      <c r="H41" s="976"/>
      <c r="I41" s="976"/>
      <c r="J41" s="976"/>
      <c r="K41" s="976"/>
      <c r="L41" s="976"/>
      <c r="M41" s="976"/>
      <c r="N41" s="979">
        <v>96941</v>
      </c>
      <c r="O41" s="979"/>
      <c r="P41" s="979"/>
      <c r="Q41" s="979"/>
      <c r="R41" s="979"/>
      <c r="S41" s="979"/>
      <c r="T41" s="979">
        <f>Z41</f>
        <v>0</v>
      </c>
      <c r="U41" s="979"/>
      <c r="V41" s="979"/>
      <c r="W41" s="979"/>
      <c r="X41" s="979"/>
      <c r="Y41" s="979"/>
      <c r="Z41" s="975"/>
      <c r="AA41" s="975"/>
      <c r="AB41" s="975"/>
      <c r="AC41" s="975"/>
      <c r="AD41" s="975"/>
      <c r="AE41" s="975"/>
      <c r="AF41" s="977"/>
      <c r="AG41" s="977"/>
      <c r="AH41" s="977"/>
      <c r="AI41" s="977"/>
      <c r="AJ41" s="977"/>
      <c r="AK41" s="977"/>
      <c r="AL41" s="975"/>
      <c r="AM41" s="975"/>
      <c r="AN41" s="975"/>
      <c r="AO41" s="975"/>
      <c r="AP41" s="975"/>
      <c r="AQ41" s="975"/>
      <c r="AR41" s="674"/>
      <c r="AS41" s="762">
        <v>0</v>
      </c>
      <c r="AT41" s="767">
        <f t="shared" si="32"/>
        <v>0</v>
      </c>
      <c r="AU41" s="715"/>
      <c r="AV41" s="674"/>
      <c r="AW41" s="980"/>
      <c r="AX41" s="980"/>
      <c r="AY41" s="980"/>
      <c r="AZ41" s="980"/>
      <c r="BA41" s="586"/>
      <c r="BB41" s="586"/>
      <c r="BC41" s="973"/>
      <c r="BD41" s="973"/>
      <c r="BE41" s="973"/>
      <c r="BF41" s="950"/>
      <c r="BG41" s="950"/>
      <c r="BH41" s="587"/>
      <c r="BI41" s="587"/>
      <c r="BJ41" s="587"/>
      <c r="BK41" s="587"/>
      <c r="BL41" s="587"/>
      <c r="BM41" s="1027"/>
      <c r="BN41" s="949"/>
      <c r="BO41" s="949"/>
      <c r="BP41" s="949"/>
      <c r="BQ41" s="949"/>
      <c r="BR41" s="949"/>
      <c r="BS41" s="1039"/>
      <c r="BT41" s="942">
        <f t="shared" ref="BT41:BT42" si="33">AL41/$AL$23</f>
        <v>0</v>
      </c>
      <c r="BU41" s="943"/>
      <c r="BV41" s="880">
        <f t="shared" si="13"/>
        <v>0</v>
      </c>
      <c r="BW41" s="436"/>
      <c r="BX41" s="436"/>
      <c r="BY41" s="127" t="str">
        <f>G41</f>
        <v>미매입 토지 용역비</v>
      </c>
      <c r="CA41" s="335" t="s">
        <v>210</v>
      </c>
      <c r="CB41" s="336">
        <f>IF($CA41=$CA$21, $CB$21, IF($CA41=$CA$20,$CB$20, ))</f>
        <v>2.2417360772654217E-3</v>
      </c>
      <c r="CC41" s="324">
        <f>AF41</f>
        <v>0</v>
      </c>
      <c r="CD41" s="324">
        <f>CC41-CE41</f>
        <v>0</v>
      </c>
      <c r="CE41" s="337">
        <f>CC41*CB41</f>
        <v>0</v>
      </c>
    </row>
    <row r="42" spans="1:85" s="25" customFormat="1" ht="20.25" customHeight="1">
      <c r="A42" s="1200"/>
      <c r="B42" s="1209"/>
      <c r="C42" s="1210"/>
      <c r="D42" s="1210"/>
      <c r="E42" s="1210"/>
      <c r="F42" s="1210"/>
      <c r="G42" s="1140" t="s">
        <v>396</v>
      </c>
      <c r="H42" s="1140"/>
      <c r="I42" s="1140"/>
      <c r="J42" s="1140"/>
      <c r="K42" s="1140"/>
      <c r="L42" s="1140"/>
      <c r="M42" s="1140"/>
      <c r="N42" s="979"/>
      <c r="O42" s="979"/>
      <c r="P42" s="979"/>
      <c r="Q42" s="979"/>
      <c r="R42" s="979"/>
      <c r="S42" s="979"/>
      <c r="T42" s="979"/>
      <c r="U42" s="979"/>
      <c r="V42" s="979"/>
      <c r="W42" s="979"/>
      <c r="X42" s="979"/>
      <c r="Y42" s="979"/>
      <c r="Z42" s="975">
        <v>1750000</v>
      </c>
      <c r="AA42" s="975"/>
      <c r="AB42" s="975"/>
      <c r="AC42" s="975"/>
      <c r="AD42" s="975"/>
      <c r="AE42" s="975"/>
      <c r="AF42" s="975">
        <f>Z42*10%</f>
        <v>175000</v>
      </c>
      <c r="AG42" s="975"/>
      <c r="AH42" s="975"/>
      <c r="AI42" s="975"/>
      <c r="AJ42" s="975"/>
      <c r="AK42" s="975"/>
      <c r="AL42" s="975">
        <f t="shared" ref="AL42" si="34">Z42+AF42</f>
        <v>1925000</v>
      </c>
      <c r="AM42" s="975"/>
      <c r="AN42" s="975"/>
      <c r="AO42" s="975"/>
      <c r="AP42" s="975"/>
      <c r="AQ42" s="975"/>
      <c r="AR42" s="703">
        <v>660000</v>
      </c>
      <c r="AS42" s="762">
        <v>0</v>
      </c>
      <c r="AT42" s="767">
        <f t="shared" si="32"/>
        <v>1265000</v>
      </c>
      <c r="AU42" s="715"/>
      <c r="AV42" s="674"/>
      <c r="AW42" s="980"/>
      <c r="AX42" s="980"/>
      <c r="AY42" s="980"/>
      <c r="AZ42" s="980"/>
      <c r="BA42" s="586"/>
      <c r="BB42" s="586"/>
      <c r="BC42" s="973"/>
      <c r="BD42" s="973"/>
      <c r="BE42" s="973"/>
      <c r="BF42" s="950"/>
      <c r="BG42" s="950"/>
      <c r="BH42" s="587"/>
      <c r="BI42" s="587"/>
      <c r="BJ42" s="587"/>
      <c r="BK42" s="587"/>
      <c r="BL42" s="587"/>
      <c r="BM42" s="990"/>
      <c r="BN42" s="991"/>
      <c r="BO42" s="991"/>
      <c r="BP42" s="991"/>
      <c r="BQ42" s="991"/>
      <c r="BR42" s="991"/>
      <c r="BS42" s="992"/>
      <c r="BT42" s="963">
        <f t="shared" si="33"/>
        <v>2.0990550655188077E-3</v>
      </c>
      <c r="BU42" s="964"/>
      <c r="BV42" s="880">
        <f t="shared" si="13"/>
        <v>1.9174665723388894E-3</v>
      </c>
      <c r="BW42" s="436"/>
      <c r="BX42" s="436"/>
      <c r="BY42" s="127" t="str">
        <f>G42</f>
        <v>지구단위 용역비</v>
      </c>
      <c r="CA42" s="335" t="s">
        <v>207</v>
      </c>
      <c r="CB42" s="336">
        <f>IF($CA42=$CA$21, $CB$21, IF($CA42=$CA$20,$CB$20, ))</f>
        <v>1.7933888618123376E-3</v>
      </c>
      <c r="CC42" s="324">
        <f>AF42</f>
        <v>175000</v>
      </c>
      <c r="CD42" s="324">
        <f t="shared" ref="CD42" si="35">CC42-CE42</f>
        <v>174686.15694918283</v>
      </c>
      <c r="CE42" s="337">
        <f t="shared" ref="CE42" si="36">CC42*CB42</f>
        <v>313.84305081715905</v>
      </c>
    </row>
    <row r="43" spans="1:85" ht="20.25" customHeight="1">
      <c r="A43" s="1200"/>
      <c r="B43" s="1212"/>
      <c r="C43" s="1213"/>
      <c r="D43" s="1213"/>
      <c r="E43" s="1213"/>
      <c r="F43" s="1281"/>
      <c r="G43" s="979" t="s">
        <v>53</v>
      </c>
      <c r="H43" s="979"/>
      <c r="I43" s="979"/>
      <c r="J43" s="979"/>
      <c r="K43" s="979"/>
      <c r="L43" s="979"/>
      <c r="M43" s="979"/>
      <c r="N43" s="1018">
        <f>SUM(N39:S41)</f>
        <v>4085234</v>
      </c>
      <c r="O43" s="1018"/>
      <c r="P43" s="1018"/>
      <c r="Q43" s="1018"/>
      <c r="R43" s="1018"/>
      <c r="S43" s="1018"/>
      <c r="T43" s="1018">
        <f>SUM(T39:Y41)</f>
        <v>11334310.799000001</v>
      </c>
      <c r="U43" s="1018"/>
      <c r="V43" s="1018"/>
      <c r="W43" s="1018"/>
      <c r="X43" s="1018"/>
      <c r="Y43" s="1018"/>
      <c r="Z43" s="1003">
        <f>SUM(Z39:AE42)</f>
        <v>16002310.799000001</v>
      </c>
      <c r="AA43" s="1003"/>
      <c r="AB43" s="1003"/>
      <c r="AC43" s="1003"/>
      <c r="AD43" s="1003"/>
      <c r="AE43" s="1003"/>
      <c r="AF43" s="1003">
        <f>SUM(AF39:AK42)</f>
        <v>1600231.0799000002</v>
      </c>
      <c r="AG43" s="1003"/>
      <c r="AH43" s="1003"/>
      <c r="AI43" s="1003"/>
      <c r="AJ43" s="1003"/>
      <c r="AK43" s="1003"/>
      <c r="AL43" s="1453">
        <f>SUM(AL39:AQ42)</f>
        <v>17602541.878899999</v>
      </c>
      <c r="AM43" s="1453"/>
      <c r="AN43" s="1453"/>
      <c r="AO43" s="1453"/>
      <c r="AP43" s="1453"/>
      <c r="AQ43" s="1453"/>
      <c r="AR43" s="673">
        <f>SUM(AR39:AR42)</f>
        <v>1140480</v>
      </c>
      <c r="AS43" s="763">
        <f>SUM(AS39:AS42)</f>
        <v>0</v>
      </c>
      <c r="AT43" s="722">
        <f>SUM(AT39:AT42)</f>
        <v>15374787.69101</v>
      </c>
      <c r="AU43" s="672"/>
      <c r="AV43" s="673"/>
      <c r="AW43" s="316"/>
      <c r="AX43" s="27"/>
      <c r="AY43" s="28"/>
      <c r="AZ43" s="28"/>
      <c r="BA43" s="29"/>
      <c r="BB43" s="27"/>
      <c r="BC43" s="27"/>
      <c r="BD43" s="27"/>
      <c r="BE43" s="27"/>
      <c r="BF43" s="29"/>
      <c r="BG43" s="27"/>
      <c r="BH43" s="27"/>
      <c r="BI43" s="27"/>
      <c r="BJ43" s="27"/>
      <c r="BK43" s="27"/>
      <c r="BL43" s="27"/>
      <c r="BM43" s="1187"/>
      <c r="BN43" s="1188"/>
      <c r="BO43" s="1188"/>
      <c r="BP43" s="1188"/>
      <c r="BQ43" s="1188"/>
      <c r="BR43" s="1188"/>
      <c r="BS43" s="1189"/>
      <c r="BT43" s="947">
        <f t="shared" ref="BT43:BT55" si="37">AL43/$AL$23</f>
        <v>1.9194132310084155E-2</v>
      </c>
      <c r="BU43" s="948"/>
      <c r="BV43" s="880">
        <f t="shared" si="13"/>
        <v>1.7533654878434359E-2</v>
      </c>
      <c r="BW43" s="436"/>
      <c r="BX43" s="436"/>
      <c r="BY43" s="127"/>
      <c r="CA43" s="338"/>
      <c r="CB43" s="339"/>
      <c r="CC43" s="325" t="b">
        <f>SUM(CC39:CC42)=AF43</f>
        <v>1</v>
      </c>
      <c r="CD43" s="325"/>
      <c r="CE43" s="340"/>
    </row>
    <row r="44" spans="1:85" s="25" customFormat="1" ht="20.25" customHeight="1">
      <c r="A44" s="1200"/>
      <c r="B44" s="1018" t="s">
        <v>10</v>
      </c>
      <c r="C44" s="1018"/>
      <c r="D44" s="1018"/>
      <c r="E44" s="1018"/>
      <c r="F44" s="1270"/>
      <c r="G44" s="976" t="s">
        <v>281</v>
      </c>
      <c r="H44" s="976"/>
      <c r="I44" s="976"/>
      <c r="J44" s="976"/>
      <c r="K44" s="976"/>
      <c r="L44" s="976"/>
      <c r="M44" s="976"/>
      <c r="N44" s="979"/>
      <c r="O44" s="979"/>
      <c r="P44" s="979"/>
      <c r="Q44" s="979"/>
      <c r="R44" s="979"/>
      <c r="S44" s="979"/>
      <c r="T44" s="979"/>
      <c r="U44" s="979"/>
      <c r="V44" s="979"/>
      <c r="W44" s="979"/>
      <c r="X44" s="979"/>
      <c r="Y44" s="979"/>
      <c r="Z44" s="975">
        <f>AW44*BC44</f>
        <v>720000</v>
      </c>
      <c r="AA44" s="975"/>
      <c r="AB44" s="975"/>
      <c r="AC44" s="975"/>
      <c r="AD44" s="975"/>
      <c r="AE44" s="975"/>
      <c r="AF44" s="977">
        <f>Z44*0.1</f>
        <v>72000</v>
      </c>
      <c r="AG44" s="977"/>
      <c r="AH44" s="977"/>
      <c r="AI44" s="977"/>
      <c r="AJ44" s="977"/>
      <c r="AK44" s="977"/>
      <c r="AL44" s="977">
        <f>Z44+AF44</f>
        <v>792000</v>
      </c>
      <c r="AM44" s="977"/>
      <c r="AN44" s="977"/>
      <c r="AO44" s="977"/>
      <c r="AP44" s="977"/>
      <c r="AQ44" s="977"/>
      <c r="AR44" s="674">
        <v>0</v>
      </c>
      <c r="AS44" s="762">
        <v>0</v>
      </c>
      <c r="AT44" s="766">
        <f t="shared" si="32"/>
        <v>792000</v>
      </c>
      <c r="AU44" s="667"/>
      <c r="AV44" s="703"/>
      <c r="AW44" s="949">
        <v>24</v>
      </c>
      <c r="AX44" s="949"/>
      <c r="AY44" s="949"/>
      <c r="AZ44" s="949" t="s">
        <v>29</v>
      </c>
      <c r="BA44" s="949"/>
      <c r="BB44" s="440" t="s">
        <v>0</v>
      </c>
      <c r="BC44" s="1001">
        <v>30000</v>
      </c>
      <c r="BD44" s="1001"/>
      <c r="BE44" s="1001"/>
      <c r="BF44" s="982" t="s">
        <v>21</v>
      </c>
      <c r="BG44" s="982"/>
      <c r="BH44" s="445"/>
      <c r="BI44" s="445"/>
      <c r="BJ44" s="445"/>
      <c r="BK44" s="445"/>
      <c r="BL44" s="445"/>
      <c r="BM44" s="995"/>
      <c r="BN44" s="996"/>
      <c r="BO44" s="996"/>
      <c r="BP44" s="996"/>
      <c r="BQ44" s="996"/>
      <c r="BR44" s="996"/>
      <c r="BS44" s="997"/>
      <c r="BT44" s="970">
        <f t="shared" si="37"/>
        <v>8.6361122695630956E-4</v>
      </c>
      <c r="BU44" s="971"/>
      <c r="BV44" s="880">
        <f t="shared" si="13"/>
        <v>7.8890053261942874E-4</v>
      </c>
      <c r="BW44" s="436"/>
      <c r="BX44" s="436"/>
      <c r="BY44" s="127" t="str">
        <f>G44</f>
        <v>M/H부지임차비</v>
      </c>
      <c r="CA44" s="335" t="s">
        <v>207</v>
      </c>
      <c r="CB44" s="336">
        <f>IF($CA44=$CA$21, $CB$21, IF($CA44=$CA$20,$CB$20, ))</f>
        <v>1.7933888618123376E-3</v>
      </c>
      <c r="CC44" s="324">
        <f>AF44</f>
        <v>72000</v>
      </c>
      <c r="CD44" s="324">
        <f t="shared" ref="CD44:CD50" si="38">CC44-CE44</f>
        <v>71870.876001949509</v>
      </c>
      <c r="CE44" s="337">
        <f t="shared" ref="CE44:CE50" si="39">CC44*CB44</f>
        <v>129.1239980504883</v>
      </c>
    </row>
    <row r="45" spans="1:85" s="25" customFormat="1" ht="20.25" customHeight="1">
      <c r="A45" s="1200"/>
      <c r="B45" s="1018"/>
      <c r="C45" s="1018"/>
      <c r="D45" s="1018"/>
      <c r="E45" s="1018"/>
      <c r="F45" s="1270"/>
      <c r="G45" s="976" t="s">
        <v>324</v>
      </c>
      <c r="H45" s="976"/>
      <c r="I45" s="976"/>
      <c r="J45" s="976"/>
      <c r="K45" s="976"/>
      <c r="L45" s="976"/>
      <c r="M45" s="976"/>
      <c r="N45" s="979"/>
      <c r="O45" s="979"/>
      <c r="P45" s="979"/>
      <c r="Q45" s="979"/>
      <c r="R45" s="979"/>
      <c r="S45" s="979"/>
      <c r="T45" s="979"/>
      <c r="U45" s="979"/>
      <c r="V45" s="979"/>
      <c r="W45" s="979"/>
      <c r="X45" s="979"/>
      <c r="Y45" s="979"/>
      <c r="Z45" s="975">
        <f>AW45*BC45</f>
        <v>1650000</v>
      </c>
      <c r="AA45" s="975"/>
      <c r="AB45" s="975"/>
      <c r="AC45" s="975"/>
      <c r="AD45" s="975"/>
      <c r="AE45" s="975"/>
      <c r="AF45" s="977">
        <f t="shared" ref="AF45:AF50" si="40">Z45*0.1</f>
        <v>165000</v>
      </c>
      <c r="AG45" s="977"/>
      <c r="AH45" s="977"/>
      <c r="AI45" s="977"/>
      <c r="AJ45" s="977"/>
      <c r="AK45" s="977"/>
      <c r="AL45" s="977">
        <f t="shared" ref="AL45:AL49" si="41">Z45+AF45</f>
        <v>1815000</v>
      </c>
      <c r="AM45" s="977"/>
      <c r="AN45" s="977"/>
      <c r="AO45" s="977"/>
      <c r="AP45" s="977"/>
      <c r="AQ45" s="977"/>
      <c r="AR45" s="674">
        <v>0</v>
      </c>
      <c r="AS45" s="762">
        <v>0</v>
      </c>
      <c r="AT45" s="766">
        <f>AL45*10%</f>
        <v>181500</v>
      </c>
      <c r="AU45" s="783">
        <f>AL45-AT45</f>
        <v>1633500</v>
      </c>
      <c r="AV45" s="703"/>
      <c r="AW45" s="949">
        <v>300</v>
      </c>
      <c r="AX45" s="949"/>
      <c r="AY45" s="949"/>
      <c r="AZ45" s="949" t="s">
        <v>115</v>
      </c>
      <c r="BA45" s="949"/>
      <c r="BB45" s="440" t="s">
        <v>0</v>
      </c>
      <c r="BC45" s="973">
        <v>5500</v>
      </c>
      <c r="BD45" s="973"/>
      <c r="BE45" s="973"/>
      <c r="BF45" s="950" t="s">
        <v>21</v>
      </c>
      <c r="BG45" s="950"/>
      <c r="BH45" s="441"/>
      <c r="BI45" s="441"/>
      <c r="BJ45" s="441"/>
      <c r="BK45" s="441"/>
      <c r="BL45" s="441"/>
      <c r="BM45" s="955"/>
      <c r="BN45" s="956"/>
      <c r="BO45" s="956"/>
      <c r="BP45" s="956"/>
      <c r="BQ45" s="956"/>
      <c r="BR45" s="956"/>
      <c r="BS45" s="957"/>
      <c r="BT45" s="942">
        <f t="shared" si="37"/>
        <v>1.9791090617748762E-3</v>
      </c>
      <c r="BU45" s="943"/>
      <c r="BV45" s="880">
        <f t="shared" si="13"/>
        <v>1.8078970539195244E-3</v>
      </c>
      <c r="BW45" s="444"/>
      <c r="BX45" s="444"/>
      <c r="BY45" s="127" t="str">
        <f t="shared" ref="BY45:BY49" si="42">G45</f>
        <v>M/H건립비</v>
      </c>
      <c r="CA45" s="335" t="s">
        <v>207</v>
      </c>
      <c r="CB45" s="336">
        <f t="shared" ref="CB45:CB49" si="43">IF($CA45=$CA$21, $CB$21, IF($CA45=$CA$20,$CB$20, ))</f>
        <v>1.7933888618123376E-3</v>
      </c>
      <c r="CC45" s="324">
        <f t="shared" ref="CC45:CC49" si="44">AF45</f>
        <v>165000</v>
      </c>
      <c r="CD45" s="324">
        <f t="shared" ref="CD45:CD49" si="45">CC45-CE45</f>
        <v>164704.09083780096</v>
      </c>
      <c r="CE45" s="337">
        <f t="shared" ref="CE45:CE49" si="46">CC45*CB45</f>
        <v>295.90916219903568</v>
      </c>
    </row>
    <row r="46" spans="1:85" s="25" customFormat="1" ht="20.25" customHeight="1">
      <c r="A46" s="1200"/>
      <c r="B46" s="1018"/>
      <c r="C46" s="1018"/>
      <c r="D46" s="1018"/>
      <c r="E46" s="1018"/>
      <c r="F46" s="1270"/>
      <c r="G46" s="976" t="s">
        <v>282</v>
      </c>
      <c r="H46" s="976"/>
      <c r="I46" s="976"/>
      <c r="J46" s="976"/>
      <c r="K46" s="976"/>
      <c r="L46" s="976"/>
      <c r="M46" s="976"/>
      <c r="N46" s="979"/>
      <c r="O46" s="979"/>
      <c r="P46" s="979"/>
      <c r="Q46" s="979"/>
      <c r="R46" s="979"/>
      <c r="S46" s="979"/>
      <c r="T46" s="979"/>
      <c r="U46" s="979"/>
      <c r="V46" s="979"/>
      <c r="W46" s="979"/>
      <c r="X46" s="979"/>
      <c r="Y46" s="979"/>
      <c r="Z46" s="975">
        <f>AW46*BC46</f>
        <v>630000</v>
      </c>
      <c r="AA46" s="975"/>
      <c r="AB46" s="975"/>
      <c r="AC46" s="975"/>
      <c r="AD46" s="975"/>
      <c r="AE46" s="975"/>
      <c r="AF46" s="977">
        <f t="shared" si="40"/>
        <v>63000</v>
      </c>
      <c r="AG46" s="977"/>
      <c r="AH46" s="977"/>
      <c r="AI46" s="977"/>
      <c r="AJ46" s="977"/>
      <c r="AK46" s="977"/>
      <c r="AL46" s="977">
        <f t="shared" si="41"/>
        <v>693000</v>
      </c>
      <c r="AM46" s="977"/>
      <c r="AN46" s="977"/>
      <c r="AO46" s="977"/>
      <c r="AP46" s="977"/>
      <c r="AQ46" s="977"/>
      <c r="AR46" s="674"/>
      <c r="AS46" s="762"/>
      <c r="AT46" s="766">
        <f>AL46/2</f>
        <v>346500</v>
      </c>
      <c r="AU46" s="667">
        <f>AL46-AT46</f>
        <v>346500</v>
      </c>
      <c r="AV46" s="703" t="s">
        <v>392</v>
      </c>
      <c r="AW46" s="949">
        <v>21</v>
      </c>
      <c r="AX46" s="949"/>
      <c r="AY46" s="949"/>
      <c r="AZ46" s="949" t="s">
        <v>34</v>
      </c>
      <c r="BA46" s="949"/>
      <c r="BB46" s="443" t="s">
        <v>0</v>
      </c>
      <c r="BC46" s="973">
        <v>30000</v>
      </c>
      <c r="BD46" s="973"/>
      <c r="BE46" s="973"/>
      <c r="BF46" s="969" t="s">
        <v>21</v>
      </c>
      <c r="BG46" s="969"/>
      <c r="BH46" s="302"/>
      <c r="BI46" s="302"/>
      <c r="BJ46" s="302"/>
      <c r="BK46" s="302"/>
      <c r="BL46" s="302"/>
      <c r="BM46" s="955"/>
      <c r="BN46" s="956"/>
      <c r="BO46" s="956"/>
      <c r="BP46" s="956"/>
      <c r="BQ46" s="956"/>
      <c r="BR46" s="956"/>
      <c r="BS46" s="957"/>
      <c r="BT46" s="942">
        <f t="shared" si="37"/>
        <v>7.5565982358677083E-4</v>
      </c>
      <c r="BU46" s="943"/>
      <c r="BV46" s="880">
        <f t="shared" si="13"/>
        <v>6.9028796604200023E-4</v>
      </c>
      <c r="BW46" s="444"/>
      <c r="BX46" s="444"/>
      <c r="BY46" s="127" t="str">
        <f t="shared" si="42"/>
        <v>M/H운영비</v>
      </c>
      <c r="CA46" s="335" t="s">
        <v>207</v>
      </c>
      <c r="CB46" s="336">
        <f t="shared" si="43"/>
        <v>1.7933888618123376E-3</v>
      </c>
      <c r="CC46" s="324">
        <f t="shared" si="44"/>
        <v>63000</v>
      </c>
      <c r="CD46" s="324">
        <f t="shared" si="45"/>
        <v>62887.016501705824</v>
      </c>
      <c r="CE46" s="337">
        <f t="shared" si="46"/>
        <v>112.98349829417727</v>
      </c>
    </row>
    <row r="47" spans="1:85" s="25" customFormat="1" ht="20.25" customHeight="1">
      <c r="A47" s="1200"/>
      <c r="B47" s="1018"/>
      <c r="C47" s="1018"/>
      <c r="D47" s="1018"/>
      <c r="E47" s="1018"/>
      <c r="F47" s="1270"/>
      <c r="G47" s="976" t="s">
        <v>288</v>
      </c>
      <c r="H47" s="976"/>
      <c r="I47" s="976"/>
      <c r="J47" s="976"/>
      <c r="K47" s="976"/>
      <c r="L47" s="976"/>
      <c r="M47" s="976"/>
      <c r="N47" s="979"/>
      <c r="O47" s="979"/>
      <c r="P47" s="979"/>
      <c r="Q47" s="979"/>
      <c r="R47" s="979"/>
      <c r="S47" s="979"/>
      <c r="T47" s="979"/>
      <c r="U47" s="979"/>
      <c r="V47" s="979"/>
      <c r="W47" s="979"/>
      <c r="X47" s="979"/>
      <c r="Y47" s="979"/>
      <c r="Z47" s="975">
        <f>AW47*BC47</f>
        <v>9126625.8574999999</v>
      </c>
      <c r="AA47" s="975"/>
      <c r="AB47" s="975"/>
      <c r="AC47" s="975"/>
      <c r="AD47" s="975"/>
      <c r="AE47" s="975"/>
      <c r="AF47" s="977">
        <f t="shared" si="40"/>
        <v>912662.58575000009</v>
      </c>
      <c r="AG47" s="977"/>
      <c r="AH47" s="977"/>
      <c r="AI47" s="977"/>
      <c r="AJ47" s="977"/>
      <c r="AK47" s="977"/>
      <c r="AL47" s="977">
        <f t="shared" ref="AL47" si="47">Z47+AF47</f>
        <v>10039288.44325</v>
      </c>
      <c r="AM47" s="977"/>
      <c r="AN47" s="977"/>
      <c r="AO47" s="977"/>
      <c r="AP47" s="977"/>
      <c r="AQ47" s="977"/>
      <c r="AR47" s="674">
        <v>0</v>
      </c>
      <c r="AS47" s="762">
        <v>0</v>
      </c>
      <c r="AT47" s="766">
        <f>AL47/2</f>
        <v>5019644.2216250002</v>
      </c>
      <c r="AU47" s="667">
        <f>AL47/2</f>
        <v>5019644.2216250002</v>
      </c>
      <c r="AV47" s="703"/>
      <c r="AW47" s="1021">
        <f>Z23</f>
        <v>912662585.74999988</v>
      </c>
      <c r="AX47" s="1021"/>
      <c r="AY47" s="1021"/>
      <c r="AZ47" s="949" t="s">
        <v>193</v>
      </c>
      <c r="BA47" s="949"/>
      <c r="BB47" s="440" t="s">
        <v>0</v>
      </c>
      <c r="BC47" s="994">
        <v>0.01</v>
      </c>
      <c r="BD47" s="994"/>
      <c r="BE47" s="994"/>
      <c r="BF47" s="440"/>
      <c r="BG47" s="441"/>
      <c r="BH47" s="441"/>
      <c r="BI47" s="441"/>
      <c r="BJ47" s="441"/>
      <c r="BK47" s="441"/>
      <c r="BL47" s="442"/>
      <c r="BM47" s="955"/>
      <c r="BN47" s="956"/>
      <c r="BO47" s="956"/>
      <c r="BP47" s="956"/>
      <c r="BQ47" s="956"/>
      <c r="BR47" s="956"/>
      <c r="BS47" s="957"/>
      <c r="BT47" s="942">
        <f t="shared" ref="BT47" si="48">AL47/$AL$23</f>
        <v>1.0947022992731606E-2</v>
      </c>
      <c r="BU47" s="943"/>
      <c r="BV47" s="880">
        <f t="shared" si="13"/>
        <v>1.0000000000000002E-2</v>
      </c>
      <c r="BW47" s="444"/>
      <c r="BX47" s="444"/>
      <c r="BY47" s="127" t="str">
        <f t="shared" si="42"/>
        <v>광고홍보비</v>
      </c>
      <c r="CA47" s="335" t="s">
        <v>207</v>
      </c>
      <c r="CB47" s="336">
        <f t="shared" si="43"/>
        <v>1.7933888618123376E-3</v>
      </c>
      <c r="CC47" s="324">
        <f t="shared" si="44"/>
        <v>912662.58575000009</v>
      </c>
      <c r="CD47" s="324">
        <f t="shared" si="45"/>
        <v>911025.82683412323</v>
      </c>
      <c r="CE47" s="337">
        <f t="shared" si="46"/>
        <v>1636.7589158768976</v>
      </c>
    </row>
    <row r="48" spans="1:85" s="25" customFormat="1" ht="20.25" customHeight="1">
      <c r="A48" s="1200"/>
      <c r="B48" s="1018"/>
      <c r="C48" s="1018"/>
      <c r="D48" s="1018"/>
      <c r="E48" s="1018"/>
      <c r="F48" s="1270"/>
      <c r="G48" s="976" t="s">
        <v>283</v>
      </c>
      <c r="H48" s="976"/>
      <c r="I48" s="976"/>
      <c r="J48" s="976"/>
      <c r="K48" s="976"/>
      <c r="L48" s="976"/>
      <c r="M48" s="976"/>
      <c r="N48" s="979"/>
      <c r="O48" s="979"/>
      <c r="P48" s="979"/>
      <c r="Q48" s="979"/>
      <c r="R48" s="979"/>
      <c r="S48" s="979"/>
      <c r="T48" s="979"/>
      <c r="U48" s="979"/>
      <c r="V48" s="979"/>
      <c r="W48" s="979"/>
      <c r="X48" s="979"/>
      <c r="Y48" s="979"/>
      <c r="Z48" s="975">
        <f>AW48*BC48*BI48/12</f>
        <v>3747010.5810958329</v>
      </c>
      <c r="AA48" s="975"/>
      <c r="AB48" s="975"/>
      <c r="AC48" s="975"/>
      <c r="AD48" s="975"/>
      <c r="AE48" s="975"/>
      <c r="AF48" s="977">
        <v>0</v>
      </c>
      <c r="AG48" s="977"/>
      <c r="AH48" s="977"/>
      <c r="AI48" s="977"/>
      <c r="AJ48" s="977"/>
      <c r="AK48" s="977"/>
      <c r="AL48" s="977">
        <f t="shared" si="41"/>
        <v>3747010.5810958329</v>
      </c>
      <c r="AM48" s="977"/>
      <c r="AN48" s="977"/>
      <c r="AO48" s="977"/>
      <c r="AP48" s="977"/>
      <c r="AQ48" s="977"/>
      <c r="AR48" s="674"/>
      <c r="AS48" s="762">
        <v>0</v>
      </c>
      <c r="AT48" s="766">
        <f t="shared" si="32"/>
        <v>3747010.5810958329</v>
      </c>
      <c r="AU48" s="667"/>
      <c r="AV48" s="703"/>
      <c r="AW48" s="1153">
        <f>Z18*70%</f>
        <v>607623337.4749999</v>
      </c>
      <c r="AX48" s="1153"/>
      <c r="AY48" s="1153"/>
      <c r="AZ48" s="978" t="s">
        <v>21</v>
      </c>
      <c r="BA48" s="978"/>
      <c r="BB48" s="550" t="s">
        <v>0</v>
      </c>
      <c r="BC48" s="973">
        <v>37</v>
      </c>
      <c r="BD48" s="973"/>
      <c r="BE48" s="973"/>
      <c r="BF48" s="972" t="s">
        <v>29</v>
      </c>
      <c r="BG48" s="972"/>
      <c r="BH48" s="550" t="s">
        <v>0</v>
      </c>
      <c r="BI48" s="968">
        <v>2E-3</v>
      </c>
      <c r="BJ48" s="949"/>
      <c r="BK48" s="949"/>
      <c r="BL48" s="551"/>
      <c r="BM48" s="955"/>
      <c r="BN48" s="956"/>
      <c r="BO48" s="956"/>
      <c r="BP48" s="956"/>
      <c r="BQ48" s="956"/>
      <c r="BR48" s="956"/>
      <c r="BS48" s="957"/>
      <c r="BT48" s="942">
        <f t="shared" si="37"/>
        <v>4.085808592624301E-3</v>
      </c>
      <c r="BU48" s="943"/>
      <c r="BV48" s="880">
        <f t="shared" si="13"/>
        <v>4.1055814488293579E-3</v>
      </c>
      <c r="BW48" s="444"/>
      <c r="BX48" s="444"/>
      <c r="BY48" s="127" t="str">
        <f t="shared" si="42"/>
        <v>분양보증 수수료</v>
      </c>
      <c r="CA48" s="335" t="s">
        <v>207</v>
      </c>
      <c r="CB48" s="336">
        <f t="shared" si="43"/>
        <v>1.7933888618123376E-3</v>
      </c>
      <c r="CC48" s="324">
        <f t="shared" si="44"/>
        <v>0</v>
      </c>
      <c r="CD48" s="324">
        <f t="shared" si="45"/>
        <v>0</v>
      </c>
      <c r="CE48" s="337">
        <f t="shared" si="46"/>
        <v>0</v>
      </c>
    </row>
    <row r="49" spans="1:83" s="25" customFormat="1" ht="20.25" customHeight="1">
      <c r="A49" s="1200"/>
      <c r="B49" s="1018"/>
      <c r="C49" s="1018"/>
      <c r="D49" s="1018"/>
      <c r="E49" s="1018"/>
      <c r="F49" s="1270"/>
      <c r="G49" s="976" t="s">
        <v>284</v>
      </c>
      <c r="H49" s="976"/>
      <c r="I49" s="976"/>
      <c r="J49" s="976"/>
      <c r="K49" s="976"/>
      <c r="L49" s="976"/>
      <c r="M49" s="976"/>
      <c r="N49" s="979"/>
      <c r="O49" s="979"/>
      <c r="P49" s="979"/>
      <c r="Q49" s="979"/>
      <c r="R49" s="979"/>
      <c r="S49" s="979"/>
      <c r="T49" s="979"/>
      <c r="U49" s="979"/>
      <c r="V49" s="979"/>
      <c r="W49" s="979"/>
      <c r="X49" s="979"/>
      <c r="Y49" s="979"/>
      <c r="Z49" s="975">
        <f>AW49*BC49</f>
        <v>9425000</v>
      </c>
      <c r="AA49" s="975"/>
      <c r="AB49" s="975"/>
      <c r="AC49" s="975"/>
      <c r="AD49" s="975"/>
      <c r="AE49" s="975"/>
      <c r="AF49" s="977">
        <f t="shared" si="40"/>
        <v>942500</v>
      </c>
      <c r="AG49" s="977"/>
      <c r="AH49" s="977"/>
      <c r="AI49" s="977"/>
      <c r="AJ49" s="977"/>
      <c r="AK49" s="977"/>
      <c r="AL49" s="977">
        <f t="shared" si="41"/>
        <v>10367500</v>
      </c>
      <c r="AM49" s="977"/>
      <c r="AN49" s="977"/>
      <c r="AO49" s="977"/>
      <c r="AP49" s="977"/>
      <c r="AQ49" s="977"/>
      <c r="AR49" s="674"/>
      <c r="AS49" s="762">
        <f>현금흐름표!X70+현금흐름표!Y70</f>
        <v>0</v>
      </c>
      <c r="AT49" s="766">
        <f>AL49</f>
        <v>10367500</v>
      </c>
      <c r="AU49" s="667"/>
      <c r="AV49" s="703"/>
      <c r="AW49" s="978">
        <f>AR7</f>
        <v>1885</v>
      </c>
      <c r="AX49" s="978"/>
      <c r="AY49" s="978"/>
      <c r="AZ49" s="978" t="s">
        <v>286</v>
      </c>
      <c r="BA49" s="978"/>
      <c r="BB49" s="480" t="s">
        <v>0</v>
      </c>
      <c r="BC49" s="973">
        <v>5000</v>
      </c>
      <c r="BD49" s="973"/>
      <c r="BE49" s="973"/>
      <c r="BF49" s="972" t="s">
        <v>21</v>
      </c>
      <c r="BG49" s="972"/>
      <c r="BH49" s="481"/>
      <c r="BI49" s="481"/>
      <c r="BJ49" s="481"/>
      <c r="BK49" s="481"/>
      <c r="BL49" s="481"/>
      <c r="BM49" s="955"/>
      <c r="BN49" s="956"/>
      <c r="BO49" s="956"/>
      <c r="BP49" s="956"/>
      <c r="BQ49" s="956"/>
      <c r="BR49" s="956"/>
      <c r="BS49" s="957"/>
      <c r="BT49" s="942">
        <f t="shared" si="37"/>
        <v>1.130491085286558E-2</v>
      </c>
      <c r="BU49" s="943"/>
      <c r="BV49" s="880">
        <f t="shared" si="13"/>
        <v>1.0326927111025161E-2</v>
      </c>
      <c r="BW49" s="444"/>
      <c r="BX49" s="444"/>
      <c r="BY49" s="127" t="str">
        <f t="shared" si="42"/>
        <v>분양수수료(공동주택)</v>
      </c>
      <c r="CA49" s="335" t="s">
        <v>207</v>
      </c>
      <c r="CB49" s="336">
        <f t="shared" si="43"/>
        <v>1.7933888618123376E-3</v>
      </c>
      <c r="CC49" s="324">
        <f t="shared" si="44"/>
        <v>942500</v>
      </c>
      <c r="CD49" s="324">
        <f t="shared" si="45"/>
        <v>940809.73099774192</v>
      </c>
      <c r="CE49" s="337">
        <f t="shared" si="46"/>
        <v>1690.2690022581282</v>
      </c>
    </row>
    <row r="50" spans="1:83" s="25" customFormat="1" ht="20.25" customHeight="1">
      <c r="A50" s="1200"/>
      <c r="B50" s="1018"/>
      <c r="C50" s="1018"/>
      <c r="D50" s="1018"/>
      <c r="E50" s="1018"/>
      <c r="F50" s="1270"/>
      <c r="G50" s="976" t="s">
        <v>285</v>
      </c>
      <c r="H50" s="976"/>
      <c r="I50" s="976"/>
      <c r="J50" s="976"/>
      <c r="K50" s="976"/>
      <c r="L50" s="976"/>
      <c r="M50" s="976"/>
      <c r="N50" s="979"/>
      <c r="O50" s="979"/>
      <c r="P50" s="979"/>
      <c r="Q50" s="979"/>
      <c r="R50" s="979"/>
      <c r="S50" s="979"/>
      <c r="T50" s="979"/>
      <c r="U50" s="979"/>
      <c r="V50" s="979"/>
      <c r="W50" s="979"/>
      <c r="X50" s="979"/>
      <c r="Y50" s="979"/>
      <c r="Z50" s="975">
        <f>AW50*BC50</f>
        <v>554339.72</v>
      </c>
      <c r="AA50" s="975"/>
      <c r="AB50" s="975"/>
      <c r="AC50" s="975"/>
      <c r="AD50" s="975"/>
      <c r="AE50" s="975"/>
      <c r="AF50" s="977">
        <f t="shared" si="40"/>
        <v>55433.972000000002</v>
      </c>
      <c r="AG50" s="977"/>
      <c r="AH50" s="977"/>
      <c r="AI50" s="977"/>
      <c r="AJ50" s="977"/>
      <c r="AK50" s="977"/>
      <c r="AL50" s="977">
        <f t="shared" ref="AL50" si="49">Z50+AF50</f>
        <v>609773.69199999992</v>
      </c>
      <c r="AM50" s="977"/>
      <c r="AN50" s="977"/>
      <c r="AO50" s="977"/>
      <c r="AP50" s="977"/>
      <c r="AQ50" s="977"/>
      <c r="AR50" s="674"/>
      <c r="AS50" s="762">
        <f>현금흐름표!X71+현금흐름표!Y71</f>
        <v>0</v>
      </c>
      <c r="AT50" s="767">
        <f>AL50</f>
        <v>609773.69199999992</v>
      </c>
      <c r="AU50" s="715"/>
      <c r="AV50" s="674"/>
      <c r="AW50" s="1152">
        <f>Z21</f>
        <v>6929246.5</v>
      </c>
      <c r="AX50" s="1152"/>
      <c r="AY50" s="1152"/>
      <c r="AZ50" s="1152" t="s">
        <v>193</v>
      </c>
      <c r="BA50" s="1152"/>
      <c r="BB50" s="571" t="s">
        <v>0</v>
      </c>
      <c r="BC50" s="1080">
        <v>0.08</v>
      </c>
      <c r="BD50" s="1080"/>
      <c r="BE50" s="568"/>
      <c r="BF50" s="969"/>
      <c r="BG50" s="969"/>
      <c r="BH50" s="570"/>
      <c r="BI50" s="570"/>
      <c r="BJ50" s="570"/>
      <c r="BK50" s="570"/>
      <c r="BL50" s="570"/>
      <c r="BM50" s="1182"/>
      <c r="BN50" s="1183"/>
      <c r="BO50" s="1183"/>
      <c r="BP50" s="1183"/>
      <c r="BQ50" s="1183"/>
      <c r="BR50" s="1183"/>
      <c r="BS50" s="1184"/>
      <c r="BT50" s="958">
        <f t="shared" si="37"/>
        <v>6.6490834130530137E-4</v>
      </c>
      <c r="BU50" s="959"/>
      <c r="BV50" s="880">
        <f t="shared" si="13"/>
        <v>6.0738736161125692E-4</v>
      </c>
      <c r="BW50" s="436"/>
      <c r="BX50" s="436"/>
      <c r="BY50" s="127" t="str">
        <f>G50</f>
        <v>분양수수료(근생)</v>
      </c>
      <c r="CA50" s="335" t="s">
        <v>208</v>
      </c>
      <c r="CB50" s="336">
        <f>IF($CA50=$CA$21, $CB$21, IF($CA50=$CA$20,$CB$20, ))</f>
        <v>1.7933888618123376E-3</v>
      </c>
      <c r="CC50" s="324">
        <f>AF50</f>
        <v>55433.972000000002</v>
      </c>
      <c r="CD50" s="324">
        <f t="shared" si="38"/>
        <v>55334.557332049182</v>
      </c>
      <c r="CE50" s="337">
        <f t="shared" si="39"/>
        <v>99.414667950816991</v>
      </c>
    </row>
    <row r="51" spans="1:83" s="25" customFormat="1" ht="20.25" customHeight="1">
      <c r="A51" s="1200"/>
      <c r="B51" s="1018"/>
      <c r="C51" s="1018"/>
      <c r="D51" s="1018"/>
      <c r="E51" s="1018"/>
      <c r="F51" s="1270"/>
      <c r="G51" s="976" t="s">
        <v>393</v>
      </c>
      <c r="H51" s="976"/>
      <c r="I51" s="976"/>
      <c r="J51" s="976"/>
      <c r="K51" s="976"/>
      <c r="L51" s="976"/>
      <c r="M51" s="976"/>
      <c r="N51" s="979"/>
      <c r="O51" s="979"/>
      <c r="P51" s="979"/>
      <c r="Q51" s="979"/>
      <c r="R51" s="979"/>
      <c r="S51" s="979"/>
      <c r="T51" s="979"/>
      <c r="U51" s="979"/>
      <c r="V51" s="979"/>
      <c r="W51" s="979"/>
      <c r="X51" s="979"/>
      <c r="Y51" s="979"/>
      <c r="Z51" s="975">
        <f>AW51*BC51</f>
        <v>5655000</v>
      </c>
      <c r="AA51" s="975"/>
      <c r="AB51" s="975"/>
      <c r="AC51" s="975"/>
      <c r="AD51" s="975"/>
      <c r="AE51" s="975"/>
      <c r="AF51" s="977">
        <f t="shared" ref="AF51" si="50">Z51*0.1</f>
        <v>565500</v>
      </c>
      <c r="AG51" s="977"/>
      <c r="AH51" s="977"/>
      <c r="AI51" s="977"/>
      <c r="AJ51" s="977"/>
      <c r="AK51" s="977"/>
      <c r="AL51" s="977">
        <f t="shared" ref="AL51" si="51">Z51+AF51</f>
        <v>6220500</v>
      </c>
      <c r="AM51" s="977"/>
      <c r="AN51" s="977"/>
      <c r="AO51" s="977"/>
      <c r="AP51" s="977"/>
      <c r="AQ51" s="977"/>
      <c r="AR51" s="674"/>
      <c r="AS51" s="762"/>
      <c r="AT51" s="767">
        <f>AL51/2</f>
        <v>3110250</v>
      </c>
      <c r="AU51" s="715"/>
      <c r="AV51" s="674">
        <f>AL51/2</f>
        <v>3110250</v>
      </c>
      <c r="AW51" s="978">
        <f>AR7</f>
        <v>1885</v>
      </c>
      <c r="AX51" s="978"/>
      <c r="AY51" s="978"/>
      <c r="AZ51" s="978" t="s">
        <v>270</v>
      </c>
      <c r="BA51" s="978"/>
      <c r="BB51" s="666" t="s">
        <v>0</v>
      </c>
      <c r="BC51" s="973">
        <v>3000</v>
      </c>
      <c r="BD51" s="973"/>
      <c r="BE51" s="973"/>
      <c r="BF51" s="972" t="s">
        <v>21</v>
      </c>
      <c r="BG51" s="972"/>
      <c r="BH51" s="670"/>
      <c r="BI51" s="670"/>
      <c r="BJ51" s="670"/>
      <c r="BK51" s="670"/>
      <c r="BL51" s="670"/>
      <c r="BM51" s="960"/>
      <c r="BN51" s="961"/>
      <c r="BO51" s="961"/>
      <c r="BP51" s="961"/>
      <c r="BQ51" s="961"/>
      <c r="BR51" s="961"/>
      <c r="BS51" s="962"/>
      <c r="BT51" s="963">
        <f t="shared" ref="BT51" si="52">AL51/$AL$23</f>
        <v>6.7829465117193481E-3</v>
      </c>
      <c r="BU51" s="964"/>
      <c r="BV51" s="880">
        <f t="shared" si="13"/>
        <v>6.1961562666150967E-3</v>
      </c>
      <c r="BW51" s="569"/>
      <c r="BX51" s="569"/>
      <c r="BY51" s="127" t="str">
        <f>G51</f>
        <v>분양촉진비</v>
      </c>
      <c r="CA51" s="335" t="s">
        <v>207</v>
      </c>
      <c r="CB51" s="336">
        <f>IF($CA51=$CA$21, $CB$21, IF($CA51=$CA$20,$CB$20, ))</f>
        <v>1.7933888618123376E-3</v>
      </c>
      <c r="CC51" s="324">
        <f>AF51</f>
        <v>565500</v>
      </c>
      <c r="CD51" s="324">
        <f t="shared" ref="CD51" si="53">CC51-CE51</f>
        <v>564485.83859864518</v>
      </c>
      <c r="CE51" s="337">
        <f t="shared" ref="CE51" si="54">CC51*CB51</f>
        <v>1014.1614013548769</v>
      </c>
    </row>
    <row r="52" spans="1:83" ht="20.25" customHeight="1">
      <c r="A52" s="1200"/>
      <c r="B52" s="1018"/>
      <c r="C52" s="1018"/>
      <c r="D52" s="1018"/>
      <c r="E52" s="1018"/>
      <c r="F52" s="1270"/>
      <c r="G52" s="979" t="s">
        <v>45</v>
      </c>
      <c r="H52" s="979"/>
      <c r="I52" s="979"/>
      <c r="J52" s="979"/>
      <c r="K52" s="979"/>
      <c r="L52" s="979"/>
      <c r="M52" s="979"/>
      <c r="N52" s="1018">
        <f>SUM(N44:S50)</f>
        <v>0</v>
      </c>
      <c r="O52" s="1018"/>
      <c r="P52" s="1018"/>
      <c r="Q52" s="1018"/>
      <c r="R52" s="1018"/>
      <c r="S52" s="1018"/>
      <c r="T52" s="1018">
        <f>SUM(T44:Y50)</f>
        <v>0</v>
      </c>
      <c r="U52" s="1018"/>
      <c r="V52" s="1018"/>
      <c r="W52" s="1018"/>
      <c r="X52" s="1018"/>
      <c r="Y52" s="1018"/>
      <c r="Z52" s="1003">
        <f>SUM(Z44:AE51)</f>
        <v>31507976.15859583</v>
      </c>
      <c r="AA52" s="1003"/>
      <c r="AB52" s="1003"/>
      <c r="AC52" s="1003"/>
      <c r="AD52" s="1003"/>
      <c r="AE52" s="1003"/>
      <c r="AF52" s="1003">
        <f>SUM(AF44:AK51)</f>
        <v>2776096.5577500002</v>
      </c>
      <c r="AG52" s="1003"/>
      <c r="AH52" s="1003"/>
      <c r="AI52" s="1003"/>
      <c r="AJ52" s="1003"/>
      <c r="AK52" s="1003"/>
      <c r="AL52" s="1003">
        <f>SUM(AL44:AQ51)</f>
        <v>34284072.716345832</v>
      </c>
      <c r="AM52" s="1003"/>
      <c r="AN52" s="1003"/>
      <c r="AO52" s="1003"/>
      <c r="AP52" s="1003"/>
      <c r="AQ52" s="1003"/>
      <c r="AR52" s="673">
        <f>SUM(AR44:AR51)</f>
        <v>0</v>
      </c>
      <c r="AS52" s="764">
        <f>SUM(AS44:AS51)</f>
        <v>0</v>
      </c>
      <c r="AT52" s="722">
        <f>SUM(AT44:AT51)</f>
        <v>24174178.494720835</v>
      </c>
      <c r="AU52" s="672">
        <f>SUM(AU44:AU51)</f>
        <v>6999644.2216250002</v>
      </c>
      <c r="AV52" s="673">
        <f>SUM(AV44:AV51)</f>
        <v>3110250</v>
      </c>
      <c r="AW52" s="1034"/>
      <c r="AX52" s="1034"/>
      <c r="AY52" s="1034"/>
      <c r="AZ52" s="1034"/>
      <c r="BA52" s="1034"/>
      <c r="BB52" s="1034"/>
      <c r="BC52" s="1034"/>
      <c r="BD52" s="1034"/>
      <c r="BE52" s="1034"/>
      <c r="BF52" s="1034"/>
      <c r="BG52" s="1034"/>
      <c r="BH52" s="1034"/>
      <c r="BI52" s="1034"/>
      <c r="BJ52" s="1034"/>
      <c r="BK52" s="1034"/>
      <c r="BL52" s="1035"/>
      <c r="BM52" s="1187"/>
      <c r="BN52" s="1188"/>
      <c r="BO52" s="1188"/>
      <c r="BP52" s="1188"/>
      <c r="BQ52" s="1188"/>
      <c r="BR52" s="1188"/>
      <c r="BS52" s="1189"/>
      <c r="BT52" s="947">
        <f t="shared" si="37"/>
        <v>3.7383977403564091E-2</v>
      </c>
      <c r="BU52" s="948"/>
      <c r="BV52" s="880">
        <f t="shared" si="13"/>
        <v>3.4523137740661826E-2</v>
      </c>
      <c r="BW52" s="436"/>
      <c r="BX52" s="436"/>
      <c r="BY52" s="127"/>
      <c r="CA52" s="338"/>
      <c r="CB52" s="339"/>
      <c r="CC52" s="325" t="b">
        <f>SUM(CC44:CC51)=AF52</f>
        <v>1</v>
      </c>
      <c r="CD52" s="325"/>
      <c r="CE52" s="340"/>
    </row>
    <row r="53" spans="1:83" s="25" customFormat="1" ht="20.25" customHeight="1">
      <c r="A53" s="1200"/>
      <c r="B53" s="1271" t="s">
        <v>55</v>
      </c>
      <c r="C53" s="1272"/>
      <c r="D53" s="1272"/>
      <c r="E53" s="1272"/>
      <c r="F53" s="1273"/>
      <c r="G53" s="976" t="s">
        <v>49</v>
      </c>
      <c r="H53" s="976"/>
      <c r="I53" s="976"/>
      <c r="J53" s="976"/>
      <c r="K53" s="976"/>
      <c r="L53" s="976"/>
      <c r="M53" s="976"/>
      <c r="N53" s="979">
        <v>500000</v>
      </c>
      <c r="O53" s="979"/>
      <c r="P53" s="979"/>
      <c r="Q53" s="979"/>
      <c r="R53" s="979"/>
      <c r="S53" s="979"/>
      <c r="T53" s="979">
        <f>N53</f>
        <v>500000</v>
      </c>
      <c r="U53" s="979"/>
      <c r="V53" s="979"/>
      <c r="W53" s="979"/>
      <c r="X53" s="979"/>
      <c r="Y53" s="979"/>
      <c r="Z53" s="975">
        <f>AW53*BC53</f>
        <v>27379877.572499994</v>
      </c>
      <c r="AA53" s="975"/>
      <c r="AB53" s="975"/>
      <c r="AC53" s="975"/>
      <c r="AD53" s="975"/>
      <c r="AE53" s="975"/>
      <c r="AF53" s="977"/>
      <c r="AG53" s="977"/>
      <c r="AH53" s="977"/>
      <c r="AI53" s="977"/>
      <c r="AJ53" s="977"/>
      <c r="AK53" s="977"/>
      <c r="AL53" s="977">
        <f t="shared" ref="AL53" si="55">Z53+AF53</f>
        <v>27379877.572499994</v>
      </c>
      <c r="AM53" s="977"/>
      <c r="AN53" s="977"/>
      <c r="AO53" s="977"/>
      <c r="AP53" s="977"/>
      <c r="AQ53" s="977"/>
      <c r="AR53" s="674"/>
      <c r="AS53" s="762">
        <f>AL53*10%</f>
        <v>2737987.7572499998</v>
      </c>
      <c r="AT53" s="766">
        <f t="shared" ref="AT53" si="56">AL53-AR53-AS53</f>
        <v>24641889.815249994</v>
      </c>
      <c r="AU53" s="715"/>
      <c r="AV53" s="674"/>
      <c r="AW53" s="1021">
        <f>Z23</f>
        <v>912662585.74999988</v>
      </c>
      <c r="AX53" s="1021"/>
      <c r="AY53" s="1021"/>
      <c r="AZ53" s="949" t="s">
        <v>193</v>
      </c>
      <c r="BA53" s="949"/>
      <c r="BB53" s="34" t="s">
        <v>0</v>
      </c>
      <c r="BC53" s="941">
        <v>0.03</v>
      </c>
      <c r="BD53" s="941"/>
      <c r="BE53" s="941"/>
      <c r="BF53" s="34"/>
      <c r="BG53" s="35"/>
      <c r="BH53" s="35"/>
      <c r="BI53" s="35"/>
      <c r="BJ53" s="35"/>
      <c r="BK53" s="35"/>
      <c r="BL53" s="35"/>
      <c r="BM53" s="944"/>
      <c r="BN53" s="945"/>
      <c r="BO53" s="945"/>
      <c r="BP53" s="945"/>
      <c r="BQ53" s="945"/>
      <c r="BR53" s="945"/>
      <c r="BS53" s="946"/>
      <c r="BT53" s="1324">
        <f t="shared" si="37"/>
        <v>2.9855517252904369E-2</v>
      </c>
      <c r="BU53" s="1075"/>
      <c r="BV53" s="880">
        <f t="shared" si="13"/>
        <v>0.03</v>
      </c>
      <c r="BW53" s="436"/>
      <c r="BX53" s="436"/>
      <c r="BY53" s="127" t="str">
        <f>G53</f>
        <v>신탁보수</v>
      </c>
      <c r="CA53" s="335"/>
      <c r="CB53" s="336">
        <f t="shared" ref="CB53:CB58" si="57">IF($CA53=$CA$21, $CB$21, IF($CA53=$CA$20,$CB$20, ))</f>
        <v>0</v>
      </c>
      <c r="CC53" s="324">
        <f t="shared" ref="CC53:CC58" si="58">AF53</f>
        <v>0</v>
      </c>
      <c r="CD53" s="324">
        <f>CC53-CE53</f>
        <v>0</v>
      </c>
      <c r="CE53" s="337">
        <f>CC53*CB53</f>
        <v>0</v>
      </c>
    </row>
    <row r="54" spans="1:83" s="25" customFormat="1" ht="20.25" hidden="1" customHeight="1">
      <c r="A54" s="1200"/>
      <c r="B54" s="1274"/>
      <c r="C54" s="1275"/>
      <c r="D54" s="1275"/>
      <c r="E54" s="1275"/>
      <c r="F54" s="1275"/>
      <c r="G54" s="974"/>
      <c r="H54" s="974"/>
      <c r="I54" s="974"/>
      <c r="J54" s="974"/>
      <c r="K54" s="974"/>
      <c r="L54" s="974"/>
      <c r="M54" s="974"/>
      <c r="N54" s="979"/>
      <c r="O54" s="979"/>
      <c r="P54" s="979"/>
      <c r="Q54" s="979"/>
      <c r="R54" s="979"/>
      <c r="S54" s="979"/>
      <c r="T54" s="979"/>
      <c r="U54" s="979"/>
      <c r="V54" s="979"/>
      <c r="W54" s="979"/>
      <c r="X54" s="979"/>
      <c r="Y54" s="979"/>
      <c r="Z54" s="975"/>
      <c r="AA54" s="975"/>
      <c r="AB54" s="975"/>
      <c r="AC54" s="975"/>
      <c r="AD54" s="975"/>
      <c r="AE54" s="975"/>
      <c r="AF54" s="977"/>
      <c r="AG54" s="977"/>
      <c r="AH54" s="977"/>
      <c r="AI54" s="977"/>
      <c r="AJ54" s="977"/>
      <c r="AK54" s="977"/>
      <c r="AL54" s="977">
        <f t="shared" ref="AL54" si="59">Z54+AF54</f>
        <v>0</v>
      </c>
      <c r="AM54" s="977"/>
      <c r="AN54" s="977"/>
      <c r="AO54" s="977"/>
      <c r="AP54" s="977"/>
      <c r="AQ54" s="977"/>
      <c r="AR54" s="674"/>
      <c r="AS54" s="762">
        <f>AL54</f>
        <v>0</v>
      </c>
      <c r="AT54" s="767"/>
      <c r="AU54" s="715"/>
      <c r="AV54" s="674"/>
      <c r="AW54" s="949"/>
      <c r="AX54" s="949"/>
      <c r="AY54" s="949"/>
      <c r="AZ54" s="949"/>
      <c r="BA54" s="949"/>
      <c r="BB54" s="26"/>
      <c r="BC54" s="1022"/>
      <c r="BD54" s="1022"/>
      <c r="BE54" s="33"/>
      <c r="BF54" s="33"/>
      <c r="BG54" s="33"/>
      <c r="BH54" s="33"/>
      <c r="BI54" s="33"/>
      <c r="BJ54" s="33"/>
      <c r="BK54" s="33"/>
      <c r="BL54" s="33"/>
      <c r="BM54" s="951"/>
      <c r="BN54" s="952"/>
      <c r="BO54" s="952"/>
      <c r="BP54" s="952"/>
      <c r="BQ54" s="952"/>
      <c r="BR54" s="952"/>
      <c r="BS54" s="953"/>
      <c r="BT54" s="942">
        <f t="shared" si="37"/>
        <v>0</v>
      </c>
      <c r="BU54" s="943"/>
      <c r="BV54" s="880">
        <f t="shared" si="13"/>
        <v>0</v>
      </c>
      <c r="BW54" s="436"/>
      <c r="BX54" s="436"/>
      <c r="BY54" s="127">
        <f>G54</f>
        <v>0</v>
      </c>
      <c r="CA54" s="335"/>
      <c r="CB54" s="336">
        <f t="shared" si="57"/>
        <v>0</v>
      </c>
      <c r="CC54" s="324">
        <f t="shared" si="58"/>
        <v>0</v>
      </c>
      <c r="CD54" s="324">
        <f>CC54-CE54</f>
        <v>0</v>
      </c>
      <c r="CE54" s="337">
        <f>CC54*CB54</f>
        <v>0</v>
      </c>
    </row>
    <row r="55" spans="1:83" s="25" customFormat="1" ht="20.25" customHeight="1">
      <c r="A55" s="1200"/>
      <c r="B55" s="1274"/>
      <c r="C55" s="1275"/>
      <c r="D55" s="1275"/>
      <c r="E55" s="1275"/>
      <c r="F55" s="1275"/>
      <c r="G55" s="974" t="s">
        <v>84</v>
      </c>
      <c r="H55" s="974"/>
      <c r="I55" s="974"/>
      <c r="J55" s="974"/>
      <c r="K55" s="974"/>
      <c r="L55" s="974"/>
      <c r="M55" s="974"/>
      <c r="N55" s="979">
        <v>1500000</v>
      </c>
      <c r="O55" s="979"/>
      <c r="P55" s="979"/>
      <c r="Q55" s="979"/>
      <c r="R55" s="979"/>
      <c r="S55" s="979"/>
      <c r="T55" s="979">
        <f>Z55</f>
        <v>1850000</v>
      </c>
      <c r="U55" s="979"/>
      <c r="V55" s="979"/>
      <c r="W55" s="979"/>
      <c r="X55" s="979"/>
      <c r="Y55" s="979"/>
      <c r="Z55" s="975">
        <f>AW55*BC55</f>
        <v>1850000</v>
      </c>
      <c r="AA55" s="975"/>
      <c r="AB55" s="975"/>
      <c r="AC55" s="975"/>
      <c r="AD55" s="975"/>
      <c r="AE55" s="975"/>
      <c r="AF55" s="977"/>
      <c r="AG55" s="977"/>
      <c r="AH55" s="977"/>
      <c r="AI55" s="977"/>
      <c r="AJ55" s="977"/>
      <c r="AK55" s="977"/>
      <c r="AL55" s="977">
        <f t="shared" ref="AL55" si="60">Z55+AF55</f>
        <v>1850000</v>
      </c>
      <c r="AM55" s="977"/>
      <c r="AN55" s="977"/>
      <c r="AO55" s="977"/>
      <c r="AP55" s="977"/>
      <c r="AQ55" s="977"/>
      <c r="AR55" s="674"/>
      <c r="AS55" s="762">
        <v>0</v>
      </c>
      <c r="AT55" s="767">
        <f>AL55/2</f>
        <v>925000</v>
      </c>
      <c r="AU55" s="715">
        <f>AL55/2</f>
        <v>925000</v>
      </c>
      <c r="AV55" s="674"/>
      <c r="AW55" s="949">
        <v>50000</v>
      </c>
      <c r="AX55" s="949"/>
      <c r="AY55" s="949"/>
      <c r="AZ55" s="949" t="s">
        <v>21</v>
      </c>
      <c r="BA55" s="949"/>
      <c r="BB55" s="583" t="s">
        <v>0</v>
      </c>
      <c r="BC55" s="1022">
        <v>37</v>
      </c>
      <c r="BD55" s="1022"/>
      <c r="BE55" s="584" t="s">
        <v>29</v>
      </c>
      <c r="BF55" s="441"/>
      <c r="BG55" s="441"/>
      <c r="BH55" s="441"/>
      <c r="BI55" s="441"/>
      <c r="BJ55" s="441"/>
      <c r="BK55" s="441"/>
      <c r="BL55" s="441"/>
      <c r="BM55" s="951"/>
      <c r="BN55" s="952"/>
      <c r="BO55" s="952"/>
      <c r="BP55" s="952"/>
      <c r="BQ55" s="952"/>
      <c r="BR55" s="952"/>
      <c r="BS55" s="953"/>
      <c r="BT55" s="942">
        <f t="shared" si="37"/>
        <v>2.0172736993297634E-3</v>
      </c>
      <c r="BU55" s="943"/>
      <c r="BV55" s="880">
        <f t="shared" si="13"/>
        <v>2.0270360907582545E-3</v>
      </c>
      <c r="BW55" s="436"/>
      <c r="BX55" s="436"/>
      <c r="BY55" s="127" t="str">
        <f>G55</f>
        <v>시행사운영비</v>
      </c>
      <c r="CA55" s="335" t="s">
        <v>234</v>
      </c>
      <c r="CB55" s="336">
        <f t="shared" si="57"/>
        <v>1.7933888618123376E-3</v>
      </c>
      <c r="CC55" s="324">
        <f t="shared" si="58"/>
        <v>0</v>
      </c>
      <c r="CD55" s="324">
        <f t="shared" ref="CD55" si="61">CC55-CE55</f>
        <v>0</v>
      </c>
      <c r="CE55" s="337">
        <f t="shared" ref="CE55" si="62">CC55*CB55</f>
        <v>0</v>
      </c>
    </row>
    <row r="56" spans="1:83" s="25" customFormat="1" ht="20.25" hidden="1" customHeight="1">
      <c r="A56" s="1200"/>
      <c r="B56" s="1276"/>
      <c r="C56" s="1275"/>
      <c r="D56" s="1275"/>
      <c r="E56" s="1275"/>
      <c r="F56" s="1275"/>
      <c r="G56" s="976"/>
      <c r="H56" s="976"/>
      <c r="I56" s="976"/>
      <c r="J56" s="976"/>
      <c r="K56" s="976"/>
      <c r="L56" s="976"/>
      <c r="M56" s="976"/>
      <c r="N56" s="1154"/>
      <c r="O56" s="1154"/>
      <c r="P56" s="1154"/>
      <c r="Q56" s="1154"/>
      <c r="R56" s="1154"/>
      <c r="S56" s="1154"/>
      <c r="T56" s="1154"/>
      <c r="U56" s="1154"/>
      <c r="V56" s="1154"/>
      <c r="W56" s="1154"/>
      <c r="X56" s="1154"/>
      <c r="Y56" s="1154"/>
      <c r="Z56" s="1155"/>
      <c r="AA56" s="1155"/>
      <c r="AB56" s="1155"/>
      <c r="AC56" s="1155"/>
      <c r="AD56" s="1155"/>
      <c r="AE56" s="1155"/>
      <c r="AF56" s="977"/>
      <c r="AG56" s="977"/>
      <c r="AH56" s="977"/>
      <c r="AI56" s="977"/>
      <c r="AJ56" s="977"/>
      <c r="AK56" s="977"/>
      <c r="AL56" s="977">
        <f t="shared" ref="AL56:AL57" si="63">Z56+AF56</f>
        <v>0</v>
      </c>
      <c r="AM56" s="977"/>
      <c r="AN56" s="977"/>
      <c r="AO56" s="977"/>
      <c r="AP56" s="977"/>
      <c r="AQ56" s="977"/>
      <c r="AR56" s="674"/>
      <c r="AS56" s="762"/>
      <c r="AT56" s="767">
        <f t="shared" ref="AT56" si="64">AL56-AR56-AS56</f>
        <v>0</v>
      </c>
      <c r="AU56" s="715"/>
      <c r="AV56" s="674"/>
      <c r="AW56" s="1021"/>
      <c r="AX56" s="1021"/>
      <c r="AY56" s="1021"/>
      <c r="AZ56" s="949"/>
      <c r="BA56" s="949"/>
      <c r="BB56" s="543"/>
      <c r="BC56" s="968"/>
      <c r="BD56" s="968"/>
      <c r="BE56" s="968"/>
      <c r="BF56" s="441"/>
      <c r="BG56" s="441"/>
      <c r="BH56" s="441"/>
      <c r="BI56" s="441"/>
      <c r="BJ56" s="441"/>
      <c r="BK56" s="441"/>
      <c r="BL56" s="441"/>
      <c r="BM56" s="951"/>
      <c r="BN56" s="952"/>
      <c r="BO56" s="952"/>
      <c r="BP56" s="952"/>
      <c r="BQ56" s="952"/>
      <c r="BR56" s="952"/>
      <c r="BS56" s="953"/>
      <c r="BT56" s="942">
        <f>AL55/$AL$23</f>
        <v>2.0172736993297634E-3</v>
      </c>
      <c r="BU56" s="943"/>
      <c r="BV56" s="880">
        <f t="shared" si="13"/>
        <v>0</v>
      </c>
      <c r="BW56" s="436"/>
      <c r="BX56" s="436"/>
      <c r="BY56" s="127">
        <f t="shared" ref="BY56:BY57" si="65">G56</f>
        <v>0</v>
      </c>
      <c r="CA56" s="335"/>
      <c r="CB56" s="336">
        <f t="shared" si="57"/>
        <v>0</v>
      </c>
      <c r="CC56" s="324">
        <f t="shared" si="58"/>
        <v>0</v>
      </c>
      <c r="CD56" s="324">
        <f>CC56-CE56</f>
        <v>0</v>
      </c>
      <c r="CE56" s="337">
        <f>CC56*CB56</f>
        <v>0</v>
      </c>
    </row>
    <row r="57" spans="1:83" s="25" customFormat="1" ht="20.25" customHeight="1">
      <c r="A57" s="1200"/>
      <c r="B57" s="1276"/>
      <c r="C57" s="1275"/>
      <c r="D57" s="1275"/>
      <c r="E57" s="1275"/>
      <c r="F57" s="1275"/>
      <c r="G57" s="976" t="s">
        <v>287</v>
      </c>
      <c r="H57" s="976"/>
      <c r="I57" s="976"/>
      <c r="J57" s="976"/>
      <c r="K57" s="976"/>
      <c r="L57" s="976"/>
      <c r="M57" s="976"/>
      <c r="N57" s="1154"/>
      <c r="O57" s="1154"/>
      <c r="P57" s="1154"/>
      <c r="Q57" s="1154"/>
      <c r="R57" s="1154"/>
      <c r="S57" s="1154"/>
      <c r="T57" s="1154"/>
      <c r="U57" s="1154"/>
      <c r="V57" s="1154"/>
      <c r="W57" s="1154"/>
      <c r="X57" s="1154"/>
      <c r="Y57" s="1154"/>
      <c r="Z57" s="1155">
        <f>AW57*BC57</f>
        <v>565500</v>
      </c>
      <c r="AA57" s="1155"/>
      <c r="AB57" s="1155"/>
      <c r="AC57" s="1155"/>
      <c r="AD57" s="1155"/>
      <c r="AE57" s="1155"/>
      <c r="AF57" s="977">
        <f>Z57*0.1</f>
        <v>56550</v>
      </c>
      <c r="AG57" s="977"/>
      <c r="AH57" s="977"/>
      <c r="AI57" s="977"/>
      <c r="AJ57" s="977"/>
      <c r="AK57" s="977"/>
      <c r="AL57" s="977">
        <f t="shared" si="63"/>
        <v>622050</v>
      </c>
      <c r="AM57" s="977"/>
      <c r="AN57" s="977"/>
      <c r="AO57" s="977"/>
      <c r="AP57" s="977"/>
      <c r="AQ57" s="977"/>
      <c r="AR57" s="674"/>
      <c r="AS57" s="762"/>
      <c r="AT57" s="767">
        <v>0</v>
      </c>
      <c r="AU57" s="715">
        <f>AL57</f>
        <v>622050</v>
      </c>
      <c r="AV57" s="674"/>
      <c r="AW57" s="978">
        <v>1885</v>
      </c>
      <c r="AX57" s="978"/>
      <c r="AY57" s="978"/>
      <c r="AZ57" s="978" t="s">
        <v>286</v>
      </c>
      <c r="BA57" s="978"/>
      <c r="BB57" s="480" t="s">
        <v>0</v>
      </c>
      <c r="BC57" s="973">
        <v>300</v>
      </c>
      <c r="BD57" s="973"/>
      <c r="BE57" s="973"/>
      <c r="BF57" s="972" t="s">
        <v>21</v>
      </c>
      <c r="BG57" s="972"/>
      <c r="BH57" s="441"/>
      <c r="BI57" s="441"/>
      <c r="BJ57" s="441"/>
      <c r="BK57" s="441"/>
      <c r="BL57" s="441"/>
      <c r="BM57" s="951"/>
      <c r="BN57" s="952"/>
      <c r="BO57" s="952"/>
      <c r="BP57" s="952"/>
      <c r="BQ57" s="952"/>
      <c r="BR57" s="952"/>
      <c r="BS57" s="953"/>
      <c r="BT57" s="942">
        <f t="shared" ref="BT57" si="66">AL57/$AL$23</f>
        <v>6.7829465117193481E-4</v>
      </c>
      <c r="BU57" s="943"/>
      <c r="BV57" s="880">
        <f t="shared" si="13"/>
        <v>6.1961562666150969E-4</v>
      </c>
      <c r="BW57" s="444"/>
      <c r="BX57" s="444"/>
      <c r="BY57" s="127" t="str">
        <f t="shared" si="65"/>
        <v>입주관리비</v>
      </c>
      <c r="CA57" s="335" t="s">
        <v>207</v>
      </c>
      <c r="CB57" s="336">
        <f t="shared" si="57"/>
        <v>1.7933888618123376E-3</v>
      </c>
      <c r="CC57" s="324">
        <f t="shared" si="58"/>
        <v>56550</v>
      </c>
      <c r="CD57" s="324">
        <f t="shared" ref="CD57" si="67">CC57-CE57</f>
        <v>56448.583859864513</v>
      </c>
      <c r="CE57" s="337">
        <f t="shared" ref="CE57" si="68">CC57*CB57</f>
        <v>101.41614013548769</v>
      </c>
    </row>
    <row r="58" spans="1:83" s="25" customFormat="1" ht="20.25" customHeight="1">
      <c r="A58" s="1200"/>
      <c r="B58" s="1276"/>
      <c r="C58" s="1275"/>
      <c r="D58" s="1275"/>
      <c r="E58" s="1275"/>
      <c r="F58" s="1275"/>
      <c r="G58" s="976" t="s">
        <v>46</v>
      </c>
      <c r="H58" s="976"/>
      <c r="I58" s="976"/>
      <c r="J58" s="976"/>
      <c r="K58" s="976"/>
      <c r="L58" s="976"/>
      <c r="M58" s="976"/>
      <c r="N58" s="979">
        <v>2000000</v>
      </c>
      <c r="O58" s="979"/>
      <c r="P58" s="979"/>
      <c r="Q58" s="979"/>
      <c r="R58" s="979"/>
      <c r="S58" s="979"/>
      <c r="T58" s="979">
        <v>2000000</v>
      </c>
      <c r="U58" s="979"/>
      <c r="V58" s="979"/>
      <c r="W58" s="979"/>
      <c r="X58" s="979"/>
      <c r="Y58" s="979"/>
      <c r="Z58" s="1024">
        <f>AW58*BC58</f>
        <v>9126625.8574999999</v>
      </c>
      <c r="AA58" s="1024"/>
      <c r="AB58" s="1024"/>
      <c r="AC58" s="1024"/>
      <c r="AD58" s="1024"/>
      <c r="AE58" s="1024"/>
      <c r="AF58" s="977"/>
      <c r="AG58" s="977"/>
      <c r="AH58" s="977"/>
      <c r="AI58" s="977"/>
      <c r="AJ58" s="977"/>
      <c r="AK58" s="977"/>
      <c r="AL58" s="977">
        <f t="shared" ref="AL58" si="69">Z58+AF58</f>
        <v>9126625.8574999999</v>
      </c>
      <c r="AM58" s="977"/>
      <c r="AN58" s="977"/>
      <c r="AO58" s="977"/>
      <c r="AP58" s="977"/>
      <c r="AQ58" s="977"/>
      <c r="AR58" s="674"/>
      <c r="AS58" s="762"/>
      <c r="AT58" s="767">
        <f>AL58/2</f>
        <v>4563312.92875</v>
      </c>
      <c r="AU58" s="715">
        <f>AL58/2</f>
        <v>4563312.92875</v>
      </c>
      <c r="AV58" s="674"/>
      <c r="AW58" s="1022">
        <f>Z23</f>
        <v>912662585.74999988</v>
      </c>
      <c r="AX58" s="1022"/>
      <c r="AY58" s="1022"/>
      <c r="AZ58" s="1022"/>
      <c r="BA58" s="1022"/>
      <c r="BB58" s="406" t="s">
        <v>0</v>
      </c>
      <c r="BC58" s="954">
        <v>0.01</v>
      </c>
      <c r="BD58" s="954"/>
      <c r="BE58" s="954"/>
      <c r="BF58" s="406" t="s">
        <v>173</v>
      </c>
      <c r="BG58" s="408"/>
      <c r="BH58" s="408"/>
      <c r="BI58" s="408"/>
      <c r="BJ58" s="408"/>
      <c r="BK58" s="408"/>
      <c r="BL58" s="408"/>
      <c r="BM58" s="951"/>
      <c r="BN58" s="952"/>
      <c r="BO58" s="952"/>
      <c r="BP58" s="952"/>
      <c r="BQ58" s="952"/>
      <c r="BR58" s="952"/>
      <c r="BS58" s="953"/>
      <c r="BT58" s="942">
        <f t="shared" ref="BT58" si="70">AL58/$AL$23</f>
        <v>9.9518390843014587E-3</v>
      </c>
      <c r="BU58" s="943"/>
      <c r="BV58" s="880">
        <f t="shared" si="13"/>
        <v>1.0000000000000002E-2</v>
      </c>
      <c r="BW58" s="436"/>
      <c r="BX58" s="436"/>
      <c r="BY58" s="127" t="str">
        <f>G58</f>
        <v>예비비</v>
      </c>
      <c r="CA58" s="335"/>
      <c r="CB58" s="336">
        <f t="shared" si="57"/>
        <v>0</v>
      </c>
      <c r="CC58" s="324">
        <f t="shared" si="58"/>
        <v>0</v>
      </c>
      <c r="CD58" s="324">
        <f>CC58-CE58</f>
        <v>0</v>
      </c>
      <c r="CE58" s="337">
        <f>CC58*CB58</f>
        <v>0</v>
      </c>
    </row>
    <row r="59" spans="1:83" ht="20.25" customHeight="1">
      <c r="A59" s="1200"/>
      <c r="B59" s="1277"/>
      <c r="C59" s="1278"/>
      <c r="D59" s="1278"/>
      <c r="E59" s="1278"/>
      <c r="F59" s="1279"/>
      <c r="G59" s="979" t="s">
        <v>8</v>
      </c>
      <c r="H59" s="979"/>
      <c r="I59" s="979"/>
      <c r="J59" s="979"/>
      <c r="K59" s="979"/>
      <c r="L59" s="979"/>
      <c r="M59" s="979"/>
      <c r="N59" s="1018">
        <f>SUM(N53:S55)</f>
        <v>2000000</v>
      </c>
      <c r="O59" s="1018"/>
      <c r="P59" s="1018"/>
      <c r="Q59" s="1018"/>
      <c r="R59" s="1018"/>
      <c r="S59" s="1018"/>
      <c r="T59" s="1018">
        <f>SUM(T53:Y55)</f>
        <v>2350000</v>
      </c>
      <c r="U59" s="1018"/>
      <c r="V59" s="1018"/>
      <c r="W59" s="1018"/>
      <c r="X59" s="1018"/>
      <c r="Y59" s="1018"/>
      <c r="Z59" s="1003">
        <f>SUM(Z53:AE58)</f>
        <v>38922003.429999992</v>
      </c>
      <c r="AA59" s="1003"/>
      <c r="AB59" s="1003"/>
      <c r="AC59" s="1003"/>
      <c r="AD59" s="1003"/>
      <c r="AE59" s="1003"/>
      <c r="AF59" s="1003">
        <f>SUM(AF53:AK58)</f>
        <v>56550</v>
      </c>
      <c r="AG59" s="1003"/>
      <c r="AH59" s="1003"/>
      <c r="AI59" s="1003"/>
      <c r="AJ59" s="1003"/>
      <c r="AK59" s="1003"/>
      <c r="AL59" s="1003">
        <f>SUM(AL53:AQ58)</f>
        <v>38978553.429999992</v>
      </c>
      <c r="AM59" s="1003"/>
      <c r="AN59" s="1003"/>
      <c r="AO59" s="1003"/>
      <c r="AP59" s="1003"/>
      <c r="AQ59" s="1003"/>
      <c r="AR59" s="673">
        <f>SUM(AR53:AR58)</f>
        <v>0</v>
      </c>
      <c r="AS59" s="763">
        <f>SUM(AS53:AS58)</f>
        <v>2737987.7572499998</v>
      </c>
      <c r="AT59" s="722">
        <f>SUM(AT53:AT58)</f>
        <v>30130202.743999995</v>
      </c>
      <c r="AU59" s="672">
        <f>SUM(AU53:AU58)</f>
        <v>6110362.92875</v>
      </c>
      <c r="AV59" s="673">
        <f>SUM(AV53:AV58)</f>
        <v>0</v>
      </c>
      <c r="AW59" s="316"/>
      <c r="AX59" s="27"/>
      <c r="AY59" s="28"/>
      <c r="AZ59" s="28"/>
      <c r="BA59" s="29"/>
      <c r="BB59" s="27"/>
      <c r="BC59" s="27"/>
      <c r="BD59" s="27"/>
      <c r="BE59" s="27"/>
      <c r="BF59" s="29"/>
      <c r="BG59" s="27"/>
      <c r="BH59" s="27"/>
      <c r="BI59" s="27"/>
      <c r="BJ59" s="27"/>
      <c r="BK59" s="27"/>
      <c r="BL59" s="27"/>
      <c r="BM59" s="1187"/>
      <c r="BN59" s="1188"/>
      <c r="BO59" s="1188"/>
      <c r="BP59" s="1188"/>
      <c r="BQ59" s="1188"/>
      <c r="BR59" s="1188"/>
      <c r="BS59" s="1189"/>
      <c r="BT59" s="947">
        <f>AL59/$AL$23</f>
        <v>4.2502924687707527E-2</v>
      </c>
      <c r="BU59" s="948"/>
      <c r="BV59" s="880">
        <f t="shared" si="13"/>
        <v>4.2646651717419763E-2</v>
      </c>
      <c r="BW59" s="436"/>
      <c r="BX59" s="436"/>
      <c r="BY59" s="127"/>
      <c r="CA59" s="338"/>
      <c r="CB59" s="339"/>
      <c r="CC59" s="325" t="b">
        <f>SUM(CC53:CC58)=AF59</f>
        <v>1</v>
      </c>
      <c r="CD59" s="325"/>
      <c r="CE59" s="340"/>
    </row>
    <row r="60" spans="1:83" s="25" customFormat="1" ht="20.25" customHeight="1">
      <c r="A60" s="1200"/>
      <c r="B60" s="1257" t="s">
        <v>54</v>
      </c>
      <c r="C60" s="1258"/>
      <c r="D60" s="1258"/>
      <c r="E60" s="1258"/>
      <c r="F60" s="1259"/>
      <c r="G60" s="976" t="s">
        <v>11</v>
      </c>
      <c r="H60" s="976"/>
      <c r="I60" s="976"/>
      <c r="J60" s="976"/>
      <c r="K60" s="976"/>
      <c r="L60" s="976"/>
      <c r="M60" s="976"/>
      <c r="N60" s="979">
        <v>3215913</v>
      </c>
      <c r="O60" s="979"/>
      <c r="P60" s="979"/>
      <c r="Q60" s="979"/>
      <c r="R60" s="979"/>
      <c r="S60" s="979"/>
      <c r="T60" s="979" t="e">
        <f>(T33+T39+T40+T36+#REF!)*BC60</f>
        <v>#REF!</v>
      </c>
      <c r="U60" s="979"/>
      <c r="V60" s="979"/>
      <c r="W60" s="979"/>
      <c r="X60" s="979"/>
      <c r="Y60" s="979"/>
      <c r="Z60" s="975">
        <f>AW60*BC60</f>
        <v>14896032.554752002</v>
      </c>
      <c r="AA60" s="975"/>
      <c r="AB60" s="975"/>
      <c r="AC60" s="975"/>
      <c r="AD60" s="975"/>
      <c r="AE60" s="975"/>
      <c r="AF60" s="977">
        <v>0</v>
      </c>
      <c r="AG60" s="977"/>
      <c r="AH60" s="977"/>
      <c r="AI60" s="977"/>
      <c r="AJ60" s="977"/>
      <c r="AK60" s="977"/>
      <c r="AL60" s="977">
        <f t="shared" ref="AL60" si="71">Z60+AF60</f>
        <v>14896032.554752002</v>
      </c>
      <c r="AM60" s="977"/>
      <c r="AN60" s="977"/>
      <c r="AO60" s="977"/>
      <c r="AP60" s="977"/>
      <c r="AQ60" s="977"/>
      <c r="AR60" s="674"/>
      <c r="AS60" s="762"/>
      <c r="AT60" s="767">
        <f>AL60-AR60-AS60</f>
        <v>14896032.554752002</v>
      </c>
      <c r="AU60" s="715"/>
      <c r="AV60" s="674"/>
      <c r="AW60" s="1185">
        <f>Z33+Z39+Z40+Z35+Z36+Z55</f>
        <v>465501017.33600003</v>
      </c>
      <c r="AX60" s="1186"/>
      <c r="AY60" s="1186"/>
      <c r="AZ60" s="1186"/>
      <c r="BA60" s="1186"/>
      <c r="BB60" s="801" t="s">
        <v>0</v>
      </c>
      <c r="BC60" s="941">
        <v>3.2000000000000001E-2</v>
      </c>
      <c r="BD60" s="941"/>
      <c r="BE60" s="941"/>
      <c r="BF60" s="941"/>
      <c r="BG60" s="941"/>
      <c r="BH60" s="798"/>
      <c r="BI60" s="798"/>
      <c r="BJ60" s="798"/>
      <c r="BK60" s="798"/>
      <c r="BL60" s="854"/>
      <c r="BM60" s="944"/>
      <c r="BN60" s="945"/>
      <c r="BO60" s="945"/>
      <c r="BP60" s="945"/>
      <c r="BQ60" s="945"/>
      <c r="BR60" s="945"/>
      <c r="BS60" s="946"/>
      <c r="BT60" s="970">
        <f>AL60/$AL$23</f>
        <v>1.6242905241654681E-2</v>
      </c>
      <c r="BU60" s="971"/>
      <c r="BV60" s="880">
        <f t="shared" si="13"/>
        <v>1.6321511133833618E-2</v>
      </c>
      <c r="BW60" s="436"/>
      <c r="BX60" s="436"/>
      <c r="BY60" s="127" t="str">
        <f>G60</f>
        <v>보존등기비</v>
      </c>
      <c r="CA60" s="335"/>
      <c r="CB60" s="336">
        <f>IF($CA60=$CA$21, $CB$21, IF($CA60=$CA$20,$CB$20, ))</f>
        <v>0</v>
      </c>
      <c r="CC60" s="324">
        <f>AF60</f>
        <v>0</v>
      </c>
      <c r="CD60" s="324">
        <f t="shared" ref="CD60:CD65" si="72">CC60-CE60</f>
        <v>0</v>
      </c>
      <c r="CE60" s="337">
        <f t="shared" ref="CE60:CE65" si="73">CC60*CB60</f>
        <v>0</v>
      </c>
    </row>
    <row r="61" spans="1:83" s="25" customFormat="1" ht="20.25" customHeight="1">
      <c r="A61" s="1200"/>
      <c r="B61" s="1260"/>
      <c r="C61" s="1261"/>
      <c r="D61" s="1261"/>
      <c r="E61" s="1261"/>
      <c r="F61" s="1261"/>
      <c r="G61" s="976" t="s">
        <v>349</v>
      </c>
      <c r="H61" s="976"/>
      <c r="I61" s="976"/>
      <c r="J61" s="976"/>
      <c r="K61" s="976"/>
      <c r="L61" s="976"/>
      <c r="M61" s="976"/>
      <c r="N61" s="1004">
        <v>1670000</v>
      </c>
      <c r="O61" s="1004"/>
      <c r="P61" s="1004"/>
      <c r="Q61" s="1004"/>
      <c r="R61" s="1004"/>
      <c r="S61" s="1004"/>
      <c r="T61" s="1004">
        <f>Z61</f>
        <v>1508000</v>
      </c>
      <c r="U61" s="1004"/>
      <c r="V61" s="1004"/>
      <c r="W61" s="1004"/>
      <c r="X61" s="1004"/>
      <c r="Y61" s="1004"/>
      <c r="Z61" s="1019">
        <f>AW61*BC61</f>
        <v>1508000</v>
      </c>
      <c r="AA61" s="1019"/>
      <c r="AB61" s="1019"/>
      <c r="AC61" s="1019"/>
      <c r="AD61" s="1019"/>
      <c r="AE61" s="1019"/>
      <c r="AF61" s="977">
        <v>0</v>
      </c>
      <c r="AG61" s="977"/>
      <c r="AH61" s="977"/>
      <c r="AI61" s="977"/>
      <c r="AJ61" s="977"/>
      <c r="AK61" s="977"/>
      <c r="AL61" s="977">
        <f t="shared" ref="AL61" si="74">Z61+AF61</f>
        <v>1508000</v>
      </c>
      <c r="AM61" s="977"/>
      <c r="AN61" s="977"/>
      <c r="AO61" s="977"/>
      <c r="AP61" s="977"/>
      <c r="AQ61" s="977"/>
      <c r="AR61" s="674"/>
      <c r="AS61" s="762">
        <v>0</v>
      </c>
      <c r="AT61" s="767">
        <f>AL61-AR61-AS61</f>
        <v>1508000</v>
      </c>
      <c r="AU61" s="715"/>
      <c r="AV61" s="674"/>
      <c r="AW61" s="1027">
        <v>1885</v>
      </c>
      <c r="AX61" s="949"/>
      <c r="AY61" s="949"/>
      <c r="AZ61" s="949" t="s">
        <v>286</v>
      </c>
      <c r="BA61" s="949"/>
      <c r="BB61" s="800" t="s">
        <v>0</v>
      </c>
      <c r="BC61" s="949">
        <v>800</v>
      </c>
      <c r="BD61" s="949"/>
      <c r="BE61" s="949"/>
      <c r="BF61" s="950" t="s">
        <v>21</v>
      </c>
      <c r="BG61" s="950"/>
      <c r="BH61" s="799"/>
      <c r="BI61" s="799"/>
      <c r="BJ61" s="799"/>
      <c r="BK61" s="799"/>
      <c r="BL61" s="534"/>
      <c r="BM61" s="951"/>
      <c r="BN61" s="952"/>
      <c r="BO61" s="952"/>
      <c r="BP61" s="952"/>
      <c r="BQ61" s="952"/>
      <c r="BR61" s="952"/>
      <c r="BS61" s="953"/>
      <c r="BT61" s="942">
        <f t="shared" ref="BT61:BT62" si="75">AL61/$AL$23</f>
        <v>1.6443506695077207E-3</v>
      </c>
      <c r="BU61" s="943"/>
      <c r="BV61" s="880">
        <f t="shared" si="13"/>
        <v>1.6523083377640259E-3</v>
      </c>
      <c r="BW61" s="436"/>
      <c r="BX61" s="436"/>
      <c r="BY61" s="127" t="str">
        <f>G61</f>
        <v>상하수도분담금</v>
      </c>
      <c r="CA61" s="335"/>
      <c r="CB61" s="336">
        <f>IF($CA61=$CA$21, $CB$21, IF($CA61=$CA$20,$CB$20, ))</f>
        <v>0</v>
      </c>
      <c r="CC61" s="324">
        <f>AF61</f>
        <v>0</v>
      </c>
      <c r="CD61" s="324">
        <f t="shared" si="72"/>
        <v>0</v>
      </c>
      <c r="CE61" s="337">
        <f t="shared" si="73"/>
        <v>0</v>
      </c>
    </row>
    <row r="62" spans="1:83" s="25" customFormat="1" ht="20.25" customHeight="1">
      <c r="A62" s="1200"/>
      <c r="B62" s="1260"/>
      <c r="C62" s="1261"/>
      <c r="D62" s="1261"/>
      <c r="E62" s="1261"/>
      <c r="F62" s="1261"/>
      <c r="G62" s="976" t="s">
        <v>350</v>
      </c>
      <c r="H62" s="976"/>
      <c r="I62" s="976"/>
      <c r="J62" s="976"/>
      <c r="K62" s="976"/>
      <c r="L62" s="976"/>
      <c r="M62" s="976"/>
      <c r="N62" s="1004"/>
      <c r="O62" s="1004"/>
      <c r="P62" s="1004"/>
      <c r="Q62" s="1004"/>
      <c r="R62" s="1004"/>
      <c r="S62" s="1004"/>
      <c r="T62" s="1004"/>
      <c r="U62" s="1004"/>
      <c r="V62" s="1004"/>
      <c r="W62" s="1004"/>
      <c r="X62" s="1004"/>
      <c r="Y62" s="1004"/>
      <c r="Z62" s="1019">
        <f>AW62*BC62*BI62</f>
        <v>548685.27450000006</v>
      </c>
      <c r="AA62" s="1019"/>
      <c r="AB62" s="1019"/>
      <c r="AC62" s="1019"/>
      <c r="AD62" s="1019"/>
      <c r="AE62" s="1019"/>
      <c r="AF62" s="977">
        <v>0</v>
      </c>
      <c r="AG62" s="977"/>
      <c r="AH62" s="977"/>
      <c r="AI62" s="977"/>
      <c r="AJ62" s="977"/>
      <c r="AK62" s="977"/>
      <c r="AL62" s="977">
        <f t="shared" ref="AL62" si="76">Z62+AF62</f>
        <v>548685.27450000006</v>
      </c>
      <c r="AM62" s="977"/>
      <c r="AN62" s="977"/>
      <c r="AO62" s="977"/>
      <c r="AP62" s="977"/>
      <c r="AQ62" s="977"/>
      <c r="AR62" s="674"/>
      <c r="AS62" s="762"/>
      <c r="AT62" s="767">
        <f t="shared" ref="AT62:AT65" si="77">AL62-AR62-AS62</f>
        <v>548685.27450000006</v>
      </c>
      <c r="AU62" s="715"/>
      <c r="AV62" s="674"/>
      <c r="AW62" s="1020">
        <f>Z24+Z25+Z26</f>
        <v>121930061</v>
      </c>
      <c r="AX62" s="1021"/>
      <c r="AY62" s="1021"/>
      <c r="AZ62" s="949" t="s">
        <v>21</v>
      </c>
      <c r="BA62" s="949"/>
      <c r="BB62" s="800" t="s">
        <v>0</v>
      </c>
      <c r="BC62" s="1026">
        <v>1.5</v>
      </c>
      <c r="BD62" s="1026"/>
      <c r="BE62" s="1026"/>
      <c r="BF62" s="950"/>
      <c r="BG62" s="950"/>
      <c r="BH62" s="800" t="s">
        <v>0</v>
      </c>
      <c r="BI62" s="968">
        <v>3.0000000000000001E-3</v>
      </c>
      <c r="BJ62" s="949"/>
      <c r="BK62" s="949"/>
      <c r="BL62" s="534"/>
      <c r="BM62" s="965"/>
      <c r="BN62" s="966"/>
      <c r="BO62" s="966"/>
      <c r="BP62" s="966"/>
      <c r="BQ62" s="966"/>
      <c r="BR62" s="966"/>
      <c r="BS62" s="967"/>
      <c r="BT62" s="942">
        <f t="shared" si="75"/>
        <v>5.9829641808561182E-4</v>
      </c>
      <c r="BU62" s="943"/>
      <c r="BV62" s="880">
        <f t="shared" si="13"/>
        <v>6.0119181290762159E-4</v>
      </c>
      <c r="BW62" s="436"/>
      <c r="BX62" s="436"/>
      <c r="BY62" s="127" t="str">
        <f>G62</f>
        <v>토지분재산세</v>
      </c>
      <c r="CA62" s="335"/>
      <c r="CB62" s="336">
        <f>IF($CA62=$CA$21, $CB$21, IF($CA62=$CA$20,$CB$20, ))</f>
        <v>0</v>
      </c>
      <c r="CC62" s="324">
        <f>AF62</f>
        <v>0</v>
      </c>
      <c r="CD62" s="324">
        <f t="shared" si="72"/>
        <v>0</v>
      </c>
      <c r="CE62" s="337">
        <f t="shared" si="73"/>
        <v>0</v>
      </c>
    </row>
    <row r="63" spans="1:83" s="25" customFormat="1" ht="20.25" customHeight="1">
      <c r="A63" s="1200"/>
      <c r="B63" s="1262"/>
      <c r="C63" s="1261"/>
      <c r="D63" s="1261"/>
      <c r="E63" s="1261"/>
      <c r="F63" s="1261"/>
      <c r="G63" s="976" t="s">
        <v>325</v>
      </c>
      <c r="H63" s="976"/>
      <c r="I63" s="976"/>
      <c r="J63" s="976"/>
      <c r="K63" s="976"/>
      <c r="L63" s="976"/>
      <c r="M63" s="976"/>
      <c r="N63" s="1004"/>
      <c r="O63" s="1004"/>
      <c r="P63" s="1004"/>
      <c r="Q63" s="1004"/>
      <c r="R63" s="1004"/>
      <c r="S63" s="1004"/>
      <c r="T63" s="1004"/>
      <c r="U63" s="1004"/>
      <c r="V63" s="1004"/>
      <c r="W63" s="1004"/>
      <c r="X63" s="1004"/>
      <c r="Y63" s="1004"/>
      <c r="Z63" s="1019">
        <f>AW63*BC63</f>
        <v>3472133.3569999994</v>
      </c>
      <c r="AA63" s="1019"/>
      <c r="AB63" s="1019"/>
      <c r="AC63" s="1019"/>
      <c r="AD63" s="1019"/>
      <c r="AE63" s="1019"/>
      <c r="AF63" s="977">
        <v>0</v>
      </c>
      <c r="AG63" s="977"/>
      <c r="AH63" s="977"/>
      <c r="AI63" s="977"/>
      <c r="AJ63" s="977"/>
      <c r="AK63" s="977"/>
      <c r="AL63" s="977">
        <f t="shared" ref="AL63" si="78">Z63+AF63</f>
        <v>3472133.3569999994</v>
      </c>
      <c r="AM63" s="977"/>
      <c r="AN63" s="977"/>
      <c r="AO63" s="977"/>
      <c r="AP63" s="977"/>
      <c r="AQ63" s="977"/>
      <c r="AR63" s="674"/>
      <c r="AS63" s="762"/>
      <c r="AT63" s="767">
        <f t="shared" ref="AT63:AT64" si="79">AL63-AR63-AS63</f>
        <v>3472133.3569999994</v>
      </c>
      <c r="AU63" s="715"/>
      <c r="AV63" s="674"/>
      <c r="AW63" s="1020">
        <f>Z18</f>
        <v>868033339.24999988</v>
      </c>
      <c r="AX63" s="1021"/>
      <c r="AY63" s="1021"/>
      <c r="AZ63" s="949" t="s">
        <v>21</v>
      </c>
      <c r="BA63" s="949"/>
      <c r="BB63" s="800" t="s">
        <v>0</v>
      </c>
      <c r="BC63" s="994">
        <v>4.0000000000000001E-3</v>
      </c>
      <c r="BD63" s="994"/>
      <c r="BE63" s="994"/>
      <c r="BF63" s="800"/>
      <c r="BG63" s="799"/>
      <c r="BH63" s="799"/>
      <c r="BI63" s="799"/>
      <c r="BJ63" s="799"/>
      <c r="BK63" s="799"/>
      <c r="BL63" s="534"/>
      <c r="BM63" s="951"/>
      <c r="BN63" s="952"/>
      <c r="BO63" s="952"/>
      <c r="BP63" s="952"/>
      <c r="BQ63" s="952"/>
      <c r="BR63" s="952"/>
      <c r="BS63" s="953"/>
      <c r="BT63" s="942">
        <f t="shared" ref="BT63" si="80">AL63/$AL$23</f>
        <v>3.7860774603468428E-3</v>
      </c>
      <c r="BU63" s="943"/>
      <c r="BV63" s="880">
        <f t="shared" si="13"/>
        <v>3.8043997981430343E-3</v>
      </c>
      <c r="BW63" s="436"/>
      <c r="BX63" s="436"/>
      <c r="BY63" s="127" t="str">
        <f>G63</f>
        <v>학교용지부담금</v>
      </c>
      <c r="CA63" s="335"/>
      <c r="CB63" s="336">
        <f>IF($CA63=$CA$21, $CB$21, IF($CA63=$CA$20,$CB$20, ))</f>
        <v>0</v>
      </c>
      <c r="CC63" s="324">
        <f>AF63</f>
        <v>0</v>
      </c>
      <c r="CD63" s="324"/>
      <c r="CE63" s="337"/>
    </row>
    <row r="64" spans="1:83" s="25" customFormat="1" ht="20.25" customHeight="1">
      <c r="A64" s="1200"/>
      <c r="B64" s="1262"/>
      <c r="C64" s="1261"/>
      <c r="D64" s="1261"/>
      <c r="E64" s="1261"/>
      <c r="F64" s="1261"/>
      <c r="G64" s="976" t="s">
        <v>352</v>
      </c>
      <c r="H64" s="976"/>
      <c r="I64" s="976"/>
      <c r="J64" s="976"/>
      <c r="K64" s="976"/>
      <c r="L64" s="976"/>
      <c r="M64" s="976"/>
      <c r="N64" s="760"/>
      <c r="O64" s="760"/>
      <c r="P64" s="760"/>
      <c r="Q64" s="760"/>
      <c r="R64" s="760"/>
      <c r="S64" s="760"/>
      <c r="T64" s="760"/>
      <c r="U64" s="760"/>
      <c r="V64" s="760"/>
      <c r="W64" s="760"/>
      <c r="X64" s="760"/>
      <c r="Y64" s="760"/>
      <c r="Z64" s="1019">
        <f>AW64*BC64</f>
        <v>109737.05490000002</v>
      </c>
      <c r="AA64" s="1019"/>
      <c r="AB64" s="1019"/>
      <c r="AC64" s="1019"/>
      <c r="AD64" s="1019"/>
      <c r="AE64" s="1019"/>
      <c r="AF64" s="977">
        <v>0</v>
      </c>
      <c r="AG64" s="977"/>
      <c r="AH64" s="977"/>
      <c r="AI64" s="977"/>
      <c r="AJ64" s="977"/>
      <c r="AK64" s="977"/>
      <c r="AL64" s="977">
        <f t="shared" ref="AL64" si="81">Z64+AF64</f>
        <v>109737.05490000002</v>
      </c>
      <c r="AM64" s="977"/>
      <c r="AN64" s="977"/>
      <c r="AO64" s="977"/>
      <c r="AP64" s="977"/>
      <c r="AQ64" s="977"/>
      <c r="AR64" s="674"/>
      <c r="AS64" s="762"/>
      <c r="AT64" s="767">
        <f t="shared" si="79"/>
        <v>109737.05490000002</v>
      </c>
      <c r="AU64" s="715"/>
      <c r="AV64" s="674"/>
      <c r="AW64" s="1023">
        <f>Z62</f>
        <v>548685.27450000006</v>
      </c>
      <c r="AX64" s="1022"/>
      <c r="AY64" s="1022"/>
      <c r="AZ64" s="1022"/>
      <c r="BA64" s="1022"/>
      <c r="BB64" s="800" t="s">
        <v>0</v>
      </c>
      <c r="BC64" s="994">
        <v>0.2</v>
      </c>
      <c r="BD64" s="994"/>
      <c r="BE64" s="994"/>
      <c r="BF64" s="994"/>
      <c r="BG64" s="994"/>
      <c r="BH64" s="799"/>
      <c r="BI64" s="799"/>
      <c r="BJ64" s="799"/>
      <c r="BK64" s="799"/>
      <c r="BL64" s="534"/>
      <c r="BM64" s="951"/>
      <c r="BN64" s="952"/>
      <c r="BO64" s="952"/>
      <c r="BP64" s="952"/>
      <c r="BQ64" s="952"/>
      <c r="BR64" s="952"/>
      <c r="BS64" s="953"/>
      <c r="BT64" s="942">
        <f t="shared" ref="BT64" si="82">AL64/$AL$23</f>
        <v>1.1965928361712237E-4</v>
      </c>
      <c r="BU64" s="943"/>
      <c r="BV64" s="880">
        <f t="shared" si="13"/>
        <v>1.2023836258152432E-4</v>
      </c>
      <c r="BW64" s="589"/>
      <c r="BX64" s="589"/>
      <c r="BY64" s="127"/>
      <c r="CA64" s="335"/>
      <c r="CB64" s="336"/>
      <c r="CC64" s="324"/>
      <c r="CD64" s="324"/>
      <c r="CE64" s="337"/>
    </row>
    <row r="65" spans="1:83" s="25" customFormat="1" ht="20.25" customHeight="1">
      <c r="A65" s="1200"/>
      <c r="B65" s="1262"/>
      <c r="C65" s="1261"/>
      <c r="D65" s="1261"/>
      <c r="E65" s="1261"/>
      <c r="F65" s="1261"/>
      <c r="G65" s="976" t="s">
        <v>351</v>
      </c>
      <c r="H65" s="976"/>
      <c r="I65" s="976"/>
      <c r="J65" s="976"/>
      <c r="K65" s="976"/>
      <c r="L65" s="976"/>
      <c r="M65" s="976"/>
      <c r="N65" s="1004">
        <v>1670001</v>
      </c>
      <c r="O65" s="1004"/>
      <c r="P65" s="1004"/>
      <c r="Q65" s="1004"/>
      <c r="R65" s="1004"/>
      <c r="S65" s="1004"/>
      <c r="T65" s="1004">
        <f>Z65</f>
        <v>121930.061</v>
      </c>
      <c r="U65" s="1004"/>
      <c r="V65" s="1004"/>
      <c r="W65" s="1004"/>
      <c r="X65" s="1004"/>
      <c r="Y65" s="1004"/>
      <c r="Z65" s="1019">
        <f>AW65*BC65*BI65</f>
        <v>121930.061</v>
      </c>
      <c r="AA65" s="1019"/>
      <c r="AB65" s="1019"/>
      <c r="AC65" s="1019"/>
      <c r="AD65" s="1019"/>
      <c r="AE65" s="1019"/>
      <c r="AF65" s="977">
        <v>0</v>
      </c>
      <c r="AG65" s="977"/>
      <c r="AH65" s="977"/>
      <c r="AI65" s="977"/>
      <c r="AJ65" s="977"/>
      <c r="AK65" s="977"/>
      <c r="AL65" s="977">
        <f t="shared" ref="AL65" si="83">Z65+AF65</f>
        <v>121930.061</v>
      </c>
      <c r="AM65" s="977"/>
      <c r="AN65" s="977"/>
      <c r="AO65" s="977"/>
      <c r="AP65" s="977"/>
      <c r="AQ65" s="977"/>
      <c r="AR65" s="674"/>
      <c r="AS65" s="762"/>
      <c r="AT65" s="767">
        <f t="shared" si="77"/>
        <v>121930.061</v>
      </c>
      <c r="AU65" s="715"/>
      <c r="AV65" s="674"/>
      <c r="AW65" s="1020">
        <f>Z24+Z25+Z26</f>
        <v>121930061</v>
      </c>
      <c r="AX65" s="1021"/>
      <c r="AY65" s="1021"/>
      <c r="AZ65" s="949" t="s">
        <v>21</v>
      </c>
      <c r="BA65" s="949"/>
      <c r="BB65" s="800" t="s">
        <v>0</v>
      </c>
      <c r="BC65" s="994">
        <v>0.5</v>
      </c>
      <c r="BD65" s="994"/>
      <c r="BE65" s="994"/>
      <c r="BF65" s="950"/>
      <c r="BG65" s="950"/>
      <c r="BH65" s="800" t="s">
        <v>0</v>
      </c>
      <c r="BI65" s="968">
        <v>2E-3</v>
      </c>
      <c r="BJ65" s="949"/>
      <c r="BK65" s="949"/>
      <c r="BL65" s="534"/>
      <c r="BM65" s="1056"/>
      <c r="BN65" s="1057"/>
      <c r="BO65" s="1057"/>
      <c r="BP65" s="1057"/>
      <c r="BQ65" s="1057"/>
      <c r="BR65" s="1057"/>
      <c r="BS65" s="1058"/>
      <c r="BT65" s="958">
        <f t="shared" ref="BT65" si="84">AL65/$AL$23</f>
        <v>1.3295475957458039E-4</v>
      </c>
      <c r="BU65" s="959"/>
      <c r="BV65" s="880">
        <f t="shared" si="13"/>
        <v>1.3359818064613812E-4</v>
      </c>
      <c r="BW65" s="436"/>
      <c r="BX65" s="436"/>
      <c r="BY65" s="127" t="str">
        <f>G65</f>
        <v>도시계획세</v>
      </c>
      <c r="CA65" s="335"/>
      <c r="CB65" s="336">
        <f>IF($CA65=$CA$21, $CB$21, IF($CA65=$CA$20,$CB$20, ))</f>
        <v>0</v>
      </c>
      <c r="CC65" s="324">
        <f>AF65</f>
        <v>0</v>
      </c>
      <c r="CD65" s="324">
        <f t="shared" si="72"/>
        <v>0</v>
      </c>
      <c r="CE65" s="337">
        <f t="shared" si="73"/>
        <v>0</v>
      </c>
    </row>
    <row r="66" spans="1:83" s="25" customFormat="1" ht="20.25" customHeight="1">
      <c r="A66" s="1200"/>
      <c r="B66" s="1263"/>
      <c r="C66" s="1264"/>
      <c r="D66" s="1264"/>
      <c r="E66" s="1264"/>
      <c r="F66" s="1265"/>
      <c r="G66" s="979" t="s">
        <v>45</v>
      </c>
      <c r="H66" s="979"/>
      <c r="I66" s="979"/>
      <c r="J66" s="979"/>
      <c r="K66" s="979"/>
      <c r="L66" s="979"/>
      <c r="M66" s="979"/>
      <c r="N66" s="1018">
        <f>SUM(N60:S62)</f>
        <v>4885913</v>
      </c>
      <c r="O66" s="1018"/>
      <c r="P66" s="1018"/>
      <c r="Q66" s="1018"/>
      <c r="R66" s="1018"/>
      <c r="S66" s="1018"/>
      <c r="T66" s="1018" t="e">
        <f>SUM(T60:Y62)</f>
        <v>#REF!</v>
      </c>
      <c r="U66" s="1018"/>
      <c r="V66" s="1018"/>
      <c r="W66" s="1018"/>
      <c r="X66" s="1018"/>
      <c r="Y66" s="1018"/>
      <c r="Z66" s="1003">
        <f>SUM(Z60:AE65)</f>
        <v>20656518.302152004</v>
      </c>
      <c r="AA66" s="1003"/>
      <c r="AB66" s="1003"/>
      <c r="AC66" s="1003"/>
      <c r="AD66" s="1003"/>
      <c r="AE66" s="1003"/>
      <c r="AF66" s="1003">
        <f>SUM(AF60:AK65)</f>
        <v>0</v>
      </c>
      <c r="AG66" s="1003"/>
      <c r="AH66" s="1003"/>
      <c r="AI66" s="1003"/>
      <c r="AJ66" s="1003"/>
      <c r="AK66" s="1003"/>
      <c r="AL66" s="1003">
        <f>SUM(AL60:AQ65)</f>
        <v>20656518.302152004</v>
      </c>
      <c r="AM66" s="1003"/>
      <c r="AN66" s="1003"/>
      <c r="AO66" s="1003"/>
      <c r="AP66" s="1003"/>
      <c r="AQ66" s="1003"/>
      <c r="AR66" s="673">
        <f>SUM(AR60:AR65)</f>
        <v>0</v>
      </c>
      <c r="AS66" s="763">
        <f>SUM(AS60:AS65)</f>
        <v>0</v>
      </c>
      <c r="AT66" s="722">
        <f>SUM(AT60:AT65)</f>
        <v>20656518.302152004</v>
      </c>
      <c r="AU66" s="672">
        <f>SUM(AU60:AU65)</f>
        <v>0</v>
      </c>
      <c r="AV66" s="673">
        <f>SUM(AV60:AV65)</f>
        <v>0</v>
      </c>
      <c r="AW66" s="353"/>
      <c r="AX66" s="353"/>
      <c r="AY66" s="353"/>
      <c r="AZ66" s="353"/>
      <c r="BA66" s="353"/>
      <c r="BB66" s="29"/>
      <c r="BC66" s="36"/>
      <c r="BD66" s="36"/>
      <c r="BE66" s="36"/>
      <c r="BF66" s="68"/>
      <c r="BG66" s="68"/>
      <c r="BH66" s="27"/>
      <c r="BI66" s="27"/>
      <c r="BJ66" s="27"/>
      <c r="BK66" s="27"/>
      <c r="BL66" s="27"/>
      <c r="BM66" s="30"/>
      <c r="BN66" s="31"/>
      <c r="BO66" s="31"/>
      <c r="BP66" s="31"/>
      <c r="BQ66" s="31"/>
      <c r="BR66" s="31"/>
      <c r="BS66" s="32"/>
      <c r="BT66" s="947">
        <f>AL66/$AL$23</f>
        <v>2.2524243832786561E-2</v>
      </c>
      <c r="BU66" s="948"/>
      <c r="BV66" s="880">
        <f t="shared" si="13"/>
        <v>2.2633247625875964E-2</v>
      </c>
      <c r="BW66" s="436"/>
      <c r="BX66" s="436"/>
      <c r="BY66" s="127"/>
      <c r="CA66" s="338"/>
      <c r="CB66" s="339"/>
      <c r="CC66" s="325" t="b">
        <f>SUM(CC60:CC65)=SUM(AF60:AK65)</f>
        <v>1</v>
      </c>
      <c r="CD66" s="325"/>
      <c r="CE66" s="340"/>
    </row>
    <row r="67" spans="1:83" s="25" customFormat="1" ht="20.25" hidden="1" customHeight="1">
      <c r="A67" s="1200"/>
      <c r="B67" s="1088"/>
      <c r="C67" s="1089"/>
      <c r="D67" s="1089"/>
      <c r="E67" s="1089"/>
      <c r="F67" s="1090"/>
      <c r="G67" s="976"/>
      <c r="H67" s="976"/>
      <c r="I67" s="976"/>
      <c r="J67" s="976"/>
      <c r="K67" s="976"/>
      <c r="L67" s="976"/>
      <c r="M67" s="976"/>
      <c r="N67" s="979"/>
      <c r="O67" s="979"/>
      <c r="P67" s="979"/>
      <c r="Q67" s="979"/>
      <c r="R67" s="979"/>
      <c r="S67" s="979"/>
      <c r="T67" s="979"/>
      <c r="U67" s="979"/>
      <c r="V67" s="979"/>
      <c r="W67" s="979"/>
      <c r="X67" s="979"/>
      <c r="Y67" s="979"/>
      <c r="Z67" s="1024"/>
      <c r="AA67" s="1024"/>
      <c r="AB67" s="1024"/>
      <c r="AC67" s="1024"/>
      <c r="AD67" s="1024"/>
      <c r="AE67" s="1024"/>
      <c r="AF67" s="975"/>
      <c r="AG67" s="975"/>
      <c r="AH67" s="975"/>
      <c r="AI67" s="975"/>
      <c r="AJ67" s="975"/>
      <c r="AK67" s="975"/>
      <c r="AL67" s="977"/>
      <c r="AM67" s="977"/>
      <c r="AN67" s="977"/>
      <c r="AO67" s="977"/>
      <c r="AP67" s="977"/>
      <c r="AQ67" s="977"/>
      <c r="AR67" s="674"/>
      <c r="AS67" s="762"/>
      <c r="AT67" s="767"/>
      <c r="AU67" s="715"/>
      <c r="AV67" s="674"/>
      <c r="AW67" s="1025"/>
      <c r="AX67" s="1025"/>
      <c r="AY67" s="1025"/>
      <c r="AZ67" s="1025"/>
      <c r="BA67" s="1025"/>
      <c r="BB67" s="119"/>
      <c r="BC67" s="1070"/>
      <c r="BD67" s="1070"/>
      <c r="BE67" s="287"/>
      <c r="BF67" s="119"/>
      <c r="BG67" s="287"/>
      <c r="BH67" s="287"/>
      <c r="BI67" s="287"/>
      <c r="BJ67" s="287"/>
      <c r="BK67" s="287"/>
      <c r="BL67" s="287"/>
      <c r="BM67" s="1061"/>
      <c r="BN67" s="1062"/>
      <c r="BO67" s="1062"/>
      <c r="BP67" s="1062"/>
      <c r="BQ67" s="1062"/>
      <c r="BR67" s="1062"/>
      <c r="BS67" s="1063"/>
      <c r="BT67" s="1071"/>
      <c r="BU67" s="1072"/>
      <c r="BV67" s="880">
        <f t="shared" si="13"/>
        <v>0</v>
      </c>
      <c r="BW67" s="436"/>
      <c r="BX67" s="436"/>
      <c r="BY67" s="127">
        <f t="shared" ref="BY67:BY80" si="85">G67</f>
        <v>0</v>
      </c>
      <c r="CA67" s="335"/>
      <c r="CB67" s="336">
        <f t="shared" ref="CB67:CB86" si="86">IF($CA67=$CA$21, $CB$21, IF($CA67=$CA$20,$CB$20, ))</f>
        <v>0</v>
      </c>
      <c r="CC67" s="324">
        <f>AF67</f>
        <v>0</v>
      </c>
      <c r="CD67" s="324">
        <f>CC67-CE67</f>
        <v>0</v>
      </c>
      <c r="CE67" s="337">
        <f>CC67*CB67</f>
        <v>0</v>
      </c>
    </row>
    <row r="68" spans="1:83" s="25" customFormat="1" ht="20.25" hidden="1" customHeight="1">
      <c r="A68" s="1200"/>
      <c r="B68" s="1093"/>
      <c r="C68" s="1092"/>
      <c r="D68" s="1092"/>
      <c r="E68" s="1092"/>
      <c r="F68" s="1092"/>
      <c r="G68" s="976"/>
      <c r="H68" s="976"/>
      <c r="I68" s="976"/>
      <c r="J68" s="976"/>
      <c r="K68" s="976"/>
      <c r="L68" s="976"/>
      <c r="M68" s="976"/>
      <c r="N68" s="979"/>
      <c r="O68" s="979"/>
      <c r="P68" s="979"/>
      <c r="Q68" s="979"/>
      <c r="R68" s="979"/>
      <c r="S68" s="979"/>
      <c r="T68" s="979"/>
      <c r="U68" s="979"/>
      <c r="V68" s="979"/>
      <c r="W68" s="979"/>
      <c r="X68" s="979"/>
      <c r="Y68" s="979"/>
      <c r="Z68" s="1024"/>
      <c r="AA68" s="1024"/>
      <c r="AB68" s="1024"/>
      <c r="AC68" s="1024"/>
      <c r="AD68" s="1024"/>
      <c r="AE68" s="1024"/>
      <c r="AF68" s="975"/>
      <c r="AG68" s="975"/>
      <c r="AH68" s="975"/>
      <c r="AI68" s="975"/>
      <c r="AJ68" s="975"/>
      <c r="AK68" s="975"/>
      <c r="AL68" s="977"/>
      <c r="AM68" s="977"/>
      <c r="AN68" s="977"/>
      <c r="AO68" s="977"/>
      <c r="AP68" s="977"/>
      <c r="AQ68" s="977"/>
      <c r="AR68" s="674"/>
      <c r="AS68" s="762"/>
      <c r="AT68" s="767"/>
      <c r="AU68" s="715"/>
      <c r="AV68" s="674"/>
      <c r="AW68" s="1022"/>
      <c r="AX68" s="1022"/>
      <c r="AY68" s="1022"/>
      <c r="AZ68" s="1022"/>
      <c r="BA68" s="1022"/>
      <c r="BB68" s="312"/>
      <c r="BC68" s="994"/>
      <c r="BD68" s="994"/>
      <c r="BE68" s="311"/>
      <c r="BF68" s="312"/>
      <c r="BG68" s="311"/>
      <c r="BH68" s="311"/>
      <c r="BI68" s="311"/>
      <c r="BJ68" s="311"/>
      <c r="BK68" s="311"/>
      <c r="BL68" s="311"/>
      <c r="BM68" s="951"/>
      <c r="BN68" s="952"/>
      <c r="BO68" s="952"/>
      <c r="BP68" s="952"/>
      <c r="BQ68" s="952"/>
      <c r="BR68" s="952"/>
      <c r="BS68" s="953"/>
      <c r="BT68" s="942"/>
      <c r="BU68" s="943"/>
      <c r="BV68" s="880">
        <f t="shared" si="13"/>
        <v>0</v>
      </c>
      <c r="BW68" s="436"/>
      <c r="BX68" s="436"/>
      <c r="BY68" s="127">
        <f t="shared" si="85"/>
        <v>0</v>
      </c>
      <c r="CA68" s="335"/>
      <c r="CB68" s="336">
        <f t="shared" si="86"/>
        <v>0</v>
      </c>
      <c r="CC68" s="324">
        <f>AF68</f>
        <v>0</v>
      </c>
      <c r="CD68" s="324">
        <f>CC68-CE68</f>
        <v>0</v>
      </c>
      <c r="CE68" s="337">
        <f>CC68*CB68</f>
        <v>0</v>
      </c>
    </row>
    <row r="69" spans="1:83" s="25" customFormat="1" ht="20.25" hidden="1" customHeight="1">
      <c r="A69" s="1200"/>
      <c r="B69" s="1093"/>
      <c r="C69" s="1092"/>
      <c r="D69" s="1092"/>
      <c r="E69" s="1092"/>
      <c r="F69" s="1092"/>
      <c r="G69" s="976"/>
      <c r="H69" s="976"/>
      <c r="I69" s="976"/>
      <c r="J69" s="976"/>
      <c r="K69" s="976"/>
      <c r="L69" s="976"/>
      <c r="M69" s="976"/>
      <c r="N69" s="979"/>
      <c r="O69" s="979"/>
      <c r="P69" s="979"/>
      <c r="Q69" s="979"/>
      <c r="R69" s="979"/>
      <c r="S69" s="979"/>
      <c r="T69" s="979"/>
      <c r="U69" s="979"/>
      <c r="V69" s="979"/>
      <c r="W69" s="979"/>
      <c r="X69" s="979"/>
      <c r="Y69" s="979"/>
      <c r="Z69" s="1024"/>
      <c r="AA69" s="1024"/>
      <c r="AB69" s="1024"/>
      <c r="AC69" s="1024"/>
      <c r="AD69" s="1024"/>
      <c r="AE69" s="1024"/>
      <c r="AF69" s="975"/>
      <c r="AG69" s="975"/>
      <c r="AH69" s="975"/>
      <c r="AI69" s="975"/>
      <c r="AJ69" s="975"/>
      <c r="AK69" s="975"/>
      <c r="AL69" s="977"/>
      <c r="AM69" s="977"/>
      <c r="AN69" s="977"/>
      <c r="AO69" s="977"/>
      <c r="AP69" s="977"/>
      <c r="AQ69" s="977"/>
      <c r="AR69" s="674"/>
      <c r="AS69" s="762"/>
      <c r="AT69" s="767"/>
      <c r="AU69" s="715"/>
      <c r="AV69" s="674"/>
      <c r="AW69" s="1076"/>
      <c r="AX69" s="1076"/>
      <c r="AY69" s="1076"/>
      <c r="AZ69" s="1076"/>
      <c r="BA69" s="1076"/>
      <c r="BB69" s="405"/>
      <c r="BC69" s="1080"/>
      <c r="BD69" s="1080"/>
      <c r="BE69" s="302"/>
      <c r="BF69" s="1076"/>
      <c r="BG69" s="1076"/>
      <c r="BH69" s="1076"/>
      <c r="BI69" s="1076"/>
      <c r="BJ69" s="1076"/>
      <c r="BK69" s="302"/>
      <c r="BL69" s="302"/>
      <c r="BM69" s="965"/>
      <c r="BN69" s="966"/>
      <c r="BO69" s="966"/>
      <c r="BP69" s="966"/>
      <c r="BQ69" s="966"/>
      <c r="BR69" s="966"/>
      <c r="BS69" s="967"/>
      <c r="BT69" s="942"/>
      <c r="BU69" s="943"/>
      <c r="BV69" s="880">
        <f t="shared" si="13"/>
        <v>0</v>
      </c>
      <c r="BW69" s="436"/>
      <c r="BX69" s="436"/>
      <c r="BY69" s="127">
        <f t="shared" si="85"/>
        <v>0</v>
      </c>
      <c r="CA69" s="335"/>
      <c r="CB69" s="336">
        <f t="shared" si="86"/>
        <v>0</v>
      </c>
      <c r="CC69" s="324"/>
      <c r="CD69" s="324"/>
      <c r="CE69" s="337"/>
    </row>
    <row r="70" spans="1:83" s="25" customFormat="1" ht="20.25" hidden="1" customHeight="1">
      <c r="A70" s="1200"/>
      <c r="B70" s="1093"/>
      <c r="C70" s="1092"/>
      <c r="D70" s="1092"/>
      <c r="E70" s="1092"/>
      <c r="F70" s="1092"/>
      <c r="G70" s="976"/>
      <c r="H70" s="976"/>
      <c r="I70" s="976"/>
      <c r="J70" s="976"/>
      <c r="K70" s="976"/>
      <c r="L70" s="976"/>
      <c r="M70" s="976"/>
      <c r="N70" s="979"/>
      <c r="O70" s="979"/>
      <c r="P70" s="979"/>
      <c r="Q70" s="979"/>
      <c r="R70" s="979"/>
      <c r="S70" s="979"/>
      <c r="T70" s="979"/>
      <c r="U70" s="979"/>
      <c r="V70" s="979"/>
      <c r="W70" s="979"/>
      <c r="X70" s="979"/>
      <c r="Y70" s="979"/>
      <c r="Z70" s="1024"/>
      <c r="AA70" s="1024"/>
      <c r="AB70" s="1024"/>
      <c r="AC70" s="1024"/>
      <c r="AD70" s="1024"/>
      <c r="AE70" s="1024"/>
      <c r="AF70" s="975"/>
      <c r="AG70" s="975"/>
      <c r="AH70" s="975"/>
      <c r="AI70" s="975"/>
      <c r="AJ70" s="975"/>
      <c r="AK70" s="975"/>
      <c r="AL70" s="977"/>
      <c r="AM70" s="977"/>
      <c r="AN70" s="977"/>
      <c r="AO70" s="977"/>
      <c r="AP70" s="977"/>
      <c r="AQ70" s="977"/>
      <c r="AR70" s="674"/>
      <c r="AS70" s="762"/>
      <c r="AT70" s="767"/>
      <c r="AU70" s="715"/>
      <c r="AV70" s="674"/>
      <c r="AW70" s="1067"/>
      <c r="AX70" s="1067"/>
      <c r="AY70" s="1067"/>
      <c r="AZ70" s="1067"/>
      <c r="BA70" s="1067"/>
      <c r="BB70" s="404"/>
      <c r="BC70" s="954"/>
      <c r="BD70" s="954"/>
      <c r="BE70" s="149"/>
      <c r="BF70" s="1067"/>
      <c r="BG70" s="1067"/>
      <c r="BH70" s="1067"/>
      <c r="BI70" s="1067"/>
      <c r="BJ70" s="1067"/>
      <c r="BK70" s="149"/>
      <c r="BL70" s="149"/>
      <c r="BM70" s="1104"/>
      <c r="BN70" s="1105"/>
      <c r="BO70" s="1105"/>
      <c r="BP70" s="1105"/>
      <c r="BQ70" s="1105"/>
      <c r="BR70" s="1105"/>
      <c r="BS70" s="1106"/>
      <c r="BT70" s="963"/>
      <c r="BU70" s="964"/>
      <c r="BV70" s="880">
        <f t="shared" si="13"/>
        <v>0</v>
      </c>
      <c r="BW70" s="436"/>
      <c r="BX70" s="436"/>
      <c r="BY70" s="127">
        <f t="shared" si="85"/>
        <v>0</v>
      </c>
      <c r="CA70" s="335"/>
      <c r="CB70" s="336">
        <f t="shared" si="86"/>
        <v>0</v>
      </c>
      <c r="CC70" s="324">
        <f>AF70</f>
        <v>0</v>
      </c>
      <c r="CD70" s="324">
        <f>CC70-CE70</f>
        <v>0</v>
      </c>
      <c r="CE70" s="337">
        <f>CC70*CB70</f>
        <v>0</v>
      </c>
    </row>
    <row r="71" spans="1:83" ht="20.25" hidden="1" customHeight="1">
      <c r="A71" s="1200"/>
      <c r="B71" s="1094"/>
      <c r="C71" s="1095"/>
      <c r="D71" s="1095"/>
      <c r="E71" s="1095"/>
      <c r="F71" s="1181"/>
      <c r="G71" s="979" t="s">
        <v>53</v>
      </c>
      <c r="H71" s="979"/>
      <c r="I71" s="979"/>
      <c r="J71" s="979"/>
      <c r="K71" s="979"/>
      <c r="L71" s="979"/>
      <c r="M71" s="979"/>
      <c r="N71" s="1018">
        <f>SUM(N67)</f>
        <v>0</v>
      </c>
      <c r="O71" s="1018"/>
      <c r="P71" s="1018"/>
      <c r="Q71" s="1018"/>
      <c r="R71" s="1018"/>
      <c r="S71" s="1018"/>
      <c r="T71" s="1018">
        <f>SUM(T67)</f>
        <v>0</v>
      </c>
      <c r="U71" s="1018"/>
      <c r="V71" s="1018"/>
      <c r="W71" s="1018"/>
      <c r="X71" s="1018"/>
      <c r="Y71" s="1018"/>
      <c r="Z71" s="1003">
        <f>SUM(Z67:AE70)</f>
        <v>0</v>
      </c>
      <c r="AA71" s="1003"/>
      <c r="AB71" s="1003"/>
      <c r="AC71" s="1003"/>
      <c r="AD71" s="1003"/>
      <c r="AE71" s="1003"/>
      <c r="AF71" s="1003">
        <f>SUM(AF67:AK70)</f>
        <v>0</v>
      </c>
      <c r="AG71" s="1003"/>
      <c r="AH71" s="1003"/>
      <c r="AI71" s="1003"/>
      <c r="AJ71" s="1003"/>
      <c r="AK71" s="1003"/>
      <c r="AL71" s="1003">
        <f>SUM(AL67:AQ70)</f>
        <v>0</v>
      </c>
      <c r="AM71" s="1003"/>
      <c r="AN71" s="1003"/>
      <c r="AO71" s="1003"/>
      <c r="AP71" s="1003"/>
      <c r="AQ71" s="1003"/>
      <c r="AR71" s="673">
        <f>SUM(AR67:AR70)</f>
        <v>0</v>
      </c>
      <c r="AS71" s="763">
        <f>SUM(AS67:AS70)</f>
        <v>0</v>
      </c>
      <c r="AT71" s="722">
        <f>SUM(AT67:AT70)</f>
        <v>0</v>
      </c>
      <c r="AU71" s="672"/>
      <c r="AV71" s="673"/>
      <c r="AW71" s="316"/>
      <c r="AX71" s="27"/>
      <c r="AY71" s="28"/>
      <c r="AZ71" s="28"/>
      <c r="BA71" s="29"/>
      <c r="BB71" s="27"/>
      <c r="BC71" s="27"/>
      <c r="BD71" s="27"/>
      <c r="BE71" s="27"/>
      <c r="BF71" s="29"/>
      <c r="BG71" s="27"/>
      <c r="BH71" s="27"/>
      <c r="BI71" s="27"/>
      <c r="BJ71" s="27"/>
      <c r="BK71" s="27"/>
      <c r="BL71" s="316"/>
      <c r="BM71" s="1033"/>
      <c r="BN71" s="1034"/>
      <c r="BO71" s="1034"/>
      <c r="BP71" s="1034"/>
      <c r="BQ71" s="1034"/>
      <c r="BR71" s="1034"/>
      <c r="BS71" s="1035"/>
      <c r="BT71" s="1045">
        <f t="shared" ref="BT71:BT76" si="87">AL71/$AL$23</f>
        <v>0</v>
      </c>
      <c r="BU71" s="948"/>
      <c r="BV71" s="880">
        <f t="shared" si="13"/>
        <v>0</v>
      </c>
      <c r="BW71" s="436"/>
      <c r="BX71" s="436"/>
      <c r="BY71" s="127" t="str">
        <f t="shared" si="85"/>
        <v>소계</v>
      </c>
      <c r="CA71" s="338"/>
      <c r="CB71" s="336">
        <f t="shared" si="86"/>
        <v>0</v>
      </c>
      <c r="CC71" s="325" t="b">
        <f>SUM(CC67:CC70)=AF71</f>
        <v>1</v>
      </c>
      <c r="CD71" s="325"/>
      <c r="CE71" s="340"/>
    </row>
    <row r="72" spans="1:83" ht="20.25" hidden="1" customHeight="1">
      <c r="A72" s="1200"/>
      <c r="B72" s="1088" t="s">
        <v>215</v>
      </c>
      <c r="C72" s="1089"/>
      <c r="D72" s="1089"/>
      <c r="E72" s="1089"/>
      <c r="F72" s="1090"/>
      <c r="G72" s="976"/>
      <c r="H72" s="976"/>
      <c r="I72" s="976"/>
      <c r="J72" s="976"/>
      <c r="K72" s="976"/>
      <c r="L72" s="976"/>
      <c r="M72" s="976"/>
      <c r="N72" s="979"/>
      <c r="O72" s="979"/>
      <c r="P72" s="979"/>
      <c r="Q72" s="979"/>
      <c r="R72" s="979"/>
      <c r="S72" s="979"/>
      <c r="T72" s="979"/>
      <c r="U72" s="979"/>
      <c r="V72" s="979"/>
      <c r="W72" s="979"/>
      <c r="X72" s="979"/>
      <c r="Y72" s="979"/>
      <c r="Z72" s="975"/>
      <c r="AA72" s="975"/>
      <c r="AB72" s="975"/>
      <c r="AC72" s="975"/>
      <c r="AD72" s="975"/>
      <c r="AE72" s="975"/>
      <c r="AF72" s="975"/>
      <c r="AG72" s="975"/>
      <c r="AH72" s="975"/>
      <c r="AI72" s="975"/>
      <c r="AJ72" s="975"/>
      <c r="AK72" s="975"/>
      <c r="AL72" s="975"/>
      <c r="AM72" s="975"/>
      <c r="AN72" s="975"/>
      <c r="AO72" s="975"/>
      <c r="AP72" s="975"/>
      <c r="AQ72" s="975"/>
      <c r="AR72" s="703"/>
      <c r="AS72" s="735"/>
      <c r="AT72" s="766"/>
      <c r="AU72" s="667"/>
      <c r="AV72" s="703"/>
      <c r="AW72" s="1077"/>
      <c r="AX72" s="1077"/>
      <c r="AY72" s="1077"/>
      <c r="AZ72" s="1077"/>
      <c r="BA72" s="1077"/>
      <c r="BB72" s="44"/>
      <c r="BC72" s="1044"/>
      <c r="BD72" s="1044"/>
      <c r="BE72" s="1044"/>
      <c r="BF72" s="44"/>
      <c r="BG72" s="35"/>
      <c r="BH72" s="35"/>
      <c r="BI72" s="35"/>
      <c r="BJ72" s="35"/>
      <c r="BK72" s="35"/>
      <c r="BL72" s="387"/>
      <c r="BM72" s="1046"/>
      <c r="BN72" s="1047"/>
      <c r="BO72" s="1047"/>
      <c r="BP72" s="1047"/>
      <c r="BQ72" s="1047"/>
      <c r="BR72" s="1047"/>
      <c r="BS72" s="1048"/>
      <c r="BT72" s="1074"/>
      <c r="BU72" s="1075"/>
      <c r="BV72" s="880">
        <f t="shared" si="13"/>
        <v>0</v>
      </c>
      <c r="BW72" s="436"/>
      <c r="BX72" s="436"/>
      <c r="BY72" s="127">
        <f t="shared" si="85"/>
        <v>0</v>
      </c>
      <c r="CA72" s="341"/>
      <c r="CB72" s="336">
        <f t="shared" si="86"/>
        <v>0</v>
      </c>
      <c r="CC72" s="326"/>
      <c r="CD72" s="326"/>
      <c r="CE72" s="337">
        <f t="shared" ref="CE72:CE79" si="88">CC72*CB72</f>
        <v>0</v>
      </c>
    </row>
    <row r="73" spans="1:83" ht="20.25" hidden="1" customHeight="1">
      <c r="A73" s="1200"/>
      <c r="B73" s="1091"/>
      <c r="C73" s="1092"/>
      <c r="D73" s="1092"/>
      <c r="E73" s="1092"/>
      <c r="F73" s="1092"/>
      <c r="G73" s="976"/>
      <c r="H73" s="976"/>
      <c r="I73" s="976"/>
      <c r="J73" s="976"/>
      <c r="K73" s="976"/>
      <c r="L73" s="976"/>
      <c r="M73" s="976"/>
      <c r="N73" s="979"/>
      <c r="O73" s="979"/>
      <c r="P73" s="979"/>
      <c r="Q73" s="979"/>
      <c r="R73" s="979"/>
      <c r="S73" s="979"/>
      <c r="T73" s="979"/>
      <c r="U73" s="979"/>
      <c r="V73" s="979"/>
      <c r="W73" s="979"/>
      <c r="X73" s="979"/>
      <c r="Y73" s="979"/>
      <c r="Z73" s="975"/>
      <c r="AA73" s="975"/>
      <c r="AB73" s="975"/>
      <c r="AC73" s="975"/>
      <c r="AD73" s="975"/>
      <c r="AE73" s="975"/>
      <c r="AF73" s="975"/>
      <c r="AG73" s="975"/>
      <c r="AH73" s="975"/>
      <c r="AI73" s="975"/>
      <c r="AJ73" s="975"/>
      <c r="AK73" s="975"/>
      <c r="AL73" s="975"/>
      <c r="AM73" s="975"/>
      <c r="AN73" s="975"/>
      <c r="AO73" s="975"/>
      <c r="AP73" s="975"/>
      <c r="AQ73" s="975"/>
      <c r="AR73" s="703"/>
      <c r="AS73" s="735"/>
      <c r="AT73" s="766"/>
      <c r="AU73" s="667"/>
      <c r="AV73" s="703"/>
      <c r="AW73" s="1022"/>
      <c r="AX73" s="1022"/>
      <c r="AY73" s="1022"/>
      <c r="AZ73" s="1022"/>
      <c r="BA73" s="1022"/>
      <c r="BB73" s="128"/>
      <c r="BC73" s="1043"/>
      <c r="BD73" s="1043"/>
      <c r="BE73" s="1043"/>
      <c r="BF73" s="42"/>
      <c r="BG73" s="43"/>
      <c r="BH73" s="43"/>
      <c r="BI73" s="43"/>
      <c r="BJ73" s="43"/>
      <c r="BK73" s="43"/>
      <c r="BL73" s="388"/>
      <c r="BM73" s="1049"/>
      <c r="BN73" s="1050"/>
      <c r="BO73" s="1050"/>
      <c r="BP73" s="1050"/>
      <c r="BQ73" s="1050"/>
      <c r="BR73" s="1050"/>
      <c r="BS73" s="1051"/>
      <c r="BT73" s="994"/>
      <c r="BU73" s="943"/>
      <c r="BV73" s="880">
        <f t="shared" si="13"/>
        <v>0</v>
      </c>
      <c r="BW73" s="436"/>
      <c r="BX73" s="436"/>
      <c r="BY73" s="127">
        <f t="shared" si="85"/>
        <v>0</v>
      </c>
      <c r="CA73" s="341"/>
      <c r="CB73" s="336">
        <f t="shared" si="86"/>
        <v>0</v>
      </c>
      <c r="CC73" s="326"/>
      <c r="CD73" s="326"/>
      <c r="CE73" s="337">
        <f t="shared" si="88"/>
        <v>0</v>
      </c>
    </row>
    <row r="74" spans="1:83" ht="20.25" hidden="1" customHeight="1">
      <c r="A74" s="1200"/>
      <c r="B74" s="1091"/>
      <c r="C74" s="1092"/>
      <c r="D74" s="1092"/>
      <c r="E74" s="1092"/>
      <c r="F74" s="1092"/>
      <c r="G74" s="976"/>
      <c r="H74" s="976"/>
      <c r="I74" s="976"/>
      <c r="J74" s="976"/>
      <c r="K74" s="976"/>
      <c r="L74" s="976"/>
      <c r="M74" s="976"/>
      <c r="N74" s="979"/>
      <c r="O74" s="979"/>
      <c r="P74" s="979"/>
      <c r="Q74" s="979"/>
      <c r="R74" s="979"/>
      <c r="S74" s="979"/>
      <c r="T74" s="979"/>
      <c r="U74" s="979"/>
      <c r="V74" s="979"/>
      <c r="W74" s="979"/>
      <c r="X74" s="979"/>
      <c r="Y74" s="979"/>
      <c r="Z74" s="975"/>
      <c r="AA74" s="975"/>
      <c r="AB74" s="975"/>
      <c r="AC74" s="975"/>
      <c r="AD74" s="975"/>
      <c r="AE74" s="975"/>
      <c r="AF74" s="975"/>
      <c r="AG74" s="975"/>
      <c r="AH74" s="975"/>
      <c r="AI74" s="975"/>
      <c r="AJ74" s="975"/>
      <c r="AK74" s="975"/>
      <c r="AL74" s="975"/>
      <c r="AM74" s="975"/>
      <c r="AN74" s="975"/>
      <c r="AO74" s="975"/>
      <c r="AP74" s="975"/>
      <c r="AQ74" s="975"/>
      <c r="AR74" s="703"/>
      <c r="AS74" s="735"/>
      <c r="AT74" s="766"/>
      <c r="AU74" s="667"/>
      <c r="AV74" s="703"/>
      <c r="AW74" s="1022"/>
      <c r="AX74" s="1022"/>
      <c r="AY74" s="1022"/>
      <c r="AZ74" s="1022"/>
      <c r="BA74" s="1022"/>
      <c r="BB74" s="42"/>
      <c r="BC74" s="1073"/>
      <c r="BD74" s="1073"/>
      <c r="BE74" s="1073"/>
      <c r="BF74" s="42"/>
      <c r="BG74" s="104"/>
      <c r="BH74" s="104"/>
      <c r="BI74" s="104"/>
      <c r="BJ74" s="42"/>
      <c r="BK74" s="43"/>
      <c r="BL74" s="388"/>
      <c r="BM74" s="951"/>
      <c r="BN74" s="952"/>
      <c r="BO74" s="952"/>
      <c r="BP74" s="952"/>
      <c r="BQ74" s="952"/>
      <c r="BR74" s="952"/>
      <c r="BS74" s="953"/>
      <c r="BT74" s="994"/>
      <c r="BU74" s="943"/>
      <c r="BV74" s="880">
        <f t="shared" si="13"/>
        <v>0</v>
      </c>
      <c r="BW74" s="436"/>
      <c r="BX74" s="436"/>
      <c r="BY74" s="127">
        <f t="shared" si="85"/>
        <v>0</v>
      </c>
      <c r="CA74" s="341"/>
      <c r="CB74" s="336">
        <f t="shared" si="86"/>
        <v>0</v>
      </c>
      <c r="CC74" s="326"/>
      <c r="CD74" s="326"/>
      <c r="CE74" s="337">
        <f t="shared" si="88"/>
        <v>0</v>
      </c>
    </row>
    <row r="75" spans="1:83" ht="20.25" customHeight="1">
      <c r="A75" s="1200"/>
      <c r="B75" s="1091"/>
      <c r="C75" s="1092"/>
      <c r="D75" s="1092"/>
      <c r="E75" s="1092"/>
      <c r="F75" s="1092"/>
      <c r="G75" s="1140" t="s">
        <v>94</v>
      </c>
      <c r="H75" s="1140"/>
      <c r="I75" s="1140"/>
      <c r="J75" s="1140"/>
      <c r="K75" s="1140"/>
      <c r="L75" s="1140"/>
      <c r="M75" s="1140"/>
      <c r="N75" s="1004" t="e">
        <f>현금흐름표!#REF!</f>
        <v>#REF!</v>
      </c>
      <c r="O75" s="1004"/>
      <c r="P75" s="1004"/>
      <c r="Q75" s="1004"/>
      <c r="R75" s="1004"/>
      <c r="S75" s="1004"/>
      <c r="T75" s="1004" t="e">
        <f>현금흐름표!#REF!</f>
        <v>#REF!</v>
      </c>
      <c r="U75" s="1004"/>
      <c r="V75" s="1004"/>
      <c r="W75" s="1004"/>
      <c r="X75" s="1004"/>
      <c r="Y75" s="1004"/>
      <c r="Z75" s="1019">
        <f>현금흐름표!N88</f>
        <v>28436.962900883955</v>
      </c>
      <c r="AA75" s="1019"/>
      <c r="AB75" s="1019"/>
      <c r="AC75" s="1019"/>
      <c r="AD75" s="1019"/>
      <c r="AE75" s="1019"/>
      <c r="AF75" s="1019">
        <v>0</v>
      </c>
      <c r="AG75" s="1019"/>
      <c r="AH75" s="1019"/>
      <c r="AI75" s="1019"/>
      <c r="AJ75" s="1019"/>
      <c r="AK75" s="1019"/>
      <c r="AL75" s="977">
        <f t="shared" ref="AL75" si="89">Z75+AF75</f>
        <v>28436.962900883955</v>
      </c>
      <c r="AM75" s="977"/>
      <c r="AN75" s="977"/>
      <c r="AO75" s="977"/>
      <c r="AP75" s="977"/>
      <c r="AQ75" s="977"/>
      <c r="AR75" s="674"/>
      <c r="AS75" s="762"/>
      <c r="AT75" s="767">
        <f t="shared" ref="AT75:AT79" si="90">AL75-AR75-AS75</f>
        <v>28436.962900883955</v>
      </c>
      <c r="AU75" s="715"/>
      <c r="AV75" s="674"/>
      <c r="AW75" s="1022" t="s">
        <v>322</v>
      </c>
      <c r="AX75" s="1022"/>
      <c r="AY75" s="1022"/>
      <c r="AZ75" s="1022"/>
      <c r="BA75" s="1022"/>
      <c r="BB75" s="1022"/>
      <c r="BC75" s="146" t="s">
        <v>290</v>
      </c>
      <c r="BD75" s="1028">
        <v>7.7700000000000005E-2</v>
      </c>
      <c r="BE75" s="1028"/>
      <c r="BF75" s="1028"/>
      <c r="BG75" s="1029"/>
      <c r="BH75" s="994"/>
      <c r="BI75" s="994"/>
      <c r="BJ75" s="994"/>
      <c r="BK75" s="994"/>
      <c r="BL75" s="1030"/>
      <c r="BM75" s="951"/>
      <c r="BN75" s="952"/>
      <c r="BO75" s="952"/>
      <c r="BP75" s="952"/>
      <c r="BQ75" s="952"/>
      <c r="BR75" s="952"/>
      <c r="BS75" s="953"/>
      <c r="BT75" s="994">
        <f t="shared" si="87"/>
        <v>3.1008182350686172E-5</v>
      </c>
      <c r="BU75" s="943"/>
      <c r="BV75" s="880">
        <f t="shared" si="13"/>
        <v>3.1158243303592065E-5</v>
      </c>
      <c r="BW75" s="436"/>
      <c r="BX75" s="436"/>
      <c r="BY75" s="127" t="str">
        <f t="shared" si="85"/>
        <v>신탁대지급금이자</v>
      </c>
      <c r="CA75" s="341"/>
      <c r="CB75" s="336">
        <f t="shared" si="86"/>
        <v>0</v>
      </c>
      <c r="CC75" s="324">
        <f t="shared" ref="CC75:CC86" si="91">AF75</f>
        <v>0</v>
      </c>
      <c r="CD75" s="324">
        <f t="shared" ref="CD75:CD81" si="92">CC75-CE75</f>
        <v>0</v>
      </c>
      <c r="CE75" s="337">
        <f t="shared" si="88"/>
        <v>0</v>
      </c>
    </row>
    <row r="76" spans="1:83" ht="20.25" customHeight="1">
      <c r="A76" s="1200"/>
      <c r="B76" s="1091"/>
      <c r="C76" s="1092"/>
      <c r="D76" s="1092"/>
      <c r="E76" s="1092"/>
      <c r="F76" s="1092"/>
      <c r="G76" s="1140" t="s">
        <v>315</v>
      </c>
      <c r="H76" s="1140"/>
      <c r="I76" s="1140"/>
      <c r="J76" s="1140"/>
      <c r="K76" s="1140"/>
      <c r="L76" s="1140"/>
      <c r="M76" s="1140"/>
      <c r="N76" s="1004"/>
      <c r="O76" s="1004"/>
      <c r="P76" s="1004"/>
      <c r="Q76" s="1004"/>
      <c r="R76" s="1004"/>
      <c r="S76" s="1004"/>
      <c r="T76" s="1004"/>
      <c r="U76" s="1004"/>
      <c r="V76" s="1004"/>
      <c r="W76" s="1004"/>
      <c r="X76" s="1004"/>
      <c r="Y76" s="1004"/>
      <c r="Z76" s="1019">
        <f>현금흐름표!BY143</f>
        <v>21495221.149482507</v>
      </c>
      <c r="AA76" s="1019"/>
      <c r="AB76" s="1019"/>
      <c r="AC76" s="1019"/>
      <c r="AD76" s="1019"/>
      <c r="AE76" s="1019"/>
      <c r="AF76" s="1019">
        <v>0</v>
      </c>
      <c r="AG76" s="1019"/>
      <c r="AH76" s="1019"/>
      <c r="AI76" s="1019"/>
      <c r="AJ76" s="1019"/>
      <c r="AK76" s="1019"/>
      <c r="AL76" s="977">
        <f>Z76+AF76</f>
        <v>21495221.149482507</v>
      </c>
      <c r="AM76" s="977"/>
      <c r="AN76" s="977"/>
      <c r="AO76" s="977"/>
      <c r="AP76" s="977"/>
      <c r="AQ76" s="977"/>
      <c r="AR76" s="674"/>
      <c r="AS76" s="762"/>
      <c r="AT76" s="767">
        <v>0</v>
      </c>
      <c r="AU76" s="715">
        <f>AL76</f>
        <v>21495221.149482507</v>
      </c>
      <c r="AV76" s="674"/>
      <c r="AW76" s="1022" t="s">
        <v>321</v>
      </c>
      <c r="AX76" s="1022"/>
      <c r="AY76" s="1022"/>
      <c r="AZ76" s="1022"/>
      <c r="BA76" s="1022"/>
      <c r="BB76" s="1022"/>
      <c r="BC76" s="526" t="s">
        <v>290</v>
      </c>
      <c r="BD76" s="1028">
        <v>4.2000000000000003E-2</v>
      </c>
      <c r="BE76" s="1028"/>
      <c r="BF76" s="1028"/>
      <c r="BG76" s="1029"/>
      <c r="BH76" s="994"/>
      <c r="BI76" s="994"/>
      <c r="BJ76" s="994"/>
      <c r="BK76" s="994"/>
      <c r="BL76" s="1030"/>
      <c r="BM76" s="1064"/>
      <c r="BN76" s="1065"/>
      <c r="BO76" s="1065"/>
      <c r="BP76" s="1065"/>
      <c r="BQ76" s="1065"/>
      <c r="BR76" s="1065"/>
      <c r="BS76" s="1066"/>
      <c r="BT76" s="994">
        <f t="shared" si="87"/>
        <v>2.3438780695204296E-2</v>
      </c>
      <c r="BU76" s="943"/>
      <c r="BV76" s="880">
        <f t="shared" si="13"/>
        <v>2.3552210296665502E-2</v>
      </c>
      <c r="BW76" s="436"/>
      <c r="BX76" s="436"/>
      <c r="BY76" s="127" t="str">
        <f t="shared" si="85"/>
        <v>중도금대출이자</v>
      </c>
      <c r="CA76" s="341"/>
      <c r="CB76" s="336">
        <f t="shared" si="86"/>
        <v>0</v>
      </c>
      <c r="CC76" s="324">
        <f t="shared" si="91"/>
        <v>0</v>
      </c>
      <c r="CD76" s="324">
        <f t="shared" si="92"/>
        <v>0</v>
      </c>
      <c r="CE76" s="337">
        <f t="shared" si="88"/>
        <v>0</v>
      </c>
    </row>
    <row r="77" spans="1:83" ht="20.25" customHeight="1">
      <c r="A77" s="1200"/>
      <c r="B77" s="1093"/>
      <c r="C77" s="1092"/>
      <c r="D77" s="1092"/>
      <c r="E77" s="1092"/>
      <c r="F77" s="1092"/>
      <c r="G77" s="1140" t="s">
        <v>407</v>
      </c>
      <c r="H77" s="1140"/>
      <c r="I77" s="1140"/>
      <c r="J77" s="1140"/>
      <c r="K77" s="1140"/>
      <c r="L77" s="1140"/>
      <c r="M77" s="1140"/>
      <c r="N77" s="794"/>
      <c r="O77" s="794"/>
      <c r="P77" s="794"/>
      <c r="Q77" s="794"/>
      <c r="R77" s="794"/>
      <c r="S77" s="794"/>
      <c r="T77" s="794"/>
      <c r="U77" s="794"/>
      <c r="V77" s="794"/>
      <c r="W77" s="794"/>
      <c r="X77" s="794"/>
      <c r="Y77" s="794"/>
      <c r="Z77" s="1019">
        <f>ROUNDDOWN(AW77*BD77,-3)</f>
        <v>785000</v>
      </c>
      <c r="AA77" s="1019"/>
      <c r="AB77" s="1019"/>
      <c r="AC77" s="1019"/>
      <c r="AD77" s="1019"/>
      <c r="AE77" s="1019"/>
      <c r="AF77" s="1019">
        <f>Z77*0.1</f>
        <v>78500</v>
      </c>
      <c r="AG77" s="1019"/>
      <c r="AH77" s="1019"/>
      <c r="AI77" s="1019"/>
      <c r="AJ77" s="1019"/>
      <c r="AK77" s="1019"/>
      <c r="AL77" s="977">
        <f t="shared" ref="AL77" si="93">Z77+AF77</f>
        <v>863500</v>
      </c>
      <c r="AM77" s="977"/>
      <c r="AN77" s="977"/>
      <c r="AO77" s="977"/>
      <c r="AP77" s="977"/>
      <c r="AQ77" s="977"/>
      <c r="AR77" s="793"/>
      <c r="AS77" s="762"/>
      <c r="AT77" s="767"/>
      <c r="AU77" s="715">
        <f>AL77</f>
        <v>863500</v>
      </c>
      <c r="AV77" s="793"/>
      <c r="AW77" s="1078">
        <f>현금흐름표!BY141</f>
        <v>523850397.35000026</v>
      </c>
      <c r="AX77" s="1079"/>
      <c r="AY77" s="1079"/>
      <c r="AZ77" s="1079"/>
      <c r="BA77" s="1037" t="s">
        <v>21</v>
      </c>
      <c r="BB77" s="1037"/>
      <c r="BC77" s="795" t="s">
        <v>0</v>
      </c>
      <c r="BD77" s="1459">
        <v>1.5E-3</v>
      </c>
      <c r="BE77" s="1459"/>
      <c r="BF77" s="1459"/>
      <c r="BG77" s="1029"/>
      <c r="BH77" s="994"/>
      <c r="BI77" s="994"/>
      <c r="BJ77" s="994"/>
      <c r="BK77" s="994"/>
      <c r="BL77" s="1030"/>
      <c r="BM77" s="1064"/>
      <c r="BN77" s="1065"/>
      <c r="BO77" s="1065"/>
      <c r="BP77" s="1065"/>
      <c r="BQ77" s="1065"/>
      <c r="BR77" s="1065"/>
      <c r="BS77" s="1066"/>
      <c r="BT77" s="994">
        <f t="shared" ref="BT77" si="94">AL77/$AL$23</f>
        <v>9.4157612938986521E-4</v>
      </c>
      <c r="BU77" s="943"/>
      <c r="BV77" s="880">
        <f t="shared" si="13"/>
        <v>8.601207195920161E-4</v>
      </c>
      <c r="BW77" s="796"/>
      <c r="BX77" s="796"/>
      <c r="BY77" s="127"/>
      <c r="CA77" s="341"/>
      <c r="CB77" s="336"/>
      <c r="CC77" s="324"/>
      <c r="CD77" s="324"/>
      <c r="CE77" s="337"/>
    </row>
    <row r="78" spans="1:83" ht="20.25" customHeight="1">
      <c r="A78" s="1200"/>
      <c r="B78" s="1091"/>
      <c r="C78" s="1092"/>
      <c r="D78" s="1092"/>
      <c r="E78" s="1092"/>
      <c r="F78" s="1092"/>
      <c r="G78" s="1140" t="s">
        <v>337</v>
      </c>
      <c r="H78" s="1140"/>
      <c r="I78" s="1140"/>
      <c r="J78" s="1140"/>
      <c r="K78" s="1140"/>
      <c r="L78" s="1140"/>
      <c r="M78" s="1140"/>
      <c r="N78" s="979"/>
      <c r="O78" s="979"/>
      <c r="P78" s="979"/>
      <c r="Q78" s="979"/>
      <c r="R78" s="979"/>
      <c r="S78" s="979"/>
      <c r="T78" s="979"/>
      <c r="U78" s="979"/>
      <c r="V78" s="979"/>
      <c r="W78" s="979"/>
      <c r="X78" s="979"/>
      <c r="Y78" s="979"/>
      <c r="Z78" s="975">
        <v>450000</v>
      </c>
      <c r="AA78" s="975"/>
      <c r="AB78" s="975"/>
      <c r="AC78" s="975"/>
      <c r="AD78" s="975"/>
      <c r="AE78" s="975"/>
      <c r="AF78" s="1019">
        <f>Z78*10%</f>
        <v>45000</v>
      </c>
      <c r="AG78" s="1019"/>
      <c r="AH78" s="1019"/>
      <c r="AI78" s="1019"/>
      <c r="AJ78" s="1019"/>
      <c r="AK78" s="1019"/>
      <c r="AL78" s="977">
        <f>Z78+AF78</f>
        <v>495000</v>
      </c>
      <c r="AM78" s="977"/>
      <c r="AN78" s="977"/>
      <c r="AO78" s="977"/>
      <c r="AP78" s="977"/>
      <c r="AQ78" s="977"/>
      <c r="AR78" s="674"/>
      <c r="AS78" s="762">
        <f>AL78-AR78</f>
        <v>495000</v>
      </c>
      <c r="AT78" s="767">
        <v>0</v>
      </c>
      <c r="AU78" s="715"/>
      <c r="AV78" s="674"/>
      <c r="AW78" s="1068"/>
      <c r="AX78" s="1068"/>
      <c r="AY78" s="1068"/>
      <c r="AZ78" s="1068"/>
      <c r="BA78" s="1068"/>
      <c r="BB78" s="1068"/>
      <c r="BC78" s="1068"/>
      <c r="BD78" s="1068"/>
      <c r="BE78" s="1068"/>
      <c r="BF78" s="1068"/>
      <c r="BG78" s="1068"/>
      <c r="BH78" s="1068"/>
      <c r="BI78" s="1068"/>
      <c r="BJ78" s="1068"/>
      <c r="BK78" s="1068"/>
      <c r="BL78" s="1069"/>
      <c r="BM78" s="951"/>
      <c r="BN78" s="952"/>
      <c r="BO78" s="952"/>
      <c r="BP78" s="952"/>
      <c r="BQ78" s="952"/>
      <c r="BR78" s="952"/>
      <c r="BS78" s="953"/>
      <c r="BT78" s="994">
        <f t="shared" ref="BT78" si="95">AL78/$AL$23</f>
        <v>5.3975701684769346E-4</v>
      </c>
      <c r="BU78" s="943"/>
      <c r="BV78" s="880">
        <f t="shared" si="13"/>
        <v>4.9306283288714299E-4</v>
      </c>
      <c r="BW78" s="436"/>
      <c r="BX78" s="436"/>
      <c r="BY78" s="127" t="str">
        <f t="shared" si="85"/>
        <v>PF부대비용</v>
      </c>
      <c r="CA78" s="341" t="s">
        <v>207</v>
      </c>
      <c r="CB78" s="336">
        <f t="shared" si="86"/>
        <v>1.7933888618123376E-3</v>
      </c>
      <c r="CC78" s="324">
        <f t="shared" si="91"/>
        <v>45000</v>
      </c>
      <c r="CD78" s="324">
        <f t="shared" si="92"/>
        <v>44919.297501218447</v>
      </c>
      <c r="CE78" s="337">
        <f t="shared" si="88"/>
        <v>80.702498781555192</v>
      </c>
    </row>
    <row r="79" spans="1:83" ht="20.25" customHeight="1">
      <c r="A79" s="1200"/>
      <c r="B79" s="1091"/>
      <c r="C79" s="1092"/>
      <c r="D79" s="1092"/>
      <c r="E79" s="1092"/>
      <c r="F79" s="1092"/>
      <c r="G79" s="1140" t="s">
        <v>353</v>
      </c>
      <c r="H79" s="1140"/>
      <c r="I79" s="1140"/>
      <c r="J79" s="1140"/>
      <c r="K79" s="1140"/>
      <c r="L79" s="1140"/>
      <c r="M79" s="1140"/>
      <c r="N79" s="1004">
        <v>3555661</v>
      </c>
      <c r="O79" s="1004"/>
      <c r="P79" s="1004"/>
      <c r="Q79" s="1004"/>
      <c r="R79" s="1004"/>
      <c r="S79" s="1004"/>
      <c r="T79" s="1004">
        <f>Z79</f>
        <v>4500000</v>
      </c>
      <c r="U79" s="1004"/>
      <c r="V79" s="1004"/>
      <c r="W79" s="1004"/>
      <c r="X79" s="1004"/>
      <c r="Y79" s="1004"/>
      <c r="Z79" s="1019">
        <v>4500000</v>
      </c>
      <c r="AA79" s="1019"/>
      <c r="AB79" s="1019"/>
      <c r="AC79" s="1019"/>
      <c r="AD79" s="1019"/>
      <c r="AE79" s="1019"/>
      <c r="AF79" s="1019">
        <f>Z79*0.1</f>
        <v>450000</v>
      </c>
      <c r="AG79" s="1019"/>
      <c r="AH79" s="1019"/>
      <c r="AI79" s="1019"/>
      <c r="AJ79" s="1019"/>
      <c r="AK79" s="1019"/>
      <c r="AL79" s="977">
        <f t="shared" ref="AL79" si="96">Z79+AF79</f>
        <v>4950000</v>
      </c>
      <c r="AM79" s="977"/>
      <c r="AN79" s="977"/>
      <c r="AO79" s="977"/>
      <c r="AP79" s="977"/>
      <c r="AQ79" s="977"/>
      <c r="AR79" s="674"/>
      <c r="AS79" s="762">
        <f>AL79</f>
        <v>4950000</v>
      </c>
      <c r="AT79" s="767">
        <f t="shared" si="90"/>
        <v>0</v>
      </c>
      <c r="AU79" s="715"/>
      <c r="AV79" s="674"/>
      <c r="AW79" s="1053" t="s">
        <v>427</v>
      </c>
      <c r="AX79" s="1054"/>
      <c r="AY79" s="1054"/>
      <c r="AZ79" s="1054"/>
      <c r="BA79" s="1054"/>
      <c r="BB79" s="1054"/>
      <c r="BC79" s="1054"/>
      <c r="BD79" s="1054"/>
      <c r="BE79" s="1054"/>
      <c r="BF79" s="1054"/>
      <c r="BG79" s="1054"/>
      <c r="BH79" s="1054"/>
      <c r="BI79" s="1054"/>
      <c r="BJ79" s="1054"/>
      <c r="BK79" s="1054"/>
      <c r="BL79" s="1055"/>
      <c r="BM79" s="951"/>
      <c r="BN79" s="952"/>
      <c r="BO79" s="952"/>
      <c r="BP79" s="952"/>
      <c r="BQ79" s="952"/>
      <c r="BR79" s="952"/>
      <c r="BS79" s="953"/>
      <c r="BT79" s="994">
        <f t="shared" ref="BT79" si="97">AL79/$AL$23</f>
        <v>5.3975701684769346E-3</v>
      </c>
      <c r="BU79" s="943"/>
      <c r="BV79" s="880">
        <f t="shared" si="13"/>
        <v>4.9306283288714295E-3</v>
      </c>
      <c r="BW79" s="436"/>
      <c r="BX79" s="436"/>
      <c r="BY79" s="127" t="str">
        <f t="shared" si="85"/>
        <v>금융자문수수료</v>
      </c>
      <c r="CA79" s="341" t="s">
        <v>211</v>
      </c>
      <c r="CB79" s="336">
        <f t="shared" si="86"/>
        <v>1.7933888618123376E-3</v>
      </c>
      <c r="CC79" s="324">
        <f t="shared" si="91"/>
        <v>450000</v>
      </c>
      <c r="CD79" s="324">
        <f t="shared" si="92"/>
        <v>449192.97501218447</v>
      </c>
      <c r="CE79" s="337">
        <f t="shared" si="88"/>
        <v>807.02498781555187</v>
      </c>
    </row>
    <row r="80" spans="1:83" ht="20.25" customHeight="1">
      <c r="A80" s="1200"/>
      <c r="B80" s="1093"/>
      <c r="C80" s="1092"/>
      <c r="D80" s="1092"/>
      <c r="E80" s="1092"/>
      <c r="F80" s="1092"/>
      <c r="G80" s="1141" t="s">
        <v>176</v>
      </c>
      <c r="H80" s="1141"/>
      <c r="I80" s="1141"/>
      <c r="J80" s="1141"/>
      <c r="K80" s="1141"/>
      <c r="L80" s="1141"/>
      <c r="M80" s="1141"/>
      <c r="N80" s="1004">
        <v>3555662</v>
      </c>
      <c r="O80" s="1004"/>
      <c r="P80" s="1004"/>
      <c r="Q80" s="1004"/>
      <c r="R80" s="1004"/>
      <c r="S80" s="1004"/>
      <c r="T80" s="1004">
        <f>Z80</f>
        <v>0</v>
      </c>
      <c r="U80" s="1004"/>
      <c r="V80" s="1004"/>
      <c r="W80" s="1004"/>
      <c r="X80" s="1004"/>
      <c r="Y80" s="1004"/>
      <c r="Z80" s="1019"/>
      <c r="AA80" s="1019"/>
      <c r="AB80" s="1019"/>
      <c r="AC80" s="1019"/>
      <c r="AD80" s="1019"/>
      <c r="AE80" s="1019"/>
      <c r="AF80" s="1019">
        <v>0</v>
      </c>
      <c r="AG80" s="1019"/>
      <c r="AH80" s="1019"/>
      <c r="AI80" s="1019"/>
      <c r="AJ80" s="1019"/>
      <c r="AK80" s="1019"/>
      <c r="AL80" s="977">
        <f t="shared" ref="AL80" si="98">Z80+AF80</f>
        <v>0</v>
      </c>
      <c r="AM80" s="977"/>
      <c r="AN80" s="977"/>
      <c r="AO80" s="977"/>
      <c r="AP80" s="977"/>
      <c r="AQ80" s="977"/>
      <c r="AR80" s="674"/>
      <c r="AS80" s="762">
        <f>AL80</f>
        <v>0</v>
      </c>
      <c r="AT80" s="767">
        <f>AL80-AR80-AS80</f>
        <v>0</v>
      </c>
      <c r="AU80" s="715"/>
      <c r="AV80" s="674"/>
      <c r="AW80" s="1078"/>
      <c r="AX80" s="1079"/>
      <c r="AY80" s="1079"/>
      <c r="AZ80" s="1079"/>
      <c r="BA80" s="1037" t="s">
        <v>21</v>
      </c>
      <c r="BB80" s="1037"/>
      <c r="BC80" s="545" t="s">
        <v>0</v>
      </c>
      <c r="BD80" s="1052">
        <v>0</v>
      </c>
      <c r="BE80" s="1052"/>
      <c r="BF80" s="1052"/>
      <c r="BG80" s="1029"/>
      <c r="BH80" s="994"/>
      <c r="BI80" s="994"/>
      <c r="BJ80" s="994"/>
      <c r="BK80" s="994"/>
      <c r="BL80" s="1030"/>
      <c r="BM80" s="1059" t="s">
        <v>422</v>
      </c>
      <c r="BN80" s="1060"/>
      <c r="BO80" s="1060"/>
      <c r="BP80" s="1060"/>
      <c r="BQ80" s="1060"/>
      <c r="BR80" s="1060"/>
      <c r="BS80" s="855">
        <v>0.11</v>
      </c>
      <c r="BT80" s="1031">
        <f t="shared" ref="BT80" si="99">AL80/$AL$23</f>
        <v>0</v>
      </c>
      <c r="BU80" s="1032"/>
      <c r="BV80" s="880">
        <f t="shared" si="13"/>
        <v>0</v>
      </c>
      <c r="BW80" s="436"/>
      <c r="BX80" s="436"/>
      <c r="BY80" s="127" t="str">
        <f t="shared" si="85"/>
        <v>PF취급수수료</v>
      </c>
      <c r="CA80" s="341" t="s">
        <v>207</v>
      </c>
      <c r="CB80" s="336">
        <f t="shared" si="86"/>
        <v>1.7933888618123376E-3</v>
      </c>
      <c r="CC80" s="324">
        <f t="shared" si="91"/>
        <v>0</v>
      </c>
      <c r="CD80" s="324">
        <f t="shared" si="92"/>
        <v>0</v>
      </c>
      <c r="CE80" s="337">
        <f t="shared" ref="CE80" si="100">CC80*CB80</f>
        <v>0</v>
      </c>
    </row>
    <row r="81" spans="1:83" ht="20.25" customHeight="1">
      <c r="A81" s="1200"/>
      <c r="B81" s="1093"/>
      <c r="C81" s="1092"/>
      <c r="D81" s="1092"/>
      <c r="E81" s="1092"/>
      <c r="F81" s="1092"/>
      <c r="G81" s="976" t="s">
        <v>33</v>
      </c>
      <c r="H81" s="976"/>
      <c r="I81" s="976"/>
      <c r="J81" s="976" t="s">
        <v>264</v>
      </c>
      <c r="K81" s="976"/>
      <c r="L81" s="976"/>
      <c r="M81" s="976"/>
      <c r="N81" s="1004">
        <v>3555660</v>
      </c>
      <c r="O81" s="1004"/>
      <c r="P81" s="1004"/>
      <c r="Q81" s="1004"/>
      <c r="R81" s="1004"/>
      <c r="S81" s="1004"/>
      <c r="T81" s="1004">
        <f>Z81</f>
        <v>89918692.875601038</v>
      </c>
      <c r="U81" s="1004"/>
      <c r="V81" s="1004"/>
      <c r="W81" s="1004"/>
      <c r="X81" s="1004"/>
      <c r="Y81" s="1004"/>
      <c r="Z81" s="1019">
        <f>현금흐름표!N94</f>
        <v>89918692.875601038</v>
      </c>
      <c r="AA81" s="1019"/>
      <c r="AB81" s="1019"/>
      <c r="AC81" s="1019"/>
      <c r="AD81" s="1019"/>
      <c r="AE81" s="1019"/>
      <c r="AF81" s="1019">
        <v>0</v>
      </c>
      <c r="AG81" s="1019"/>
      <c r="AH81" s="1019"/>
      <c r="AI81" s="1019"/>
      <c r="AJ81" s="1019"/>
      <c r="AK81" s="1019"/>
      <c r="AL81" s="977">
        <f t="shared" ref="AL81" si="101">Z81+AF81</f>
        <v>89918692.875601038</v>
      </c>
      <c r="AM81" s="977"/>
      <c r="AN81" s="977"/>
      <c r="AO81" s="977"/>
      <c r="AP81" s="977"/>
      <c r="AQ81" s="977"/>
      <c r="AR81" s="674"/>
      <c r="AS81" s="762">
        <v>0</v>
      </c>
      <c r="AT81" s="767">
        <v>0</v>
      </c>
      <c r="AU81" s="715"/>
      <c r="AV81" s="674">
        <f>AL81</f>
        <v>89918692.875601038</v>
      </c>
      <c r="AW81" s="1078">
        <f>ROUNDUP(현금흐름표!N109,-6)</f>
        <v>149000000</v>
      </c>
      <c r="AX81" s="1079"/>
      <c r="AY81" s="1079"/>
      <c r="AZ81" s="1079"/>
      <c r="BA81" s="1037" t="s">
        <v>21</v>
      </c>
      <c r="BB81" s="1037"/>
      <c r="BC81" s="413" t="s">
        <v>0</v>
      </c>
      <c r="BD81" s="1052">
        <f>'IRR 계산'!C2</f>
        <v>0.11</v>
      </c>
      <c r="BE81" s="1052"/>
      <c r="BF81" s="1052"/>
      <c r="BG81" s="1029" t="s">
        <v>428</v>
      </c>
      <c r="BH81" s="994"/>
      <c r="BI81" s="994"/>
      <c r="BJ81" s="994"/>
      <c r="BK81" s="994"/>
      <c r="BL81" s="1030"/>
      <c r="BM81" s="1023" t="s">
        <v>313</v>
      </c>
      <c r="BN81" s="1022"/>
      <c r="BO81" s="1022"/>
      <c r="BP81" s="1022"/>
      <c r="BQ81" s="1022"/>
      <c r="BR81" s="1022"/>
      <c r="BS81" s="542">
        <f>AS89</f>
        <v>148069288.39525002</v>
      </c>
      <c r="BT81" s="1031">
        <f t="shared" ref="BT81:BT82" si="102">AL81/$AL$23</f>
        <v>9.8048980657330032E-2</v>
      </c>
      <c r="BU81" s="1032"/>
      <c r="BV81" s="880">
        <f t="shared" si="13"/>
        <v>9.8523478752784027E-2</v>
      </c>
      <c r="BW81" s="436"/>
      <c r="BX81" s="436"/>
      <c r="BY81" s="127" t="str">
        <f>J81</f>
        <v>일시</v>
      </c>
      <c r="CA81" s="341"/>
      <c r="CB81" s="336">
        <f t="shared" si="86"/>
        <v>0</v>
      </c>
      <c r="CC81" s="324">
        <f t="shared" si="91"/>
        <v>0</v>
      </c>
      <c r="CD81" s="324">
        <f t="shared" si="92"/>
        <v>0</v>
      </c>
      <c r="CE81" s="337">
        <f>CC81*CB81</f>
        <v>0</v>
      </c>
    </row>
    <row r="82" spans="1:83" ht="20.25" customHeight="1">
      <c r="A82" s="1200"/>
      <c r="B82" s="1093"/>
      <c r="C82" s="1092"/>
      <c r="D82" s="1092"/>
      <c r="E82" s="1092"/>
      <c r="F82" s="1092"/>
      <c r="G82" s="976"/>
      <c r="H82" s="976"/>
      <c r="I82" s="976"/>
      <c r="J82" s="976" t="s">
        <v>333</v>
      </c>
      <c r="K82" s="976"/>
      <c r="L82" s="976"/>
      <c r="M82" s="976"/>
      <c r="N82" s="760"/>
      <c r="O82" s="760"/>
      <c r="P82" s="760"/>
      <c r="Q82" s="760"/>
      <c r="R82" s="760"/>
      <c r="S82" s="760"/>
      <c r="T82" s="760"/>
      <c r="U82" s="760"/>
      <c r="V82" s="760"/>
      <c r="W82" s="760"/>
      <c r="X82" s="760"/>
      <c r="Y82" s="760"/>
      <c r="Z82" s="1019">
        <f>현금흐름표!N95</f>
        <v>0</v>
      </c>
      <c r="AA82" s="1019"/>
      <c r="AB82" s="1019"/>
      <c r="AC82" s="1019"/>
      <c r="AD82" s="1019"/>
      <c r="AE82" s="1019"/>
      <c r="AF82" s="1019">
        <v>0</v>
      </c>
      <c r="AG82" s="1019"/>
      <c r="AH82" s="1019"/>
      <c r="AI82" s="1019"/>
      <c r="AJ82" s="1019"/>
      <c r="AK82" s="1019"/>
      <c r="AL82" s="977">
        <f>Z82+AF82</f>
        <v>0</v>
      </c>
      <c r="AM82" s="977"/>
      <c r="AN82" s="977"/>
      <c r="AO82" s="977"/>
      <c r="AP82" s="977"/>
      <c r="AQ82" s="977"/>
      <c r="AR82" s="674"/>
      <c r="AS82" s="762">
        <v>0</v>
      </c>
      <c r="AT82" s="767">
        <f t="shared" ref="AT82" si="103">AL82-AR82-AS82</f>
        <v>0</v>
      </c>
      <c r="AU82" s="715"/>
      <c r="AV82" s="674"/>
      <c r="AW82" s="1078"/>
      <c r="AX82" s="1079"/>
      <c r="AY82" s="1079"/>
      <c r="AZ82" s="1079"/>
      <c r="BA82" s="1037" t="s">
        <v>21</v>
      </c>
      <c r="BB82" s="1037"/>
      <c r="BC82" s="413" t="s">
        <v>0</v>
      </c>
      <c r="BD82" s="1052">
        <f>BD81</f>
        <v>0.11</v>
      </c>
      <c r="BE82" s="1052"/>
      <c r="BF82" s="1052"/>
      <c r="BG82" s="1029"/>
      <c r="BH82" s="994"/>
      <c r="BI82" s="994"/>
      <c r="BJ82" s="994"/>
      <c r="BK82" s="994"/>
      <c r="BL82" s="1030"/>
      <c r="BM82" s="1027" t="s">
        <v>423</v>
      </c>
      <c r="BN82" s="1100"/>
      <c r="BO82" s="1100"/>
      <c r="BP82" s="1100"/>
      <c r="BQ82" s="1100"/>
      <c r="BR82" s="1100"/>
      <c r="BS82" s="1101"/>
      <c r="BT82" s="942">
        <f t="shared" si="102"/>
        <v>0</v>
      </c>
      <c r="BU82" s="943"/>
      <c r="BV82" s="880">
        <f t="shared" si="13"/>
        <v>0</v>
      </c>
      <c r="BW82" s="436"/>
      <c r="BX82" s="436"/>
      <c r="BY82" s="127" t="str">
        <f>J82</f>
        <v>한도</v>
      </c>
      <c r="CA82" s="341"/>
      <c r="CB82" s="336">
        <f t="shared" si="86"/>
        <v>0</v>
      </c>
      <c r="CC82" s="324">
        <f t="shared" si="91"/>
        <v>0</v>
      </c>
      <c r="CD82" s="324">
        <f t="shared" ref="CD82" si="104">CC82-CE82</f>
        <v>0</v>
      </c>
      <c r="CE82" s="337">
        <f t="shared" ref="CE82" si="105">CC82*CB82</f>
        <v>0</v>
      </c>
    </row>
    <row r="83" spans="1:83" ht="20.25" hidden="1" customHeight="1">
      <c r="A83" s="1200"/>
      <c r="B83" s="1093"/>
      <c r="C83" s="1092"/>
      <c r="D83" s="1092"/>
      <c r="E83" s="1092"/>
      <c r="F83" s="1092"/>
      <c r="G83" s="1097"/>
      <c r="H83" s="972"/>
      <c r="I83" s="972"/>
      <c r="J83" s="972"/>
      <c r="K83" s="972"/>
      <c r="L83" s="972"/>
      <c r="M83" s="1098"/>
      <c r="N83" s="1099"/>
      <c r="O83" s="1099"/>
      <c r="P83" s="1099"/>
      <c r="Q83" s="1099"/>
      <c r="R83" s="1099"/>
      <c r="S83" s="1099"/>
      <c r="T83" s="1099"/>
      <c r="U83" s="1099"/>
      <c r="V83" s="1099"/>
      <c r="W83" s="1099"/>
      <c r="X83" s="1099"/>
      <c r="Y83" s="1099"/>
      <c r="Z83" s="1148"/>
      <c r="AA83" s="1149"/>
      <c r="AB83" s="1149"/>
      <c r="AC83" s="1149"/>
      <c r="AD83" s="1149"/>
      <c r="AE83" s="1149"/>
      <c r="AF83" s="1150"/>
      <c r="AG83" s="1149"/>
      <c r="AH83" s="1149"/>
      <c r="AI83" s="1149"/>
      <c r="AJ83" s="1149"/>
      <c r="AK83" s="1151"/>
      <c r="AL83" s="1146"/>
      <c r="AM83" s="1147"/>
      <c r="AN83" s="1147"/>
      <c r="AO83" s="1147"/>
      <c r="AP83" s="1147"/>
      <c r="AQ83" s="1147"/>
      <c r="AR83" s="432"/>
      <c r="AS83" s="712"/>
      <c r="AT83" s="725"/>
      <c r="AU83" s="758"/>
      <c r="AV83" s="759"/>
      <c r="AW83" s="949"/>
      <c r="AX83" s="949"/>
      <c r="AY83" s="949"/>
      <c r="AZ83" s="949"/>
      <c r="BA83" s="949"/>
      <c r="BB83" s="949"/>
      <c r="BC83" s="949"/>
      <c r="BD83" s="949"/>
      <c r="BE83" s="949"/>
      <c r="BF83" s="949"/>
      <c r="BG83" s="949"/>
      <c r="BH83" s="949"/>
      <c r="BI83" s="949"/>
      <c r="BJ83" s="949"/>
      <c r="BK83" s="949"/>
      <c r="BL83" s="1039"/>
      <c r="BM83" s="951"/>
      <c r="BN83" s="952"/>
      <c r="BO83" s="952"/>
      <c r="BP83" s="952"/>
      <c r="BQ83" s="952"/>
      <c r="BR83" s="952"/>
      <c r="BS83" s="953"/>
      <c r="BT83" s="1031"/>
      <c r="BU83" s="1032"/>
      <c r="BV83" s="880">
        <f t="shared" si="13"/>
        <v>0</v>
      </c>
      <c r="BW83" s="436"/>
      <c r="BX83" s="436"/>
      <c r="BY83" s="127">
        <f>G83</f>
        <v>0</v>
      </c>
      <c r="CA83" s="341" t="s">
        <v>256</v>
      </c>
      <c r="CB83" s="336">
        <f t="shared" si="86"/>
        <v>1.7933888618123376E-3</v>
      </c>
      <c r="CC83" s="324">
        <f t="shared" si="91"/>
        <v>0</v>
      </c>
      <c r="CD83" s="324">
        <f>CC83-CE83</f>
        <v>0</v>
      </c>
      <c r="CE83" s="337">
        <f>CC83*CB83</f>
        <v>0</v>
      </c>
    </row>
    <row r="84" spans="1:83" ht="20.25" hidden="1" customHeight="1">
      <c r="A84" s="1200"/>
      <c r="B84" s="1093"/>
      <c r="C84" s="1092"/>
      <c r="D84" s="1092"/>
      <c r="E84" s="1092"/>
      <c r="F84" s="1092"/>
      <c r="G84" s="1133"/>
      <c r="H84" s="1134"/>
      <c r="I84" s="1134"/>
      <c r="J84" s="1134"/>
      <c r="K84" s="1134"/>
      <c r="L84" s="1134"/>
      <c r="M84" s="1135"/>
      <c r="N84" s="1130"/>
      <c r="O84" s="1022"/>
      <c r="P84" s="1022"/>
      <c r="Q84" s="1022"/>
      <c r="R84" s="1022"/>
      <c r="S84" s="1136"/>
      <c r="T84" s="1130"/>
      <c r="U84" s="1022"/>
      <c r="V84" s="1022"/>
      <c r="W84" s="1022"/>
      <c r="X84" s="1022"/>
      <c r="Y84" s="1131"/>
      <c r="Z84" s="1132"/>
      <c r="AA84" s="1120"/>
      <c r="AB84" s="1120"/>
      <c r="AC84" s="1120"/>
      <c r="AD84" s="1120"/>
      <c r="AE84" s="1121"/>
      <c r="AF84" s="1119"/>
      <c r="AG84" s="1120"/>
      <c r="AH84" s="1120"/>
      <c r="AI84" s="1120"/>
      <c r="AJ84" s="1120"/>
      <c r="AK84" s="1121"/>
      <c r="AL84" s="1107"/>
      <c r="AM84" s="1108"/>
      <c r="AN84" s="1108"/>
      <c r="AO84" s="1108"/>
      <c r="AP84" s="1108"/>
      <c r="AQ84" s="1145"/>
      <c r="AR84" s="431"/>
      <c r="AS84" s="711"/>
      <c r="AT84" s="723"/>
      <c r="AU84" s="734"/>
      <c r="AV84" s="674"/>
      <c r="AW84" s="1102"/>
      <c r="AX84" s="1103"/>
      <c r="AY84" s="1103"/>
      <c r="AZ84" s="1103"/>
      <c r="BA84" s="1037"/>
      <c r="BB84" s="1037"/>
      <c r="BC84" s="435"/>
      <c r="BD84" s="1038"/>
      <c r="BE84" s="1038"/>
      <c r="BF84" s="1038"/>
      <c r="BG84" s="1029"/>
      <c r="BH84" s="994"/>
      <c r="BI84" s="994"/>
      <c r="BJ84" s="994"/>
      <c r="BK84" s="994"/>
      <c r="BL84" s="1030"/>
      <c r="BM84" s="951"/>
      <c r="BN84" s="952"/>
      <c r="BO84" s="952"/>
      <c r="BP84" s="952"/>
      <c r="BQ84" s="952"/>
      <c r="BR84" s="952"/>
      <c r="BS84" s="953"/>
      <c r="BT84" s="942"/>
      <c r="BU84" s="943"/>
      <c r="BV84" s="880">
        <f t="shared" si="13"/>
        <v>0</v>
      </c>
      <c r="BW84" s="436"/>
      <c r="BX84" s="436"/>
      <c r="BY84" s="127">
        <f t="shared" ref="BY84:BY86" si="106">G84</f>
        <v>0</v>
      </c>
      <c r="CA84" s="341"/>
      <c r="CB84" s="336">
        <f t="shared" si="86"/>
        <v>0</v>
      </c>
      <c r="CC84" s="324">
        <f t="shared" si="91"/>
        <v>0</v>
      </c>
      <c r="CD84" s="324">
        <f t="shared" ref="CD84" si="107">CC84-CE84</f>
        <v>0</v>
      </c>
      <c r="CE84" s="337">
        <f t="shared" ref="CE84" si="108">CC84*CB84</f>
        <v>0</v>
      </c>
    </row>
    <row r="85" spans="1:83" ht="20.25" hidden="1" customHeight="1">
      <c r="A85" s="1200"/>
      <c r="B85" s="1093"/>
      <c r="C85" s="1092"/>
      <c r="D85" s="1092"/>
      <c r="E85" s="1092"/>
      <c r="F85" s="1092"/>
      <c r="G85" s="1137"/>
      <c r="H85" s="950"/>
      <c r="I85" s="950"/>
      <c r="J85" s="950"/>
      <c r="K85" s="950"/>
      <c r="L85" s="950"/>
      <c r="M85" s="1138"/>
      <c r="N85" s="1139"/>
      <c r="O85" s="1139"/>
      <c r="P85" s="1139"/>
      <c r="Q85" s="1139"/>
      <c r="R85" s="1139"/>
      <c r="S85" s="1139"/>
      <c r="T85" s="1139"/>
      <c r="U85" s="1139"/>
      <c r="V85" s="1139"/>
      <c r="W85" s="1139"/>
      <c r="X85" s="1139"/>
      <c r="Y85" s="1139"/>
      <c r="Z85" s="1132"/>
      <c r="AA85" s="1120"/>
      <c r="AB85" s="1120"/>
      <c r="AC85" s="1120"/>
      <c r="AD85" s="1120"/>
      <c r="AE85" s="1120"/>
      <c r="AF85" s="1119"/>
      <c r="AG85" s="1120"/>
      <c r="AH85" s="1120"/>
      <c r="AI85" s="1120"/>
      <c r="AJ85" s="1120"/>
      <c r="AK85" s="1121"/>
      <c r="AL85" s="1107"/>
      <c r="AM85" s="1108"/>
      <c r="AN85" s="1108"/>
      <c r="AO85" s="1108"/>
      <c r="AP85" s="1108"/>
      <c r="AQ85" s="1108"/>
      <c r="AR85" s="431"/>
      <c r="AS85" s="711"/>
      <c r="AT85" s="723"/>
      <c r="AU85" s="734"/>
      <c r="AV85" s="674"/>
      <c r="AW85" s="949"/>
      <c r="AX85" s="949"/>
      <c r="AY85" s="949"/>
      <c r="AZ85" s="949"/>
      <c r="BA85" s="949"/>
      <c r="BB85" s="949"/>
      <c r="BC85" s="949"/>
      <c r="BD85" s="949"/>
      <c r="BE85" s="949"/>
      <c r="BF85" s="949"/>
      <c r="BG85" s="949"/>
      <c r="BH85" s="949"/>
      <c r="BI85" s="949"/>
      <c r="BJ85" s="949"/>
      <c r="BK85" s="949"/>
      <c r="BL85" s="1039"/>
      <c r="BM85" s="951"/>
      <c r="BN85" s="952"/>
      <c r="BO85" s="952"/>
      <c r="BP85" s="952"/>
      <c r="BQ85" s="952"/>
      <c r="BR85" s="952"/>
      <c r="BS85" s="953"/>
      <c r="BT85" s="1031"/>
      <c r="BU85" s="1032"/>
      <c r="BV85" s="880">
        <f t="shared" si="13"/>
        <v>0</v>
      </c>
      <c r="BW85" s="436"/>
      <c r="BX85" s="436"/>
      <c r="BY85" s="127">
        <f t="shared" si="106"/>
        <v>0</v>
      </c>
      <c r="CA85" s="341" t="s">
        <v>256</v>
      </c>
      <c r="CB85" s="336">
        <f t="shared" si="86"/>
        <v>1.7933888618123376E-3</v>
      </c>
      <c r="CC85" s="324">
        <f t="shared" si="91"/>
        <v>0</v>
      </c>
      <c r="CD85" s="324">
        <f t="shared" ref="CD85:CD86" si="109">CC85-CE85</f>
        <v>0</v>
      </c>
      <c r="CE85" s="337">
        <f t="shared" ref="CE85:CE86" si="110">CC85*CB85</f>
        <v>0</v>
      </c>
    </row>
    <row r="86" spans="1:83" ht="20.25" hidden="1" customHeight="1">
      <c r="A86" s="1200"/>
      <c r="B86" s="1093"/>
      <c r="C86" s="1092"/>
      <c r="D86" s="1092"/>
      <c r="E86" s="1092"/>
      <c r="F86" s="1092"/>
      <c r="G86" s="1137"/>
      <c r="H86" s="950"/>
      <c r="I86" s="950"/>
      <c r="J86" s="950"/>
      <c r="K86" s="950"/>
      <c r="L86" s="950"/>
      <c r="M86" s="1138"/>
      <c r="N86" s="1139"/>
      <c r="O86" s="1139"/>
      <c r="P86" s="1139"/>
      <c r="Q86" s="1139"/>
      <c r="R86" s="1139"/>
      <c r="S86" s="1139"/>
      <c r="T86" s="1139"/>
      <c r="U86" s="1139"/>
      <c r="V86" s="1139"/>
      <c r="W86" s="1139"/>
      <c r="X86" s="1139"/>
      <c r="Y86" s="1139"/>
      <c r="Z86" s="1132"/>
      <c r="AA86" s="1120"/>
      <c r="AB86" s="1120"/>
      <c r="AC86" s="1120"/>
      <c r="AD86" s="1120"/>
      <c r="AE86" s="1120"/>
      <c r="AF86" s="1119"/>
      <c r="AG86" s="1120"/>
      <c r="AH86" s="1120"/>
      <c r="AI86" s="1120"/>
      <c r="AJ86" s="1120"/>
      <c r="AK86" s="1121"/>
      <c r="AL86" s="1107"/>
      <c r="AM86" s="1108"/>
      <c r="AN86" s="1108"/>
      <c r="AO86" s="1108"/>
      <c r="AP86" s="1108"/>
      <c r="AQ86" s="1108"/>
      <c r="AR86" s="431"/>
      <c r="AS86" s="711"/>
      <c r="AT86" s="723"/>
      <c r="AU86" s="734"/>
      <c r="AV86" s="674"/>
      <c r="AW86" s="949"/>
      <c r="AX86" s="949"/>
      <c r="AY86" s="949"/>
      <c r="AZ86" s="949"/>
      <c r="BA86" s="949"/>
      <c r="BB86" s="949"/>
      <c r="BC86" s="949"/>
      <c r="BD86" s="949"/>
      <c r="BE86" s="949"/>
      <c r="BF86" s="949"/>
      <c r="BG86" s="949"/>
      <c r="BH86" s="949"/>
      <c r="BI86" s="949"/>
      <c r="BJ86" s="949"/>
      <c r="BK86" s="949"/>
      <c r="BL86" s="1039"/>
      <c r="BM86" s="951"/>
      <c r="BN86" s="952"/>
      <c r="BO86" s="952"/>
      <c r="BP86" s="952"/>
      <c r="BQ86" s="952"/>
      <c r="BR86" s="952"/>
      <c r="BS86" s="953"/>
      <c r="BT86" s="1031"/>
      <c r="BU86" s="1032"/>
      <c r="BV86" s="880">
        <f t="shared" si="13"/>
        <v>0</v>
      </c>
      <c r="BW86" s="436"/>
      <c r="BX86" s="436"/>
      <c r="BY86" s="127">
        <f t="shared" si="106"/>
        <v>0</v>
      </c>
      <c r="CA86" s="341" t="s">
        <v>256</v>
      </c>
      <c r="CB86" s="336">
        <f t="shared" si="86"/>
        <v>1.7933888618123376E-3</v>
      </c>
      <c r="CC86" s="324">
        <f t="shared" si="91"/>
        <v>0</v>
      </c>
      <c r="CD86" s="324">
        <f t="shared" si="109"/>
        <v>0</v>
      </c>
      <c r="CE86" s="337">
        <f t="shared" si="110"/>
        <v>0</v>
      </c>
    </row>
    <row r="87" spans="1:83" ht="20.25" customHeight="1">
      <c r="A87" s="1200"/>
      <c r="B87" s="1094"/>
      <c r="C87" s="1095"/>
      <c r="D87" s="1095"/>
      <c r="E87" s="1095"/>
      <c r="F87" s="1095"/>
      <c r="G87" s="1018" t="s">
        <v>53</v>
      </c>
      <c r="H87" s="1018"/>
      <c r="I87" s="1018"/>
      <c r="J87" s="1018"/>
      <c r="K87" s="1018"/>
      <c r="L87" s="1018"/>
      <c r="M87" s="1018"/>
      <c r="N87" s="1018" t="e">
        <f>SUM(N72:S78)</f>
        <v>#REF!</v>
      </c>
      <c r="O87" s="1018"/>
      <c r="P87" s="1018"/>
      <c r="Q87" s="1018"/>
      <c r="R87" s="1018"/>
      <c r="S87" s="1018"/>
      <c r="T87" s="1018" t="e">
        <f>SUM(T72:Y78)</f>
        <v>#REF!</v>
      </c>
      <c r="U87" s="1018"/>
      <c r="V87" s="1018"/>
      <c r="W87" s="1018"/>
      <c r="X87" s="1018"/>
      <c r="Y87" s="1018"/>
      <c r="Z87" s="1003">
        <f>SUM(Z75:AE86)</f>
        <v>117177350.98798443</v>
      </c>
      <c r="AA87" s="1003"/>
      <c r="AB87" s="1003"/>
      <c r="AC87" s="1003"/>
      <c r="AD87" s="1003"/>
      <c r="AE87" s="1003"/>
      <c r="AF87" s="1083">
        <f>SUM(AF75:AK86)</f>
        <v>573500</v>
      </c>
      <c r="AG87" s="1084"/>
      <c r="AH87" s="1084"/>
      <c r="AI87" s="1084"/>
      <c r="AJ87" s="1084"/>
      <c r="AK87" s="1084"/>
      <c r="AL87" s="1083">
        <f>SUM(AL75:AQ86)</f>
        <v>117750850.98798443</v>
      </c>
      <c r="AM87" s="1084"/>
      <c r="AN87" s="1084"/>
      <c r="AO87" s="1084"/>
      <c r="AP87" s="1084"/>
      <c r="AQ87" s="1084"/>
      <c r="AR87" s="430">
        <f>SUM(AR75:AR86)</f>
        <v>0</v>
      </c>
      <c r="AS87" s="710">
        <f>SUM(AS75:AS86)</f>
        <v>5445000</v>
      </c>
      <c r="AT87" s="722">
        <f>SUM(AT75:AT86)</f>
        <v>28436.962900883955</v>
      </c>
      <c r="AU87" s="671">
        <f>SUM(AU75:AU86)</f>
        <v>22358721.149482507</v>
      </c>
      <c r="AV87" s="673">
        <f>SUM(AV75:AV86)</f>
        <v>89918692.875601038</v>
      </c>
      <c r="AW87" s="1034"/>
      <c r="AX87" s="1036"/>
      <c r="AY87" s="1036"/>
      <c r="AZ87" s="1036"/>
      <c r="BA87" s="1036"/>
      <c r="BB87" s="1036"/>
      <c r="BC87" s="1036"/>
      <c r="BD87" s="1036"/>
      <c r="BE87" s="1036"/>
      <c r="BF87" s="1036"/>
      <c r="BG87" s="1036"/>
      <c r="BH87" s="1036"/>
      <c r="BI87" s="1036"/>
      <c r="BJ87" s="1036"/>
      <c r="BK87" s="1036"/>
      <c r="BL87" s="1036"/>
      <c r="BM87" s="1040"/>
      <c r="BN87" s="1041"/>
      <c r="BO87" s="1041"/>
      <c r="BP87" s="1041"/>
      <c r="BQ87" s="1041"/>
      <c r="BR87" s="1041"/>
      <c r="BS87" s="1042"/>
      <c r="BT87" s="947">
        <f>AL87/$AL$23</f>
        <v>0.12839767284959949</v>
      </c>
      <c r="BU87" s="948"/>
      <c r="BV87" s="880">
        <f t="shared" si="13"/>
        <v>0.12839065917410369</v>
      </c>
      <c r="BW87" s="436"/>
      <c r="BX87" s="436"/>
      <c r="BY87" s="127"/>
      <c r="CA87" s="338"/>
      <c r="CB87" s="339"/>
      <c r="CC87" s="325" t="b">
        <f>SUM(CC75:CC86)=AF87</f>
        <v>0</v>
      </c>
      <c r="CD87" s="325"/>
      <c r="CE87" s="340"/>
    </row>
    <row r="88" spans="1:83" ht="20.25" customHeight="1">
      <c r="A88" s="1200"/>
      <c r="B88" s="1018" t="s">
        <v>216</v>
      </c>
      <c r="C88" s="1018"/>
      <c r="D88" s="1018"/>
      <c r="E88" s="1018"/>
      <c r="F88" s="1018"/>
      <c r="G88" s="1018"/>
      <c r="H88" s="1018"/>
      <c r="I88" s="1018"/>
      <c r="J88" s="1018"/>
      <c r="K88" s="1018"/>
      <c r="L88" s="1018"/>
      <c r="M88" s="1018"/>
      <c r="N88" s="777"/>
      <c r="O88" s="777"/>
      <c r="P88" s="777"/>
      <c r="Q88" s="777"/>
      <c r="R88" s="777"/>
      <c r="S88" s="777"/>
      <c r="T88" s="777"/>
      <c r="U88" s="777"/>
      <c r="V88" s="777"/>
      <c r="W88" s="777"/>
      <c r="X88" s="777"/>
      <c r="Y88" s="777"/>
      <c r="Z88" s="1019">
        <f>CD89</f>
        <v>-5993008.3484584643</v>
      </c>
      <c r="AA88" s="1019"/>
      <c r="AB88" s="1019"/>
      <c r="AC88" s="1019"/>
      <c r="AD88" s="1019"/>
      <c r="AE88" s="1019"/>
      <c r="AF88" s="1019">
        <f>CC89</f>
        <v>-1588161.3461321527</v>
      </c>
      <c r="AG88" s="1019"/>
      <c r="AH88" s="1019"/>
      <c r="AI88" s="1019"/>
      <c r="AJ88" s="1019"/>
      <c r="AK88" s="1019"/>
      <c r="AL88" s="977">
        <f>CE89</f>
        <v>-7581169.694590617</v>
      </c>
      <c r="AM88" s="977"/>
      <c r="AN88" s="977"/>
      <c r="AO88" s="977"/>
      <c r="AP88" s="977"/>
      <c r="AQ88" s="1144"/>
      <c r="AR88" s="433"/>
      <c r="AS88" s="713"/>
      <c r="AT88" s="724">
        <f>AL88</f>
        <v>-7581169.694590617</v>
      </c>
      <c r="AU88" s="734"/>
      <c r="AV88" s="674"/>
      <c r="AW88" s="1142"/>
      <c r="AX88" s="1001"/>
      <c r="AY88" s="1001"/>
      <c r="AZ88" s="1001"/>
      <c r="BA88" s="1001"/>
      <c r="BB88" s="1001"/>
      <c r="BC88" s="1001"/>
      <c r="BD88" s="1001"/>
      <c r="BE88" s="1001"/>
      <c r="BF88" s="1001"/>
      <c r="BG88" s="1001"/>
      <c r="BH88" s="1001"/>
      <c r="BI88" s="1001"/>
      <c r="BJ88" s="1001"/>
      <c r="BK88" s="1001"/>
      <c r="BL88" s="1143"/>
      <c r="BM88" s="1104"/>
      <c r="BN88" s="1105"/>
      <c r="BO88" s="1105"/>
      <c r="BP88" s="1105"/>
      <c r="BQ88" s="1105"/>
      <c r="BR88" s="1105"/>
      <c r="BS88" s="1106"/>
      <c r="BT88" s="963">
        <f>AL88/$AL$23</f>
        <v>-8.2666455324613541E-3</v>
      </c>
      <c r="BU88" s="964"/>
      <c r="BV88" s="880">
        <f t="shared" si="13"/>
        <v>-6.5665103862382855E-3</v>
      </c>
      <c r="BW88" s="436"/>
      <c r="BX88" s="436"/>
      <c r="CA88" s="1320" t="s">
        <v>213</v>
      </c>
      <c r="CB88" s="1321"/>
      <c r="CC88" s="342">
        <f>SUM(CC24:CC87)</f>
        <v>6004899.3461321527</v>
      </c>
      <c r="CD88" s="342">
        <f>SUM(CD24:CD87)</f>
        <v>5993008.3484584643</v>
      </c>
      <c r="CE88" s="424">
        <f>SUM(CE24:CE87)</f>
        <v>11890.997673688444</v>
      </c>
    </row>
    <row r="89" spans="1:83" ht="20.25" customHeight="1" thickBot="1">
      <c r="A89" s="1200"/>
      <c r="B89" s="1124" t="s">
        <v>30</v>
      </c>
      <c r="C89" s="1124"/>
      <c r="D89" s="1124"/>
      <c r="E89" s="1124"/>
      <c r="F89" s="1124"/>
      <c r="G89" s="1124"/>
      <c r="H89" s="1124"/>
      <c r="I89" s="1124"/>
      <c r="J89" s="1124"/>
      <c r="K89" s="1124"/>
      <c r="L89" s="1124"/>
      <c r="M89" s="1125"/>
      <c r="N89" s="1126" t="e">
        <f>N87+N71+N66+N59+N52+N43+N38+N32</f>
        <v>#REF!</v>
      </c>
      <c r="O89" s="1124"/>
      <c r="P89" s="1124"/>
      <c r="Q89" s="1124"/>
      <c r="R89" s="1124"/>
      <c r="S89" s="1124"/>
      <c r="T89" s="1127" t="e">
        <f>T87+T71+T66+T59+T52+T43+T38+T32</f>
        <v>#REF!</v>
      </c>
      <c r="U89" s="1124"/>
      <c r="V89" s="1124"/>
      <c r="W89" s="1124"/>
      <c r="X89" s="1124"/>
      <c r="Y89" s="1124"/>
      <c r="Z89" s="1128">
        <f>Z87+Z71+Z66+Z59+Z52+Z43+Z38+Z32+Z88</f>
        <v>813688470.56233704</v>
      </c>
      <c r="AA89" s="1129"/>
      <c r="AB89" s="1129"/>
      <c r="AC89" s="1129"/>
      <c r="AD89" s="1129"/>
      <c r="AE89" s="1129"/>
      <c r="AF89" s="1112">
        <f>AF87+AF71+AF66+AF59+AF52+AF43+AF38+AF32+AF88</f>
        <v>4495238</v>
      </c>
      <c r="AG89" s="1112"/>
      <c r="AH89" s="1112"/>
      <c r="AI89" s="1112"/>
      <c r="AJ89" s="1112"/>
      <c r="AK89" s="1112"/>
      <c r="AL89" s="1112">
        <f>AL87+AL71+AL66+AL59+AL52+AL43+AL38+AL32+AL88</f>
        <v>818183708.56233716</v>
      </c>
      <c r="AM89" s="1112"/>
      <c r="AN89" s="1112"/>
      <c r="AO89" s="1112"/>
      <c r="AP89" s="1112"/>
      <c r="AQ89" s="1113"/>
      <c r="AR89" s="768">
        <f>AR32+AR38+AR43+AR52+AR59+AR66+AR71+AR87+AR88</f>
        <v>6585203</v>
      </c>
      <c r="AS89" s="769">
        <f>AS88+AS87+AS66+AS59+AS52+AS43+AS38+AS32</f>
        <v>148069288.39525002</v>
      </c>
      <c r="AT89" s="770">
        <f>AT32+AT38+AT43+AT59+AT66+AT71+AT87+AT52+AT88</f>
        <v>489904289.67374098</v>
      </c>
      <c r="AU89" s="771">
        <f>AU32+AU38+AU43+AU59+AU66+AU71+AU87+AU52+AU88</f>
        <v>35468728.299857512</v>
      </c>
      <c r="AV89" s="772">
        <f>AV32+AV38+AV43+AV59+AV66+AV71+AV87+AV52+AV88</f>
        <v>137068925.0055986</v>
      </c>
      <c r="AW89" s="704"/>
      <c r="AX89" s="352"/>
      <c r="AY89" s="352"/>
      <c r="AZ89" s="331"/>
      <c r="BA89" s="331"/>
      <c r="BB89" s="330"/>
      <c r="BC89" s="330"/>
      <c r="BD89" s="330"/>
      <c r="BE89" s="330"/>
      <c r="BF89" s="330"/>
      <c r="BG89" s="105"/>
      <c r="BH89" s="332"/>
      <c r="BI89" s="332"/>
      <c r="BJ89" s="106"/>
      <c r="BK89" s="106"/>
      <c r="BL89" s="332"/>
      <c r="BM89" s="328"/>
      <c r="BN89" s="328"/>
      <c r="BO89" s="328"/>
      <c r="BP89" s="328"/>
      <c r="BQ89" s="329"/>
      <c r="BR89" s="329"/>
      <c r="BS89" s="329"/>
      <c r="BT89" s="1684"/>
      <c r="BU89" s="1685"/>
      <c r="BV89" s="880">
        <f t="shared" ref="BV89:BV90" si="111">Z89/$Z$23</f>
        <v>0.8915545386290501</v>
      </c>
      <c r="BW89" s="436"/>
      <c r="BX89" s="436"/>
      <c r="CA89" s="1322" t="s">
        <v>214</v>
      </c>
      <c r="CB89" s="1323"/>
      <c r="CC89" s="343">
        <f>CC23-CC88</f>
        <v>-1588161.3461321527</v>
      </c>
      <c r="CD89" s="343">
        <f>CD23-CD88</f>
        <v>-5993008.3484584643</v>
      </c>
      <c r="CE89" s="425">
        <f>CC89+CD89</f>
        <v>-7581169.694590617</v>
      </c>
    </row>
    <row r="90" spans="1:83" ht="20.25" customHeight="1" thickBot="1">
      <c r="A90" s="1085" t="s">
        <v>71</v>
      </c>
      <c r="B90" s="1086"/>
      <c r="C90" s="1086"/>
      <c r="D90" s="1086"/>
      <c r="E90" s="1086"/>
      <c r="F90" s="1086"/>
      <c r="G90" s="1086"/>
      <c r="H90" s="1086"/>
      <c r="I90" s="1086"/>
      <c r="J90" s="1086"/>
      <c r="K90" s="1086"/>
      <c r="L90" s="1086"/>
      <c r="M90" s="1087"/>
      <c r="N90" s="1123" t="e">
        <f>N23-N89</f>
        <v>#REF!</v>
      </c>
      <c r="O90" s="1118"/>
      <c r="P90" s="1118"/>
      <c r="Q90" s="1118"/>
      <c r="R90" s="1118"/>
      <c r="S90" s="1118"/>
      <c r="T90" s="1117" t="e">
        <f>T23-T89</f>
        <v>#REF!</v>
      </c>
      <c r="U90" s="1118"/>
      <c r="V90" s="1118"/>
      <c r="W90" s="1118"/>
      <c r="X90" s="1118"/>
      <c r="Y90" s="1118"/>
      <c r="Z90" s="1114">
        <f>Z23-Z89</f>
        <v>98974115.18766284</v>
      </c>
      <c r="AA90" s="1115"/>
      <c r="AB90" s="1115"/>
      <c r="AC90" s="1115"/>
      <c r="AD90" s="1115"/>
      <c r="AE90" s="1115"/>
      <c r="AF90" s="1115">
        <f>AF23-AF89</f>
        <v>-78500</v>
      </c>
      <c r="AG90" s="1115"/>
      <c r="AH90" s="1115"/>
      <c r="AI90" s="1115"/>
      <c r="AJ90" s="1115"/>
      <c r="AK90" s="1115"/>
      <c r="AL90" s="1115">
        <f>AL23-AL89</f>
        <v>98895615.187662721</v>
      </c>
      <c r="AM90" s="1115"/>
      <c r="AN90" s="1115"/>
      <c r="AO90" s="1115"/>
      <c r="AP90" s="1115"/>
      <c r="AQ90" s="1116"/>
      <c r="AR90" s="773" t="s">
        <v>77</v>
      </c>
      <c r="AS90" s="853">
        <f>Z90/Z23</f>
        <v>0.10844546137094987</v>
      </c>
      <c r="AT90" s="774"/>
      <c r="AU90" s="775"/>
      <c r="AV90" s="776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318"/>
      <c r="BS90" s="318"/>
      <c r="BT90" s="318"/>
      <c r="BU90" s="318"/>
      <c r="BV90" s="880">
        <f t="shared" si="111"/>
        <v>0.10844546137094987</v>
      </c>
      <c r="BW90" s="287"/>
      <c r="BX90" s="287"/>
      <c r="BY90" s="307"/>
    </row>
    <row r="91" spans="1:83" ht="20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1122" t="s">
        <v>426</v>
      </c>
      <c r="AR91" s="1122"/>
      <c r="AS91" s="852">
        <f>AL90/AL23</f>
        <v>0.10783758026870763</v>
      </c>
      <c r="AT91" s="37">
        <f>149000000</f>
        <v>149000000</v>
      </c>
      <c r="AU91" s="37"/>
      <c r="AV91" s="37"/>
      <c r="AW91" s="37"/>
      <c r="AX91" s="37"/>
      <c r="AY91" s="37"/>
      <c r="AZ91" s="139"/>
      <c r="BA91" s="38"/>
      <c r="BB91" s="37"/>
      <c r="BC91" s="39"/>
      <c r="BD91" s="37"/>
      <c r="BE91" s="37"/>
      <c r="BF91" s="37"/>
      <c r="BG91" s="37"/>
      <c r="BH91" s="129"/>
      <c r="BI91" s="129"/>
      <c r="BJ91" s="129"/>
      <c r="BK91" s="129"/>
      <c r="BL91" s="129"/>
      <c r="BM91" s="129"/>
      <c r="BN91" s="129"/>
      <c r="BU91" s="40"/>
      <c r="CD91" s="306"/>
    </row>
    <row r="92" spans="1:83" ht="27" customHeight="1">
      <c r="A92" s="24"/>
      <c r="B92" s="1096" t="s">
        <v>203</v>
      </c>
      <c r="C92" s="1096"/>
      <c r="D92" s="1096"/>
      <c r="E92" s="1096"/>
      <c r="F92" s="1096"/>
      <c r="G92" s="1096"/>
      <c r="H92" s="1096" t="s">
        <v>204</v>
      </c>
      <c r="I92" s="1096"/>
      <c r="J92" s="1096"/>
      <c r="K92" s="1096"/>
      <c r="L92" s="1096"/>
      <c r="M92" s="1096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1096" t="s">
        <v>201</v>
      </c>
      <c r="AA92" s="1096"/>
      <c r="AB92" s="1096"/>
      <c r="AC92" s="1096"/>
      <c r="AD92" s="1096"/>
      <c r="AE92" s="1096"/>
      <c r="AF92" s="1111" t="s">
        <v>359</v>
      </c>
      <c r="AG92" s="1096"/>
      <c r="AH92" s="1096"/>
      <c r="AI92" s="1096"/>
      <c r="AJ92" s="1096"/>
      <c r="AK92" s="1096"/>
      <c r="AL92" s="1096"/>
      <c r="AM92" s="1096"/>
      <c r="AN92" s="1096"/>
      <c r="AO92" s="1096"/>
      <c r="AP92" s="1096"/>
      <c r="AQ92" s="1096"/>
      <c r="AR92" s="361" t="s">
        <v>223</v>
      </c>
      <c r="AS92" s="318"/>
      <c r="AT92" s="37">
        <f>AT91-AS89</f>
        <v>930711.60474997759</v>
      </c>
      <c r="AU92" s="37"/>
      <c r="AV92" s="814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129"/>
      <c r="BI92" s="129"/>
      <c r="BJ92" s="129"/>
      <c r="BK92" s="129"/>
      <c r="BL92" s="129"/>
      <c r="BM92" s="129"/>
      <c r="BN92" s="129"/>
      <c r="BU92" s="40"/>
    </row>
    <row r="93" spans="1:83" ht="21.75" customHeight="1">
      <c r="A93" s="24"/>
      <c r="B93" s="1081">
        <f>AL23</f>
        <v>917079323.74999988</v>
      </c>
      <c r="C93" s="1082"/>
      <c r="D93" s="1082"/>
      <c r="E93" s="1082"/>
      <c r="F93" s="1082"/>
      <c r="G93" s="1082"/>
      <c r="H93" s="1081">
        <f>Z90</f>
        <v>98974115.18766284</v>
      </c>
      <c r="I93" s="1082"/>
      <c r="J93" s="1082"/>
      <c r="K93" s="1082"/>
      <c r="L93" s="1082"/>
      <c r="M93" s="1082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1081">
        <f>현금흐름표!N105</f>
        <v>6585203</v>
      </c>
      <c r="AA93" s="1082"/>
      <c r="AB93" s="1082"/>
      <c r="AC93" s="1082"/>
      <c r="AD93" s="1082"/>
      <c r="AE93" s="1082"/>
      <c r="AF93" s="1109">
        <f>Z33*10%</f>
        <v>44030111.741000004</v>
      </c>
      <c r="AG93" s="1109"/>
      <c r="AH93" s="1109"/>
      <c r="AI93" s="1109"/>
      <c r="AJ93" s="1109"/>
      <c r="AK93" s="1109"/>
      <c r="AL93" s="1110"/>
      <c r="AM93" s="1110"/>
      <c r="AN93" s="1110"/>
      <c r="AO93" s="1110"/>
      <c r="AP93" s="1110"/>
      <c r="AQ93" s="1110"/>
      <c r="AR93" s="582">
        <f>(B93-H93-Z93-AF93-AL93)/B93</f>
        <v>0.83688496070658147</v>
      </c>
      <c r="AS93" s="814">
        <f>Z93/Z23</f>
        <v>7.2153752140375841E-3</v>
      </c>
      <c r="AT93" s="1686">
        <f>AS93+AS90</f>
        <v>0.11566083658498746</v>
      </c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139"/>
      <c r="BG93" s="139"/>
      <c r="BH93" s="139"/>
      <c r="BI93" s="139"/>
      <c r="BJ93" s="139"/>
      <c r="BK93" s="139"/>
      <c r="BL93" s="407"/>
      <c r="BM93" s="407"/>
      <c r="BN93" s="407"/>
      <c r="BU93" s="407"/>
    </row>
    <row r="94" spans="1:83">
      <c r="AT94" s="307"/>
      <c r="AU94" s="307"/>
      <c r="AV94" s="815"/>
    </row>
  </sheetData>
  <mergeCells count="924">
    <mergeCell ref="BT89:BU89"/>
    <mergeCell ref="G77:M77"/>
    <mergeCell ref="Z77:AE77"/>
    <mergeCell ref="AF77:AK77"/>
    <mergeCell ref="AL77:AQ77"/>
    <mergeCell ref="AW77:AZ77"/>
    <mergeCell ref="BA77:BB77"/>
    <mergeCell ref="BD77:BF77"/>
    <mergeCell ref="G31:M31"/>
    <mergeCell ref="Z31:AE31"/>
    <mergeCell ref="AF31:AK31"/>
    <mergeCell ref="AL31:AQ31"/>
    <mergeCell ref="G40:M40"/>
    <mergeCell ref="G41:M41"/>
    <mergeCell ref="Z41:AE41"/>
    <mergeCell ref="Z40:AE40"/>
    <mergeCell ref="G47:M47"/>
    <mergeCell ref="Z45:AE45"/>
    <mergeCell ref="G46:M46"/>
    <mergeCell ref="N42:S42"/>
    <mergeCell ref="G48:M48"/>
    <mergeCell ref="G45:M45"/>
    <mergeCell ref="G65:M65"/>
    <mergeCell ref="G62:M62"/>
    <mergeCell ref="N62:S62"/>
    <mergeCell ref="G38:M38"/>
    <mergeCell ref="T33:Y33"/>
    <mergeCell ref="Z32:AE32"/>
    <mergeCell ref="AF38:AK38"/>
    <mergeCell ref="AF36:AK36"/>
    <mergeCell ref="Z34:AE34"/>
    <mergeCell ref="AF32:AK32"/>
    <mergeCell ref="AF33:AK33"/>
    <mergeCell ref="AL35:AQ35"/>
    <mergeCell ref="AL36:AQ36"/>
    <mergeCell ref="AL33:AQ33"/>
    <mergeCell ref="AL32:AQ32"/>
    <mergeCell ref="Z33:AE33"/>
    <mergeCell ref="Z35:AE35"/>
    <mergeCell ref="Z36:AE36"/>
    <mergeCell ref="G35:M35"/>
    <mergeCell ref="G37:M37"/>
    <mergeCell ref="AU11:AU12"/>
    <mergeCell ref="AV11:AV12"/>
    <mergeCell ref="AW52:BL52"/>
    <mergeCell ref="BC51:BE51"/>
    <mergeCell ref="AW40:AZ40"/>
    <mergeCell ref="BC41:BE41"/>
    <mergeCell ref="BC44:BE44"/>
    <mergeCell ref="BF44:BG44"/>
    <mergeCell ref="AL42:AQ42"/>
    <mergeCell ref="AL41:AQ41"/>
    <mergeCell ref="AL43:AQ43"/>
    <mergeCell ref="BF35:BG35"/>
    <mergeCell ref="AW41:AZ41"/>
    <mergeCell ref="BC35:BE35"/>
    <mergeCell ref="AL40:AQ40"/>
    <mergeCell ref="AL44:AQ44"/>
    <mergeCell ref="AL38:AQ38"/>
    <mergeCell ref="AW36:AZ36"/>
    <mergeCell ref="BC36:BE36"/>
    <mergeCell ref="BF36:BG36"/>
    <mergeCell ref="AW37:AZ37"/>
    <mergeCell ref="BC37:BE37"/>
    <mergeCell ref="AL39:AQ39"/>
    <mergeCell ref="AL34:AQ34"/>
    <mergeCell ref="G29:M29"/>
    <mergeCell ref="N29:S29"/>
    <mergeCell ref="T29:Y29"/>
    <mergeCell ref="Z29:AE29"/>
    <mergeCell ref="AF29:AK29"/>
    <mergeCell ref="AL29:AQ29"/>
    <mergeCell ref="G19:H19"/>
    <mergeCell ref="I19:M19"/>
    <mergeCell ref="AL19:AQ19"/>
    <mergeCell ref="Z20:AE20"/>
    <mergeCell ref="AF20:AK20"/>
    <mergeCell ref="AL20:AQ20"/>
    <mergeCell ref="Z25:AE25"/>
    <mergeCell ref="AF25:AK25"/>
    <mergeCell ref="G24:M24"/>
    <mergeCell ref="B23:M23"/>
    <mergeCell ref="G21:M21"/>
    <mergeCell ref="AL24:AQ24"/>
    <mergeCell ref="AL28:AQ28"/>
    <mergeCell ref="AF24:AK24"/>
    <mergeCell ref="G26:M26"/>
    <mergeCell ref="Z26:AE26"/>
    <mergeCell ref="AF28:AK28"/>
    <mergeCell ref="Z28:AE28"/>
    <mergeCell ref="I16:M16"/>
    <mergeCell ref="Z16:AE16"/>
    <mergeCell ref="AF16:AK16"/>
    <mergeCell ref="AL16:AQ16"/>
    <mergeCell ref="A13:A23"/>
    <mergeCell ref="BH18:BJ18"/>
    <mergeCell ref="BK18:BL18"/>
    <mergeCell ref="AW18:AY18"/>
    <mergeCell ref="BB18:BD18"/>
    <mergeCell ref="BE18:BF18"/>
    <mergeCell ref="Z18:AE18"/>
    <mergeCell ref="AF18:AK18"/>
    <mergeCell ref="AL18:AQ18"/>
    <mergeCell ref="AL21:AQ21"/>
    <mergeCell ref="Z21:AE21"/>
    <mergeCell ref="AF21:AK21"/>
    <mergeCell ref="AW21:AY21"/>
    <mergeCell ref="BB21:BD21"/>
    <mergeCell ref="BE21:BF21"/>
    <mergeCell ref="BH21:BJ21"/>
    <mergeCell ref="BK21:BL21"/>
    <mergeCell ref="G20:H20"/>
    <mergeCell ref="I20:M20"/>
    <mergeCell ref="B19:F21"/>
    <mergeCell ref="G17:H17"/>
    <mergeCell ref="I17:M17"/>
    <mergeCell ref="AW17:AY17"/>
    <mergeCell ref="BB17:BD17"/>
    <mergeCell ref="Z17:AE17"/>
    <mergeCell ref="AF17:AK17"/>
    <mergeCell ref="AL17:AQ17"/>
    <mergeCell ref="BB22:BD22"/>
    <mergeCell ref="Z19:AE19"/>
    <mergeCell ref="AF19:AK19"/>
    <mergeCell ref="AW22:BA22"/>
    <mergeCell ref="AW19:AY19"/>
    <mergeCell ref="BB19:BD19"/>
    <mergeCell ref="AW20:AY20"/>
    <mergeCell ref="BM15:BO15"/>
    <mergeCell ref="BP15:BQ15"/>
    <mergeCell ref="BM16:BO16"/>
    <mergeCell ref="BP16:BQ16"/>
    <mergeCell ref="BE16:BF16"/>
    <mergeCell ref="BH16:BJ16"/>
    <mergeCell ref="BK16:BL16"/>
    <mergeCell ref="BB16:BD16"/>
    <mergeCell ref="BK20:BL20"/>
    <mergeCell ref="BH19:BJ19"/>
    <mergeCell ref="BE17:BF17"/>
    <mergeCell ref="BH17:BJ17"/>
    <mergeCell ref="BK17:BL17"/>
    <mergeCell ref="BB20:BD20"/>
    <mergeCell ref="BE20:BF20"/>
    <mergeCell ref="BH20:BJ20"/>
    <mergeCell ref="BE19:BF19"/>
    <mergeCell ref="BK19:BL19"/>
    <mergeCell ref="BK15:BL15"/>
    <mergeCell ref="B13:F18"/>
    <mergeCell ref="G18:M18"/>
    <mergeCell ref="N15:S15"/>
    <mergeCell ref="T15:Y15"/>
    <mergeCell ref="Z15:AE15"/>
    <mergeCell ref="AF15:AK15"/>
    <mergeCell ref="AL15:AQ15"/>
    <mergeCell ref="BT15:BU15"/>
    <mergeCell ref="B22:M22"/>
    <mergeCell ref="N22:S22"/>
    <mergeCell ref="T22:Y22"/>
    <mergeCell ref="Z22:AE22"/>
    <mergeCell ref="AF22:AK22"/>
    <mergeCell ref="AL22:AQ22"/>
    <mergeCell ref="BM22:BS22"/>
    <mergeCell ref="BT22:BU22"/>
    <mergeCell ref="G15:H15"/>
    <mergeCell ref="I15:M15"/>
    <mergeCell ref="G16:H16"/>
    <mergeCell ref="N13:S13"/>
    <mergeCell ref="T13:Y13"/>
    <mergeCell ref="Z13:AE13"/>
    <mergeCell ref="AF13:AK13"/>
    <mergeCell ref="AL13:AQ13"/>
    <mergeCell ref="BT14:BU14"/>
    <mergeCell ref="G13:H13"/>
    <mergeCell ref="I13:M13"/>
    <mergeCell ref="G14:H14"/>
    <mergeCell ref="I14:M14"/>
    <mergeCell ref="AW14:AY14"/>
    <mergeCell ref="BB14:BD14"/>
    <mergeCell ref="BE14:BF14"/>
    <mergeCell ref="BH14:BJ14"/>
    <mergeCell ref="BK14:BL14"/>
    <mergeCell ref="BM14:BO14"/>
    <mergeCell ref="BP14:BQ14"/>
    <mergeCell ref="BM13:BO13"/>
    <mergeCell ref="BP13:BQ13"/>
    <mergeCell ref="BK13:BL13"/>
    <mergeCell ref="AL14:AQ14"/>
    <mergeCell ref="AF14:AK14"/>
    <mergeCell ref="Z14:AE14"/>
    <mergeCell ref="AW13:AY13"/>
    <mergeCell ref="BB13:BD13"/>
    <mergeCell ref="BE13:BF13"/>
    <mergeCell ref="BH13:BJ13"/>
    <mergeCell ref="BT18:BU18"/>
    <mergeCell ref="BM18:BO18"/>
    <mergeCell ref="BP18:BQ18"/>
    <mergeCell ref="BM29:BS29"/>
    <mergeCell ref="BT13:BU13"/>
    <mergeCell ref="BT16:BU16"/>
    <mergeCell ref="CA19:CE19"/>
    <mergeCell ref="CA22:CB22"/>
    <mergeCell ref="CA23:CB23"/>
    <mergeCell ref="BM17:BO17"/>
    <mergeCell ref="BP17:BQ17"/>
    <mergeCell ref="BT17:BU17"/>
    <mergeCell ref="BT23:BU23"/>
    <mergeCell ref="BM23:BS23"/>
    <mergeCell ref="BT19:BU19"/>
    <mergeCell ref="BM20:BO20"/>
    <mergeCell ref="BP20:BQ20"/>
    <mergeCell ref="BT24:BU24"/>
    <mergeCell ref="BM19:BO19"/>
    <mergeCell ref="BP19:BQ19"/>
    <mergeCell ref="BT21:BU21"/>
    <mergeCell ref="BT28:BU28"/>
    <mergeCell ref="BT20:BU20"/>
    <mergeCell ref="BT29:BU29"/>
    <mergeCell ref="BM24:BS24"/>
    <mergeCell ref="BM28:BS28"/>
    <mergeCell ref="BT25:BU25"/>
    <mergeCell ref="BT32:BU32"/>
    <mergeCell ref="BM41:BS41"/>
    <mergeCell ref="BM35:BS35"/>
    <mergeCell ref="BT35:BU35"/>
    <mergeCell ref="BM36:BS36"/>
    <mergeCell ref="BM25:BS25"/>
    <mergeCell ref="BT33:BU33"/>
    <mergeCell ref="BM34:BS34"/>
    <mergeCell ref="BT34:BU34"/>
    <mergeCell ref="BM37:BS37"/>
    <mergeCell ref="BT37:BU37"/>
    <mergeCell ref="BT36:BU36"/>
    <mergeCell ref="BM39:BS39"/>
    <mergeCell ref="BT38:BU38"/>
    <mergeCell ref="BT39:BU39"/>
    <mergeCell ref="BM33:BS33"/>
    <mergeCell ref="BM26:BS26"/>
    <mergeCell ref="BT26:BU26"/>
    <mergeCell ref="BM32:BS32"/>
    <mergeCell ref="BT40:BU40"/>
    <mergeCell ref="BM30:BS30"/>
    <mergeCell ref="G6:L6"/>
    <mergeCell ref="A8:F8"/>
    <mergeCell ref="A9:F9"/>
    <mergeCell ref="BM11:BS11"/>
    <mergeCell ref="BM12:BR12"/>
    <mergeCell ref="CA88:CB88"/>
    <mergeCell ref="CA89:CB89"/>
    <mergeCell ref="BM70:BS70"/>
    <mergeCell ref="BM49:BS49"/>
    <mergeCell ref="BM56:BS56"/>
    <mergeCell ref="BM54:BS54"/>
    <mergeCell ref="BM40:BS40"/>
    <mergeCell ref="AZ48:BA48"/>
    <mergeCell ref="BC48:BE48"/>
    <mergeCell ref="BF48:BG48"/>
    <mergeCell ref="BT82:BU82"/>
    <mergeCell ref="AW81:AZ81"/>
    <mergeCell ref="BT65:BU65"/>
    <mergeCell ref="BT53:BU53"/>
    <mergeCell ref="BM55:BS55"/>
    <mergeCell ref="BT41:BU41"/>
    <mergeCell ref="BM43:BS43"/>
    <mergeCell ref="BC40:BE40"/>
    <mergeCell ref="BF41:BG41"/>
    <mergeCell ref="N12:S12"/>
    <mergeCell ref="N11:S11"/>
    <mergeCell ref="T11:Y11"/>
    <mergeCell ref="N14:S14"/>
    <mergeCell ref="T14:Y14"/>
    <mergeCell ref="BM4:BP4"/>
    <mergeCell ref="BQ4:BT4"/>
    <mergeCell ref="A1:BU1"/>
    <mergeCell ref="AL12:AQ12"/>
    <mergeCell ref="Z12:AE12"/>
    <mergeCell ref="BM10:BU10"/>
    <mergeCell ref="AW7:AZ7"/>
    <mergeCell ref="AW6:AZ6"/>
    <mergeCell ref="AW5:AZ5"/>
    <mergeCell ref="G7:L7"/>
    <mergeCell ref="BT11:BU12"/>
    <mergeCell ref="AW11:BL12"/>
    <mergeCell ref="Z11:AQ11"/>
    <mergeCell ref="AF12:AK12"/>
    <mergeCell ref="AR11:AS11"/>
    <mergeCell ref="A4:F4"/>
    <mergeCell ref="A5:F5"/>
    <mergeCell ref="G5:L5"/>
    <mergeCell ref="A6:F6"/>
    <mergeCell ref="A10:F10"/>
    <mergeCell ref="A7:F7"/>
    <mergeCell ref="B44:F52"/>
    <mergeCell ref="N54:S54"/>
    <mergeCell ref="T53:Y53"/>
    <mergeCell ref="N53:S53"/>
    <mergeCell ref="N38:S38"/>
    <mergeCell ref="B53:F59"/>
    <mergeCell ref="B39:F43"/>
    <mergeCell ref="G58:M58"/>
    <mergeCell ref="N59:S59"/>
    <mergeCell ref="G56:M56"/>
    <mergeCell ref="N56:S56"/>
    <mergeCell ref="T56:Y56"/>
    <mergeCell ref="T12:Y12"/>
    <mergeCell ref="T24:Y24"/>
    <mergeCell ref="T23:Y23"/>
    <mergeCell ref="T32:Y32"/>
    <mergeCell ref="N33:S33"/>
    <mergeCell ref="T45:Y45"/>
    <mergeCell ref="T48:Y48"/>
    <mergeCell ref="N43:S43"/>
    <mergeCell ref="G42:M42"/>
    <mergeCell ref="G43:M43"/>
    <mergeCell ref="AW10:AZ10"/>
    <mergeCell ref="AJ6:AQ6"/>
    <mergeCell ref="AJ7:AQ7"/>
    <mergeCell ref="AJ8:AQ8"/>
    <mergeCell ref="AJ9:AQ9"/>
    <mergeCell ref="BA8:BL8"/>
    <mergeCell ref="B60:F66"/>
    <mergeCell ref="G60:M60"/>
    <mergeCell ref="T60:Y60"/>
    <mergeCell ref="G61:M61"/>
    <mergeCell ref="T61:Y61"/>
    <mergeCell ref="N61:S61"/>
    <mergeCell ref="N60:S60"/>
    <mergeCell ref="G25:M25"/>
    <mergeCell ref="G28:M28"/>
    <mergeCell ref="T25:Y25"/>
    <mergeCell ref="N50:S50"/>
    <mergeCell ref="T44:Y44"/>
    <mergeCell ref="T50:Y50"/>
    <mergeCell ref="T40:Y40"/>
    <mergeCell ref="N32:S32"/>
    <mergeCell ref="N44:S44"/>
    <mergeCell ref="T41:Y41"/>
    <mergeCell ref="N41:S41"/>
    <mergeCell ref="BA5:BJ5"/>
    <mergeCell ref="AJ5:AQ5"/>
    <mergeCell ref="AL57:AQ57"/>
    <mergeCell ref="Z67:AE67"/>
    <mergeCell ref="T67:Y67"/>
    <mergeCell ref="AJ10:AQ10"/>
    <mergeCell ref="BK5:BL5"/>
    <mergeCell ref="Z5:AH5"/>
    <mergeCell ref="Z6:AH6"/>
    <mergeCell ref="Z7:AH7"/>
    <mergeCell ref="Z8:AH8"/>
    <mergeCell ref="Z9:AH9"/>
    <mergeCell ref="AW9:AZ9"/>
    <mergeCell ref="AW8:AZ8"/>
    <mergeCell ref="Z10:AH10"/>
    <mergeCell ref="AR5:AS5"/>
    <mergeCell ref="AR6:AS6"/>
    <mergeCell ref="AR7:AS7"/>
    <mergeCell ref="AR8:AS8"/>
    <mergeCell ref="AR9:AS9"/>
    <mergeCell ref="BG6:BH6"/>
    <mergeCell ref="BE6:BF6"/>
    <mergeCell ref="BB6:BC6"/>
    <mergeCell ref="BA7:BL7"/>
    <mergeCell ref="Z60:AE60"/>
    <mergeCell ref="G67:M67"/>
    <mergeCell ref="AF58:AK58"/>
    <mergeCell ref="T65:Y65"/>
    <mergeCell ref="Z56:AE56"/>
    <mergeCell ref="A3:F3"/>
    <mergeCell ref="A11:M12"/>
    <mergeCell ref="A24:A89"/>
    <mergeCell ref="G52:M52"/>
    <mergeCell ref="B88:M88"/>
    <mergeCell ref="B24:F32"/>
    <mergeCell ref="B33:F38"/>
    <mergeCell ref="G68:M68"/>
    <mergeCell ref="G59:M59"/>
    <mergeCell ref="G66:M66"/>
    <mergeCell ref="G32:M32"/>
    <mergeCell ref="G53:M53"/>
    <mergeCell ref="G76:M76"/>
    <mergeCell ref="G36:M36"/>
    <mergeCell ref="G9:L9"/>
    <mergeCell ref="G10:L10"/>
    <mergeCell ref="G8:L8"/>
    <mergeCell ref="G3:BL3"/>
    <mergeCell ref="G4:BL4"/>
    <mergeCell ref="T58:Y58"/>
    <mergeCell ref="Z58:AE58"/>
    <mergeCell ref="AF52:AK52"/>
    <mergeCell ref="AF57:AK57"/>
    <mergeCell ref="T59:Y59"/>
    <mergeCell ref="B67:F71"/>
    <mergeCell ref="BM50:BS50"/>
    <mergeCell ref="AF55:AK55"/>
    <mergeCell ref="AF60:AK60"/>
    <mergeCell ref="AF56:AK56"/>
    <mergeCell ref="BC55:BD55"/>
    <mergeCell ref="AL60:AQ60"/>
    <mergeCell ref="AW60:BA60"/>
    <mergeCell ref="AL58:AQ58"/>
    <mergeCell ref="AW58:BA58"/>
    <mergeCell ref="AL56:AQ56"/>
    <mergeCell ref="AW56:AY56"/>
    <mergeCell ref="AL55:AQ55"/>
    <mergeCell ref="AL53:AQ53"/>
    <mergeCell ref="AW54:AY54"/>
    <mergeCell ref="BM59:BS59"/>
    <mergeCell ref="BM58:BS58"/>
    <mergeCell ref="BM52:BS52"/>
    <mergeCell ref="BF60:BG60"/>
    <mergeCell ref="AW15:AY15"/>
    <mergeCell ref="BB15:BD15"/>
    <mergeCell ref="BG25:BH25"/>
    <mergeCell ref="BC33:BE33"/>
    <mergeCell ref="BH33:BL33"/>
    <mergeCell ref="AW28:AZ28"/>
    <mergeCell ref="BC28:BF28"/>
    <mergeCell ref="AW25:AZ25"/>
    <mergeCell ref="BC25:BF25"/>
    <mergeCell ref="BG29:BH29"/>
    <mergeCell ref="BH15:BJ15"/>
    <mergeCell ref="BJ25:BL25"/>
    <mergeCell ref="BE22:BF22"/>
    <mergeCell ref="BG28:BH28"/>
    <mergeCell ref="AW33:AZ33"/>
    <mergeCell ref="BH22:BJ22"/>
    <mergeCell ref="BJ24:BL24"/>
    <mergeCell ref="BG24:BH24"/>
    <mergeCell ref="BC24:BF24"/>
    <mergeCell ref="AW29:AZ29"/>
    <mergeCell ref="BC29:BF29"/>
    <mergeCell ref="AW16:AY16"/>
    <mergeCell ref="BA10:BL10"/>
    <mergeCell ref="BI6:BJ6"/>
    <mergeCell ref="BA9:BL9"/>
    <mergeCell ref="AR10:AS10"/>
    <mergeCell ref="AW57:AY57"/>
    <mergeCell ref="AZ57:BA57"/>
    <mergeCell ref="AW53:AY53"/>
    <mergeCell ref="AZ53:BA53"/>
    <mergeCell ref="N45:S45"/>
    <mergeCell ref="N47:S47"/>
    <mergeCell ref="N48:S48"/>
    <mergeCell ref="AF45:AK45"/>
    <mergeCell ref="AF48:AK48"/>
    <mergeCell ref="AF46:AK46"/>
    <mergeCell ref="N46:S46"/>
    <mergeCell ref="T46:Y46"/>
    <mergeCell ref="AL50:AQ50"/>
    <mergeCell ref="AL52:AQ52"/>
    <mergeCell ref="T52:Y52"/>
    <mergeCell ref="Z50:AE50"/>
    <mergeCell ref="Z48:AE48"/>
    <mergeCell ref="AL54:AQ54"/>
    <mergeCell ref="AF54:AK54"/>
    <mergeCell ref="AW34:AZ34"/>
    <mergeCell ref="BC50:BD50"/>
    <mergeCell ref="AZ54:BA54"/>
    <mergeCell ref="AW55:AY55"/>
    <mergeCell ref="BC54:BD54"/>
    <mergeCell ref="G50:M50"/>
    <mergeCell ref="G55:M55"/>
    <mergeCell ref="G51:M51"/>
    <mergeCell ref="N51:S51"/>
    <mergeCell ref="G57:M57"/>
    <mergeCell ref="N57:S57"/>
    <mergeCell ref="T57:Y57"/>
    <mergeCell ref="N55:S55"/>
    <mergeCell ref="Z55:AE55"/>
    <mergeCell ref="T55:Y55"/>
    <mergeCell ref="T54:Y54"/>
    <mergeCell ref="Z57:AE57"/>
    <mergeCell ref="T51:Y51"/>
    <mergeCell ref="Z51:AE51"/>
    <mergeCell ref="Z54:AE54"/>
    <mergeCell ref="Z52:AE52"/>
    <mergeCell ref="Z53:AE53"/>
    <mergeCell ref="G54:M54"/>
    <mergeCell ref="N52:S52"/>
    <mergeCell ref="AZ50:BA50"/>
    <mergeCell ref="AW51:AY51"/>
    <mergeCell ref="AZ51:BA51"/>
    <mergeCell ref="AZ55:BA55"/>
    <mergeCell ref="AZ56:BA56"/>
    <mergeCell ref="AW50:AY50"/>
    <mergeCell ref="AW46:AY46"/>
    <mergeCell ref="AW47:AY47"/>
    <mergeCell ref="AW48:AY48"/>
    <mergeCell ref="AZ47:BA47"/>
    <mergeCell ref="AL82:AQ82"/>
    <mergeCell ref="T43:Y43"/>
    <mergeCell ref="T42:Y42"/>
    <mergeCell ref="T38:Y38"/>
    <mergeCell ref="AF41:AK41"/>
    <mergeCell ref="Z43:AE43"/>
    <mergeCell ref="Z38:AE38"/>
    <mergeCell ref="AF40:AK40"/>
    <mergeCell ref="Z42:AE42"/>
    <mergeCell ref="T39:Y39"/>
    <mergeCell ref="AF39:AK39"/>
    <mergeCell ref="Z39:AE39"/>
    <mergeCell ref="Z44:AE44"/>
    <mergeCell ref="AF42:AK42"/>
    <mergeCell ref="AF43:AK43"/>
    <mergeCell ref="AF51:AK51"/>
    <mergeCell ref="AF50:AK50"/>
    <mergeCell ref="AF53:AK53"/>
    <mergeCell ref="AF44:AK44"/>
    <mergeCell ref="AF61:AK61"/>
    <mergeCell ref="AL51:AQ51"/>
    <mergeCell ref="AL47:AQ47"/>
    <mergeCell ref="AL46:AQ46"/>
    <mergeCell ref="Z46:AE46"/>
    <mergeCell ref="H92:M92"/>
    <mergeCell ref="AW88:BL88"/>
    <mergeCell ref="Z88:AE88"/>
    <mergeCell ref="AF88:AK88"/>
    <mergeCell ref="AL88:AQ88"/>
    <mergeCell ref="BA81:BB81"/>
    <mergeCell ref="T80:Y80"/>
    <mergeCell ref="Z80:AE80"/>
    <mergeCell ref="BD82:BF82"/>
    <mergeCell ref="BG82:BL82"/>
    <mergeCell ref="AW85:BL85"/>
    <mergeCell ref="AL80:AQ80"/>
    <mergeCell ref="T86:Y86"/>
    <mergeCell ref="Z86:AE86"/>
    <mergeCell ref="T85:Y85"/>
    <mergeCell ref="Z85:AE85"/>
    <mergeCell ref="AF85:AK85"/>
    <mergeCell ref="AL85:AQ85"/>
    <mergeCell ref="AF84:AK84"/>
    <mergeCell ref="AL84:AQ84"/>
    <mergeCell ref="AL83:AQ83"/>
    <mergeCell ref="Z83:AE83"/>
    <mergeCell ref="AF83:AK83"/>
    <mergeCell ref="AF82:AK82"/>
    <mergeCell ref="T83:Y83"/>
    <mergeCell ref="G85:M85"/>
    <mergeCell ref="N85:S85"/>
    <mergeCell ref="N86:S86"/>
    <mergeCell ref="T78:Y78"/>
    <mergeCell ref="G79:M79"/>
    <mergeCell ref="G72:M72"/>
    <mergeCell ref="G86:M86"/>
    <mergeCell ref="T79:Y79"/>
    <mergeCell ref="N81:S81"/>
    <mergeCell ref="N79:S79"/>
    <mergeCell ref="N76:S76"/>
    <mergeCell ref="N80:S80"/>
    <mergeCell ref="T74:Y74"/>
    <mergeCell ref="N75:S75"/>
    <mergeCell ref="G80:M80"/>
    <mergeCell ref="G81:I82"/>
    <mergeCell ref="G78:M78"/>
    <mergeCell ref="G75:M75"/>
    <mergeCell ref="J81:M81"/>
    <mergeCell ref="T75:Y75"/>
    <mergeCell ref="T73:Y73"/>
    <mergeCell ref="T81:Y81"/>
    <mergeCell ref="T76:Y76"/>
    <mergeCell ref="N90:S90"/>
    <mergeCell ref="B89:M89"/>
    <mergeCell ref="Z87:AE87"/>
    <mergeCell ref="N89:S89"/>
    <mergeCell ref="T89:Y89"/>
    <mergeCell ref="Z89:AE89"/>
    <mergeCell ref="T84:Y84"/>
    <mergeCell ref="Z84:AE84"/>
    <mergeCell ref="G87:M87"/>
    <mergeCell ref="N87:S87"/>
    <mergeCell ref="G84:M84"/>
    <mergeCell ref="N84:S84"/>
    <mergeCell ref="AL86:AQ86"/>
    <mergeCell ref="Z93:AE93"/>
    <mergeCell ref="T87:Y87"/>
    <mergeCell ref="AF93:AK93"/>
    <mergeCell ref="AL93:AQ93"/>
    <mergeCell ref="Z92:AE92"/>
    <mergeCell ref="AF92:AK92"/>
    <mergeCell ref="AL92:AQ92"/>
    <mergeCell ref="AL87:AQ87"/>
    <mergeCell ref="AL89:AQ89"/>
    <mergeCell ref="AF89:AK89"/>
    <mergeCell ref="Z90:AE90"/>
    <mergeCell ref="AF90:AK90"/>
    <mergeCell ref="AL90:AQ90"/>
    <mergeCell ref="T90:Y90"/>
    <mergeCell ref="AF86:AK86"/>
    <mergeCell ref="AQ91:AR91"/>
    <mergeCell ref="B93:G93"/>
    <mergeCell ref="H93:M93"/>
    <mergeCell ref="AF87:AK87"/>
    <mergeCell ref="A90:M90"/>
    <mergeCell ref="B72:F87"/>
    <mergeCell ref="B92:G92"/>
    <mergeCell ref="G83:M83"/>
    <mergeCell ref="N83:S83"/>
    <mergeCell ref="BM82:BS82"/>
    <mergeCell ref="AW84:AZ84"/>
    <mergeCell ref="J82:M82"/>
    <mergeCell ref="Z82:AE82"/>
    <mergeCell ref="Z76:AE76"/>
    <mergeCell ref="BM88:BS88"/>
    <mergeCell ref="N78:S78"/>
    <mergeCell ref="Z79:AE79"/>
    <mergeCell ref="AF81:AK81"/>
    <mergeCell ref="AL81:AQ81"/>
    <mergeCell ref="AF79:AK79"/>
    <mergeCell ref="AL79:AQ79"/>
    <mergeCell ref="G73:M73"/>
    <mergeCell ref="G74:M74"/>
    <mergeCell ref="N73:S73"/>
    <mergeCell ref="Z81:AE81"/>
    <mergeCell ref="BT68:BU68"/>
    <mergeCell ref="BT72:BU72"/>
    <mergeCell ref="AW83:BL83"/>
    <mergeCell ref="BM69:BS69"/>
    <mergeCell ref="BF69:BJ69"/>
    <mergeCell ref="BC68:BD68"/>
    <mergeCell ref="BC70:BD70"/>
    <mergeCell ref="AW73:BA73"/>
    <mergeCell ref="AW69:BA69"/>
    <mergeCell ref="AW72:BA72"/>
    <mergeCell ref="AW80:AZ80"/>
    <mergeCell ref="BA80:BB80"/>
    <mergeCell ref="AW75:BB75"/>
    <mergeCell ref="AW82:AZ82"/>
    <mergeCell ref="BA82:BB82"/>
    <mergeCell ref="BG81:BL81"/>
    <mergeCell ref="BC69:BD69"/>
    <mergeCell ref="BT74:BU74"/>
    <mergeCell ref="BT70:BU70"/>
    <mergeCell ref="BT78:BU78"/>
    <mergeCell ref="BT81:BU81"/>
    <mergeCell ref="BT77:BU77"/>
    <mergeCell ref="BM77:BS77"/>
    <mergeCell ref="BG77:BL77"/>
    <mergeCell ref="BT66:BU66"/>
    <mergeCell ref="BM65:BS65"/>
    <mergeCell ref="BC63:BE63"/>
    <mergeCell ref="BM80:BR80"/>
    <mergeCell ref="BG80:BL80"/>
    <mergeCell ref="BT79:BU79"/>
    <mergeCell ref="BT73:BU73"/>
    <mergeCell ref="BM67:BS67"/>
    <mergeCell ref="BD80:BF80"/>
    <mergeCell ref="BT63:BU63"/>
    <mergeCell ref="BM76:BS76"/>
    <mergeCell ref="BF70:BJ70"/>
    <mergeCell ref="BM68:BS68"/>
    <mergeCell ref="BI65:BK65"/>
    <mergeCell ref="BT64:BU64"/>
    <mergeCell ref="BM64:BS64"/>
    <mergeCell ref="AW78:BL78"/>
    <mergeCell ref="BG75:BL75"/>
    <mergeCell ref="AW76:BB76"/>
    <mergeCell ref="BD75:BF75"/>
    <mergeCell ref="AW70:BA70"/>
    <mergeCell ref="BC67:BD67"/>
    <mergeCell ref="BT67:BU67"/>
    <mergeCell ref="BC74:BE74"/>
    <mergeCell ref="BM84:BS84"/>
    <mergeCell ref="BM74:BS74"/>
    <mergeCell ref="BC72:BE72"/>
    <mergeCell ref="BT71:BU71"/>
    <mergeCell ref="BM72:BS72"/>
    <mergeCell ref="BM73:BS73"/>
    <mergeCell ref="BT76:BU76"/>
    <mergeCell ref="BM81:BR81"/>
    <mergeCell ref="BD81:BF81"/>
    <mergeCell ref="BT84:BU84"/>
    <mergeCell ref="BT75:BU75"/>
    <mergeCell ref="AW79:BL79"/>
    <mergeCell ref="BT88:BU88"/>
    <mergeCell ref="BT69:BU69"/>
    <mergeCell ref="BM78:BS78"/>
    <mergeCell ref="BD76:BF76"/>
    <mergeCell ref="BG76:BL76"/>
    <mergeCell ref="BM79:BS79"/>
    <mergeCell ref="BM83:BS83"/>
    <mergeCell ref="BM86:BS86"/>
    <mergeCell ref="BT86:BU86"/>
    <mergeCell ref="BM85:BS85"/>
    <mergeCell ref="BT85:BU85"/>
    <mergeCell ref="BM71:BS71"/>
    <mergeCell ref="BT87:BU87"/>
    <mergeCell ref="AW87:BL87"/>
    <mergeCell ref="BA84:BB84"/>
    <mergeCell ref="BG84:BL84"/>
    <mergeCell ref="BD84:BF84"/>
    <mergeCell ref="AW86:BL86"/>
    <mergeCell ref="BM87:BS87"/>
    <mergeCell ref="BC73:BE73"/>
    <mergeCell ref="BT83:BU83"/>
    <mergeCell ref="AW74:BA74"/>
    <mergeCell ref="BM75:BS75"/>
    <mergeCell ref="BT80:BU80"/>
    <mergeCell ref="AF80:AK80"/>
    <mergeCell ref="AL78:AQ78"/>
    <mergeCell ref="AF78:AK78"/>
    <mergeCell ref="Z78:AE78"/>
    <mergeCell ref="AF75:AK75"/>
    <mergeCell ref="Z75:AE75"/>
    <mergeCell ref="AL76:AQ76"/>
    <mergeCell ref="AF76:AK76"/>
    <mergeCell ref="Z73:AE73"/>
    <mergeCell ref="AL73:AQ73"/>
    <mergeCell ref="AL75:AQ75"/>
    <mergeCell ref="Z74:AE74"/>
    <mergeCell ref="AF73:AK73"/>
    <mergeCell ref="AF74:AK74"/>
    <mergeCell ref="AL74:AQ74"/>
    <mergeCell ref="BC65:BE65"/>
    <mergeCell ref="BF65:BG65"/>
    <mergeCell ref="BC64:BE64"/>
    <mergeCell ref="BF64:BG64"/>
    <mergeCell ref="Z61:AE61"/>
    <mergeCell ref="AL66:AQ66"/>
    <mergeCell ref="AL71:AQ71"/>
    <mergeCell ref="Z70:AE70"/>
    <mergeCell ref="AL67:AQ67"/>
    <mergeCell ref="Z69:AE69"/>
    <mergeCell ref="AF69:AK69"/>
    <mergeCell ref="AW67:BA67"/>
    <mergeCell ref="BC62:BE62"/>
    <mergeCell ref="AW61:AY61"/>
    <mergeCell ref="AL63:AQ63"/>
    <mergeCell ref="AF67:AK67"/>
    <mergeCell ref="Z71:AE71"/>
    <mergeCell ref="AF68:AK68"/>
    <mergeCell ref="AL61:AQ61"/>
    <mergeCell ref="AZ61:BA61"/>
    <mergeCell ref="AL65:AQ65"/>
    <mergeCell ref="Z62:AE62"/>
    <mergeCell ref="AF65:AK65"/>
    <mergeCell ref="AL72:AQ72"/>
    <mergeCell ref="AL69:AQ69"/>
    <mergeCell ref="AL68:AQ68"/>
    <mergeCell ref="AF70:AK70"/>
    <mergeCell ref="N74:S74"/>
    <mergeCell ref="N65:S65"/>
    <mergeCell ref="N66:S66"/>
    <mergeCell ref="T66:Y66"/>
    <mergeCell ref="AW62:AY62"/>
    <mergeCell ref="AW68:BA68"/>
    <mergeCell ref="AZ62:BA62"/>
    <mergeCell ref="AW65:AY65"/>
    <mergeCell ref="AZ65:BA65"/>
    <mergeCell ref="AW64:BA64"/>
    <mergeCell ref="Z65:AE65"/>
    <mergeCell ref="Z63:AE63"/>
    <mergeCell ref="N67:S67"/>
    <mergeCell ref="AF62:AK62"/>
    <mergeCell ref="Z68:AE68"/>
    <mergeCell ref="T63:Y63"/>
    <mergeCell ref="AF63:AK63"/>
    <mergeCell ref="N68:S68"/>
    <mergeCell ref="AW63:AY63"/>
    <mergeCell ref="AZ63:BA63"/>
    <mergeCell ref="AL59:AQ59"/>
    <mergeCell ref="G69:M69"/>
    <mergeCell ref="N69:S69"/>
    <mergeCell ref="T69:Y69"/>
    <mergeCell ref="G70:M70"/>
    <mergeCell ref="T70:Y70"/>
    <mergeCell ref="AL70:AQ70"/>
    <mergeCell ref="AF72:AK72"/>
    <mergeCell ref="G71:M71"/>
    <mergeCell ref="T71:Y71"/>
    <mergeCell ref="N70:S70"/>
    <mergeCell ref="T72:Y72"/>
    <mergeCell ref="Z72:AE72"/>
    <mergeCell ref="N72:S72"/>
    <mergeCell ref="AF71:AK71"/>
    <mergeCell ref="N71:S71"/>
    <mergeCell ref="G63:M63"/>
    <mergeCell ref="N63:S63"/>
    <mergeCell ref="G64:M64"/>
    <mergeCell ref="Z64:AE64"/>
    <mergeCell ref="AF64:AK64"/>
    <mergeCell ref="AL64:AQ64"/>
    <mergeCell ref="T68:Y68"/>
    <mergeCell ref="Z66:AE66"/>
    <mergeCell ref="N58:S58"/>
    <mergeCell ref="AF59:AK59"/>
    <mergeCell ref="T62:Y62"/>
    <mergeCell ref="AF66:AK66"/>
    <mergeCell ref="Z59:AE59"/>
    <mergeCell ref="AL62:AQ62"/>
    <mergeCell ref="BW11:BW12"/>
    <mergeCell ref="N37:S37"/>
    <mergeCell ref="T37:Y37"/>
    <mergeCell ref="Z37:AE37"/>
    <mergeCell ref="AF37:AK37"/>
    <mergeCell ref="AL37:AQ37"/>
    <mergeCell ref="T28:Y28"/>
    <mergeCell ref="N24:S24"/>
    <mergeCell ref="N25:S25"/>
    <mergeCell ref="Z23:AE23"/>
    <mergeCell ref="AW24:AZ24"/>
    <mergeCell ref="AL25:AQ25"/>
    <mergeCell ref="N23:S23"/>
    <mergeCell ref="Z24:AE24"/>
    <mergeCell ref="BE15:BF15"/>
    <mergeCell ref="BJ28:BL28"/>
    <mergeCell ref="BJ29:BL29"/>
    <mergeCell ref="BK22:BL22"/>
    <mergeCell ref="AF23:AK23"/>
    <mergeCell ref="AL23:AQ23"/>
    <mergeCell ref="BF45:BG45"/>
    <mergeCell ref="AZ44:BA44"/>
    <mergeCell ref="AZ45:BA45"/>
    <mergeCell ref="BC34:BE34"/>
    <mergeCell ref="BF34:BG34"/>
    <mergeCell ref="BC39:BE39"/>
    <mergeCell ref="AW45:AY45"/>
    <mergeCell ref="BC45:BE45"/>
    <mergeCell ref="AL26:AQ26"/>
    <mergeCell ref="AF26:AK26"/>
    <mergeCell ref="AF34:AK34"/>
    <mergeCell ref="AW44:AY44"/>
    <mergeCell ref="BF40:BG40"/>
    <mergeCell ref="G44:M44"/>
    <mergeCell ref="G39:M39"/>
    <mergeCell ref="G49:M49"/>
    <mergeCell ref="T47:Y47"/>
    <mergeCell ref="Z47:AE47"/>
    <mergeCell ref="Z30:AE30"/>
    <mergeCell ref="AF30:AK30"/>
    <mergeCell ref="AL30:AQ30"/>
    <mergeCell ref="BT42:BU42"/>
    <mergeCell ref="BM42:BS42"/>
    <mergeCell ref="BF39:BG39"/>
    <mergeCell ref="AW39:AZ39"/>
    <mergeCell ref="BM45:BS45"/>
    <mergeCell ref="BT45:BU45"/>
    <mergeCell ref="BM46:BS46"/>
    <mergeCell ref="BT46:BU46"/>
    <mergeCell ref="BT44:BU44"/>
    <mergeCell ref="BC49:BE49"/>
    <mergeCell ref="BC47:BE47"/>
    <mergeCell ref="BC46:BE46"/>
    <mergeCell ref="G34:M34"/>
    <mergeCell ref="G33:M33"/>
    <mergeCell ref="BT43:BU43"/>
    <mergeCell ref="BM44:BS44"/>
    <mergeCell ref="BT27:BU27"/>
    <mergeCell ref="AW42:AZ42"/>
    <mergeCell ref="BC42:BE42"/>
    <mergeCell ref="BF42:BG42"/>
    <mergeCell ref="BF37:BG37"/>
    <mergeCell ref="N35:S35"/>
    <mergeCell ref="T36:Y36"/>
    <mergeCell ref="N36:S36"/>
    <mergeCell ref="T35:Y35"/>
    <mergeCell ref="N39:S39"/>
    <mergeCell ref="N40:S40"/>
    <mergeCell ref="AF35:AK35"/>
    <mergeCell ref="AW35:AZ35"/>
    <mergeCell ref="BF33:BG33"/>
    <mergeCell ref="N28:S28"/>
    <mergeCell ref="BM31:BS31"/>
    <mergeCell ref="BT31:BU31"/>
    <mergeCell ref="BH36:BL36"/>
    <mergeCell ref="BH35:BL35"/>
    <mergeCell ref="BH34:BL34"/>
    <mergeCell ref="BI37:BJ37"/>
    <mergeCell ref="BT30:BU30"/>
    <mergeCell ref="BC53:BE53"/>
    <mergeCell ref="BC56:BE56"/>
    <mergeCell ref="BC57:BE57"/>
    <mergeCell ref="BF57:BG57"/>
    <mergeCell ref="G27:M27"/>
    <mergeCell ref="Z27:AE27"/>
    <mergeCell ref="AF27:AK27"/>
    <mergeCell ref="AL27:AQ27"/>
    <mergeCell ref="BM27:BS27"/>
    <mergeCell ref="G30:M30"/>
    <mergeCell ref="BI48:BK48"/>
    <mergeCell ref="BF49:BG49"/>
    <mergeCell ref="BF46:BG46"/>
    <mergeCell ref="AZ46:BA46"/>
    <mergeCell ref="AL45:AQ45"/>
    <mergeCell ref="AF49:AK49"/>
    <mergeCell ref="AL49:AQ49"/>
    <mergeCell ref="AF47:AK47"/>
    <mergeCell ref="AL48:AQ48"/>
    <mergeCell ref="AW49:AY49"/>
    <mergeCell ref="AZ49:BA49"/>
    <mergeCell ref="N49:S49"/>
    <mergeCell ref="T49:Y49"/>
    <mergeCell ref="Z49:AE49"/>
    <mergeCell ref="BT62:BU62"/>
    <mergeCell ref="BM63:BS63"/>
    <mergeCell ref="BM62:BS62"/>
    <mergeCell ref="BF62:BG62"/>
    <mergeCell ref="BI62:BK62"/>
    <mergeCell ref="BF50:BG50"/>
    <mergeCell ref="BT60:BU60"/>
    <mergeCell ref="BT58:BU58"/>
    <mergeCell ref="BF51:BG51"/>
    <mergeCell ref="BT57:BU57"/>
    <mergeCell ref="BT55:BU55"/>
    <mergeCell ref="BM47:BS47"/>
    <mergeCell ref="BM48:BS48"/>
    <mergeCell ref="BT48:BU48"/>
    <mergeCell ref="BT47:BU47"/>
    <mergeCell ref="BT54:BU54"/>
    <mergeCell ref="BT52:BU52"/>
    <mergeCell ref="BT50:BU50"/>
    <mergeCell ref="BT49:BU49"/>
    <mergeCell ref="BM51:BS51"/>
    <mergeCell ref="BT51:BU51"/>
    <mergeCell ref="BM53:BS53"/>
    <mergeCell ref="BC60:BE60"/>
    <mergeCell ref="BT61:BU61"/>
    <mergeCell ref="BM60:BS60"/>
    <mergeCell ref="BT59:BU59"/>
    <mergeCell ref="BT56:BU56"/>
    <mergeCell ref="BC61:BE61"/>
    <mergeCell ref="BF61:BG61"/>
    <mergeCell ref="BM61:BS61"/>
    <mergeCell ref="BM57:BS57"/>
    <mergeCell ref="BC58:BE58"/>
  </mergeCells>
  <phoneticPr fontId="20" type="noConversion"/>
  <printOptions verticalCentered="1"/>
  <pageMargins left="0.23622047244094491" right="0.23622047244094491" top="0.39370078740157483" bottom="0.39370078740157483" header="0" footer="0"/>
  <pageSetup paperSize="8" scale="51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P144"/>
  <sheetViews>
    <sheetView showZeros="0" zoomScaleNormal="100" zoomScaleSheetLayoutView="130" workbookViewId="0">
      <pane xSplit="14" ySplit="6" topLeftCell="AV53" activePane="bottomRight" state="frozen"/>
      <selection activeCell="Z56" sqref="Z56:AE56"/>
      <selection pane="topRight" activeCell="Z56" sqref="Z56:AE56"/>
      <selection pane="bottomLeft" activeCell="Z56" sqref="Z56:AE56"/>
      <selection pane="bottomRight" activeCell="AB1" sqref="AB1:BN1"/>
    </sheetView>
  </sheetViews>
  <sheetFormatPr defaultColWidth="2" defaultRowHeight="19.5" customHeight="1"/>
  <cols>
    <col min="1" max="1" width="9.6640625" style="5" customWidth="1"/>
    <col min="2" max="2" width="3.44140625" style="8" customWidth="1"/>
    <col min="3" max="3" width="4.33203125" style="8" customWidth="1"/>
    <col min="4" max="4" width="3.109375" style="8" customWidth="1"/>
    <col min="5" max="5" width="3.33203125" style="8" customWidth="1"/>
    <col min="6" max="6" width="2.44140625" style="8" customWidth="1"/>
    <col min="7" max="9" width="1.88671875" style="8" customWidth="1"/>
    <col min="10" max="11" width="4.21875" style="8" customWidth="1"/>
    <col min="12" max="12" width="2.21875" style="8" customWidth="1"/>
    <col min="13" max="13" width="3.21875" style="8" customWidth="1"/>
    <col min="14" max="14" width="19.5546875" style="9" bestFit="1" customWidth="1"/>
    <col min="15" max="15" width="12.33203125" style="9" customWidth="1"/>
    <col min="16" max="64" width="10.6640625" style="9" customWidth="1"/>
    <col min="65" max="66" width="10.33203125" style="9" customWidth="1"/>
    <col min="67" max="76" width="10.33203125" style="9" hidden="1" customWidth="1"/>
    <col min="77" max="77" width="11.109375" style="9" bestFit="1" customWidth="1"/>
    <col min="78" max="78" width="10.44140625" style="116" bestFit="1" customWidth="1"/>
    <col min="79" max="79" width="9.109375" style="76" bestFit="1" customWidth="1"/>
    <col min="80" max="80" width="2" style="6" customWidth="1"/>
    <col min="81" max="89" width="2.21875" style="6" bestFit="1" customWidth="1"/>
    <col min="90" max="130" width="3" style="6" bestFit="1" customWidth="1"/>
    <col min="131" max="147" width="2" style="6" customWidth="1"/>
    <col min="148" max="16384" width="2" style="7"/>
  </cols>
  <sheetData>
    <row r="1" spans="1:172" s="2" customFormat="1" ht="40.5" customHeight="1">
      <c r="A1" s="46" t="s">
        <v>309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03" t="s">
        <v>411</v>
      </c>
      <c r="O1" s="103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>
        <v>1</v>
      </c>
      <c r="AC1" s="16">
        <v>2</v>
      </c>
      <c r="AD1" s="16">
        <v>3</v>
      </c>
      <c r="AE1" s="16">
        <v>4</v>
      </c>
      <c r="AF1" s="16">
        <v>5</v>
      </c>
      <c r="AG1" s="16">
        <v>6</v>
      </c>
      <c r="AH1" s="16">
        <v>7</v>
      </c>
      <c r="AI1" s="16">
        <v>8</v>
      </c>
      <c r="AJ1" s="16">
        <v>9</v>
      </c>
      <c r="AK1" s="16">
        <v>10</v>
      </c>
      <c r="AL1" s="16">
        <v>11</v>
      </c>
      <c r="AM1" s="16">
        <v>12</v>
      </c>
      <c r="AN1" s="16">
        <v>13</v>
      </c>
      <c r="AO1" s="16">
        <v>14</v>
      </c>
      <c r="AP1" s="16">
        <v>15</v>
      </c>
      <c r="AQ1" s="16">
        <v>16</v>
      </c>
      <c r="AR1" s="16">
        <v>17</v>
      </c>
      <c r="AS1" s="16">
        <v>18</v>
      </c>
      <c r="AT1" s="16">
        <v>19</v>
      </c>
      <c r="AU1" s="16">
        <v>20</v>
      </c>
      <c r="AV1" s="16">
        <v>21</v>
      </c>
      <c r="AW1" s="16">
        <v>22</v>
      </c>
      <c r="AX1" s="16">
        <v>23</v>
      </c>
      <c r="AY1" s="16">
        <v>24</v>
      </c>
      <c r="AZ1" s="16">
        <v>25</v>
      </c>
      <c r="BA1" s="16">
        <v>26</v>
      </c>
      <c r="BB1" s="16">
        <v>27</v>
      </c>
      <c r="BC1" s="16">
        <v>28</v>
      </c>
      <c r="BD1" s="16">
        <v>29</v>
      </c>
      <c r="BE1" s="16">
        <v>30</v>
      </c>
      <c r="BF1" s="16">
        <v>31</v>
      </c>
      <c r="BG1" s="16">
        <v>32</v>
      </c>
      <c r="BH1" s="16">
        <v>33</v>
      </c>
      <c r="BI1" s="16">
        <v>34</v>
      </c>
      <c r="BJ1" s="16">
        <v>35</v>
      </c>
      <c r="BK1" s="16">
        <v>36</v>
      </c>
      <c r="BL1" s="16">
        <v>37</v>
      </c>
      <c r="BM1" s="16">
        <v>38</v>
      </c>
      <c r="BN1" s="16">
        <v>39</v>
      </c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10"/>
      <c r="CA1" s="72"/>
      <c r="CB1" s="1"/>
      <c r="CC1" s="48">
        <v>3</v>
      </c>
      <c r="CD1" s="48">
        <v>4</v>
      </c>
      <c r="CE1" s="48">
        <v>5</v>
      </c>
      <c r="CF1" s="48">
        <v>6</v>
      </c>
      <c r="CG1" s="48">
        <v>7</v>
      </c>
      <c r="CH1" s="48">
        <v>8</v>
      </c>
      <c r="CI1" s="48">
        <v>9</v>
      </c>
      <c r="CJ1" s="48">
        <v>10</v>
      </c>
      <c r="CK1" s="48">
        <v>11</v>
      </c>
      <c r="CL1" s="48">
        <v>12</v>
      </c>
      <c r="CM1" s="48">
        <v>13</v>
      </c>
      <c r="CN1" s="48">
        <v>14</v>
      </c>
      <c r="CO1" s="48">
        <v>15</v>
      </c>
      <c r="CP1" s="48">
        <v>16</v>
      </c>
      <c r="CQ1" s="48">
        <v>17</v>
      </c>
      <c r="CR1" s="48">
        <v>18</v>
      </c>
      <c r="CS1" s="48">
        <v>19</v>
      </c>
      <c r="CT1" s="48">
        <v>20</v>
      </c>
      <c r="CU1" s="48">
        <v>21</v>
      </c>
      <c r="CV1" s="48">
        <v>22</v>
      </c>
      <c r="CW1" s="48">
        <v>23</v>
      </c>
      <c r="CX1" s="48">
        <v>24</v>
      </c>
      <c r="CY1" s="48">
        <v>25</v>
      </c>
      <c r="CZ1" s="48">
        <v>26</v>
      </c>
      <c r="DA1" s="48">
        <v>27</v>
      </c>
      <c r="DB1" s="48">
        <v>28</v>
      </c>
      <c r="DC1" s="48">
        <v>29</v>
      </c>
      <c r="DD1" s="48">
        <v>30</v>
      </c>
      <c r="DE1" s="48">
        <v>31</v>
      </c>
      <c r="DF1" s="48">
        <v>32</v>
      </c>
      <c r="DG1" s="48">
        <v>33</v>
      </c>
      <c r="DH1" s="48">
        <v>34</v>
      </c>
      <c r="DI1" s="48">
        <v>35</v>
      </c>
      <c r="DJ1" s="48">
        <v>36</v>
      </c>
      <c r="DK1" s="48">
        <v>37</v>
      </c>
      <c r="DL1" s="48">
        <v>38</v>
      </c>
      <c r="DM1" s="48">
        <v>39</v>
      </c>
      <c r="DN1" s="48">
        <v>40</v>
      </c>
      <c r="DO1" s="48">
        <v>41</v>
      </c>
      <c r="DP1" s="48">
        <v>42</v>
      </c>
      <c r="DQ1" s="48">
        <v>43</v>
      </c>
      <c r="DR1" s="48">
        <v>44</v>
      </c>
      <c r="DS1" s="48">
        <v>45</v>
      </c>
      <c r="DT1" s="48">
        <v>46</v>
      </c>
      <c r="DU1" s="48">
        <v>47</v>
      </c>
      <c r="DV1" s="48">
        <v>48</v>
      </c>
      <c r="DW1" s="48">
        <v>49</v>
      </c>
      <c r="DX1" s="48">
        <v>50</v>
      </c>
      <c r="DY1" s="48">
        <v>51</v>
      </c>
      <c r="DZ1" s="48">
        <v>52</v>
      </c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</row>
    <row r="2" spans="1:172" s="10" customFormat="1" ht="20.100000000000001" customHeight="1">
      <c r="A2" s="3" t="s">
        <v>40</v>
      </c>
      <c r="B2" s="1536" t="str">
        <f>+사업수지표!G3</f>
        <v>경기도 화성시 장짐리 공동주택 신축사업</v>
      </c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47">
        <v>50</v>
      </c>
      <c r="O2" s="47" t="s">
        <v>413</v>
      </c>
      <c r="Q2" s="10">
        <v>1</v>
      </c>
      <c r="R2" s="10">
        <v>2</v>
      </c>
      <c r="S2" s="10">
        <v>3</v>
      </c>
      <c r="T2" s="10">
        <v>4</v>
      </c>
      <c r="U2" s="10">
        <v>5</v>
      </c>
      <c r="V2" s="10">
        <v>6</v>
      </c>
      <c r="W2" s="10">
        <v>7</v>
      </c>
      <c r="X2" s="10">
        <v>8</v>
      </c>
      <c r="Y2" s="10">
        <v>9</v>
      </c>
      <c r="Z2" s="10">
        <v>10</v>
      </c>
      <c r="AA2" s="10">
        <v>11</v>
      </c>
      <c r="AB2" s="10">
        <v>12</v>
      </c>
      <c r="AC2" s="10">
        <v>13</v>
      </c>
      <c r="AD2" s="10">
        <v>14</v>
      </c>
      <c r="AE2" s="10">
        <v>15</v>
      </c>
      <c r="AF2" s="10">
        <v>16</v>
      </c>
      <c r="AG2" s="10">
        <v>17</v>
      </c>
      <c r="AH2" s="10">
        <v>18</v>
      </c>
      <c r="AI2" s="10">
        <v>19</v>
      </c>
      <c r="AJ2" s="10">
        <v>20</v>
      </c>
      <c r="AK2" s="10">
        <v>21</v>
      </c>
      <c r="AL2" s="10">
        <v>22</v>
      </c>
      <c r="AM2" s="10">
        <v>23</v>
      </c>
      <c r="AN2" s="10">
        <v>24</v>
      </c>
      <c r="AO2" s="10">
        <v>25</v>
      </c>
      <c r="AP2" s="10">
        <v>26</v>
      </c>
      <c r="AQ2" s="10">
        <v>27</v>
      </c>
      <c r="AR2" s="10">
        <v>28</v>
      </c>
      <c r="AS2" s="10">
        <v>29</v>
      </c>
      <c r="AT2" s="10">
        <v>30</v>
      </c>
      <c r="AU2" s="10">
        <v>31</v>
      </c>
      <c r="AV2" s="10">
        <v>32</v>
      </c>
      <c r="AW2" s="10">
        <v>33</v>
      </c>
      <c r="AX2" s="10">
        <v>34</v>
      </c>
      <c r="AY2" s="10">
        <v>35</v>
      </c>
      <c r="AZ2" s="10">
        <v>36</v>
      </c>
      <c r="BA2" s="10">
        <v>37</v>
      </c>
      <c r="BB2" s="10">
        <v>38</v>
      </c>
      <c r="BC2" s="10">
        <v>39</v>
      </c>
      <c r="BD2" s="10">
        <v>40</v>
      </c>
      <c r="BE2" s="10">
        <v>41</v>
      </c>
      <c r="BF2" s="10">
        <v>42</v>
      </c>
      <c r="BG2" s="10">
        <v>43</v>
      </c>
      <c r="BH2" s="10">
        <v>44</v>
      </c>
      <c r="BI2" s="10">
        <v>45</v>
      </c>
      <c r="BJ2" s="10">
        <v>46</v>
      </c>
      <c r="BK2" s="10">
        <v>47</v>
      </c>
      <c r="BL2" s="10">
        <v>48</v>
      </c>
      <c r="BM2" s="10">
        <v>49</v>
      </c>
      <c r="BN2" s="10">
        <v>50</v>
      </c>
      <c r="BO2" s="10">
        <v>51</v>
      </c>
      <c r="BP2" s="10">
        <v>52</v>
      </c>
      <c r="BZ2" s="111"/>
      <c r="CA2" s="73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</row>
    <row r="3" spans="1:172" s="15" customFormat="1" ht="19.5" customHeight="1" thickBot="1">
      <c r="A3" s="4" t="s">
        <v>41</v>
      </c>
      <c r="B3" s="1541">
        <v>37</v>
      </c>
      <c r="C3" s="1542"/>
      <c r="D3" s="1542"/>
      <c r="E3" s="17" t="s">
        <v>34</v>
      </c>
      <c r="F3" s="18"/>
      <c r="G3" s="18"/>
      <c r="H3" s="19"/>
      <c r="I3" s="19"/>
      <c r="J3" s="19"/>
      <c r="K3" s="20"/>
      <c r="L3" s="19"/>
      <c r="M3" s="13"/>
      <c r="N3" s="12"/>
      <c r="O3" s="12"/>
      <c r="P3" s="145"/>
      <c r="Q3" s="145">
        <v>1</v>
      </c>
      <c r="R3" s="145">
        <v>2</v>
      </c>
      <c r="S3" s="145">
        <v>3</v>
      </c>
      <c r="T3" s="145">
        <v>4</v>
      </c>
      <c r="U3" s="145">
        <v>5</v>
      </c>
      <c r="V3" s="145">
        <v>6</v>
      </c>
      <c r="W3" s="145">
        <v>7</v>
      </c>
      <c r="X3" s="145">
        <v>8</v>
      </c>
      <c r="Y3" s="145">
        <v>9</v>
      </c>
      <c r="Z3" s="145">
        <v>10</v>
      </c>
      <c r="AA3" s="145"/>
      <c r="AB3" s="145"/>
      <c r="AC3" s="145"/>
      <c r="AD3" s="145"/>
      <c r="AE3" s="145"/>
      <c r="AF3" s="145"/>
      <c r="AG3" s="145"/>
      <c r="AH3" s="145"/>
      <c r="AI3" s="144"/>
      <c r="AJ3" s="107" t="s">
        <v>39</v>
      </c>
      <c r="AK3" s="135">
        <f>사업수지표!BD75</f>
        <v>7.7700000000000005E-2</v>
      </c>
      <c r="AL3" s="108" t="s">
        <v>5</v>
      </c>
      <c r="AM3" s="290">
        <f>사업수지표!BD80</f>
        <v>0</v>
      </c>
      <c r="AN3" s="107" t="s">
        <v>74</v>
      </c>
      <c r="AO3" s="109"/>
      <c r="AP3" s="107" t="s">
        <v>73</v>
      </c>
      <c r="AQ3" s="155">
        <f>사업수지표!BD76</f>
        <v>4.2000000000000003E-2</v>
      </c>
      <c r="AR3" s="21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12"/>
      <c r="CA3" s="7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</row>
    <row r="4" spans="1:172" s="54" customFormat="1" ht="15" customHeight="1">
      <c r="A4" s="1537" t="s">
        <v>78</v>
      </c>
      <c r="B4" s="1538"/>
      <c r="C4" s="1538"/>
      <c r="D4" s="1538"/>
      <c r="E4" s="1538"/>
      <c r="F4" s="1538"/>
      <c r="G4" s="1538"/>
      <c r="H4" s="1538"/>
      <c r="I4" s="1538"/>
      <c r="J4" s="1538"/>
      <c r="K4" s="1538"/>
      <c r="L4" s="1538"/>
      <c r="M4" s="1538"/>
      <c r="N4" s="50" t="s">
        <v>72</v>
      </c>
      <c r="O4" s="51" t="s">
        <v>312</v>
      </c>
      <c r="P4" s="699" t="s">
        <v>389</v>
      </c>
      <c r="Q4" s="51" t="s">
        <v>358</v>
      </c>
      <c r="R4" s="51" t="s">
        <v>358</v>
      </c>
      <c r="S4" s="51" t="s">
        <v>358</v>
      </c>
      <c r="T4" s="51" t="s">
        <v>358</v>
      </c>
      <c r="U4" s="51" t="s">
        <v>358</v>
      </c>
      <c r="V4" s="51" t="s">
        <v>358</v>
      </c>
      <c r="W4" s="51" t="s">
        <v>358</v>
      </c>
      <c r="X4" s="51" t="s">
        <v>358</v>
      </c>
      <c r="Y4" s="51" t="s">
        <v>358</v>
      </c>
      <c r="Z4" s="51" t="s">
        <v>358</v>
      </c>
      <c r="AA4" s="51" t="s">
        <v>310</v>
      </c>
      <c r="AB4" s="51"/>
      <c r="AC4" s="51"/>
      <c r="AD4" s="51"/>
      <c r="AE4" s="51"/>
      <c r="AF4" s="51"/>
      <c r="AG4" s="51" t="s">
        <v>475</v>
      </c>
      <c r="AH4" s="51"/>
      <c r="AI4" s="51"/>
      <c r="AJ4" s="51"/>
      <c r="AK4" s="51"/>
      <c r="AL4" s="51"/>
      <c r="AM4" s="51" t="s">
        <v>476</v>
      </c>
      <c r="AN4" s="51"/>
      <c r="AO4" s="51"/>
      <c r="AP4" s="51"/>
      <c r="AQ4" s="51"/>
      <c r="AR4" s="51"/>
      <c r="AS4" s="51" t="s">
        <v>477</v>
      </c>
      <c r="AT4" s="51"/>
      <c r="AU4" s="51"/>
      <c r="AV4" s="51"/>
      <c r="AW4" s="51"/>
      <c r="AX4" s="51"/>
      <c r="AY4" s="51" t="s">
        <v>478</v>
      </c>
      <c r="AZ4" s="51"/>
      <c r="BA4" s="51"/>
      <c r="BB4" s="51"/>
      <c r="BC4" s="52"/>
      <c r="BD4" s="52"/>
      <c r="BE4" s="51" t="s">
        <v>311</v>
      </c>
      <c r="BF4" s="52"/>
      <c r="BG4" s="51"/>
      <c r="BH4" s="51"/>
      <c r="BI4" s="52" t="s">
        <v>314</v>
      </c>
      <c r="BJ4" s="51"/>
      <c r="BK4" s="51"/>
      <c r="BL4" s="52" t="s">
        <v>357</v>
      </c>
      <c r="BM4" s="51"/>
      <c r="BN4" s="51" t="s">
        <v>480</v>
      </c>
      <c r="BO4" s="52"/>
      <c r="BP4" s="52"/>
      <c r="BQ4" s="52"/>
      <c r="BR4" s="497"/>
      <c r="BS4" s="497"/>
      <c r="BT4" s="497"/>
      <c r="BU4" s="52"/>
      <c r="BV4" s="497"/>
      <c r="BW4" s="497"/>
      <c r="BX4" s="52"/>
      <c r="BY4" s="99" t="s">
        <v>6</v>
      </c>
      <c r="BZ4" s="113"/>
      <c r="CA4" s="71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</row>
    <row r="5" spans="1:172" s="57" customFormat="1" ht="15" customHeight="1">
      <c r="A5" s="1543" t="s">
        <v>79</v>
      </c>
      <c r="B5" s="1544"/>
      <c r="C5" s="1544"/>
      <c r="D5" s="1544"/>
      <c r="E5" s="1544"/>
      <c r="F5" s="1544"/>
      <c r="G5" s="1544"/>
      <c r="H5" s="1544"/>
      <c r="I5" s="1544"/>
      <c r="J5" s="1544"/>
      <c r="K5" s="1544"/>
      <c r="L5" s="1544"/>
      <c r="M5" s="1544"/>
      <c r="N5" s="55"/>
      <c r="O5" s="56"/>
      <c r="P5" s="56"/>
      <c r="Q5" s="56" t="s">
        <v>406</v>
      </c>
      <c r="R5" s="56" t="s">
        <v>405</v>
      </c>
      <c r="S5" s="56" t="s">
        <v>404</v>
      </c>
      <c r="T5" s="56" t="s">
        <v>403</v>
      </c>
      <c r="U5" s="56" t="s">
        <v>402</v>
      </c>
      <c r="V5" s="56" t="s">
        <v>401</v>
      </c>
      <c r="W5" s="56" t="s">
        <v>400</v>
      </c>
      <c r="X5" s="56" t="s">
        <v>356</v>
      </c>
      <c r="Y5" s="56" t="s">
        <v>355</v>
      </c>
      <c r="Z5" s="56" t="s">
        <v>354</v>
      </c>
      <c r="AA5" s="56" t="s">
        <v>429</v>
      </c>
      <c r="AB5" s="56" t="s">
        <v>430</v>
      </c>
      <c r="AC5" s="56" t="s">
        <v>431</v>
      </c>
      <c r="AD5" s="56" t="s">
        <v>432</v>
      </c>
      <c r="AE5" s="56" t="s">
        <v>433</v>
      </c>
      <c r="AF5" s="56" t="s">
        <v>434</v>
      </c>
      <c r="AG5" s="56" t="s">
        <v>435</v>
      </c>
      <c r="AH5" s="56" t="s">
        <v>436</v>
      </c>
      <c r="AI5" s="56" t="s">
        <v>437</v>
      </c>
      <c r="AJ5" s="56" t="s">
        <v>438</v>
      </c>
      <c r="AK5" s="56" t="s">
        <v>439</v>
      </c>
      <c r="AL5" s="56" t="s">
        <v>440</v>
      </c>
      <c r="AM5" s="56" t="s">
        <v>441</v>
      </c>
      <c r="AN5" s="56" t="s">
        <v>442</v>
      </c>
      <c r="AO5" s="56" t="s">
        <v>443</v>
      </c>
      <c r="AP5" s="56" t="s">
        <v>444</v>
      </c>
      <c r="AQ5" s="56" t="s">
        <v>445</v>
      </c>
      <c r="AR5" s="56" t="s">
        <v>446</v>
      </c>
      <c r="AS5" s="56" t="s">
        <v>447</v>
      </c>
      <c r="AT5" s="56" t="s">
        <v>448</v>
      </c>
      <c r="AU5" s="56" t="s">
        <v>449</v>
      </c>
      <c r="AV5" s="56" t="s">
        <v>450</v>
      </c>
      <c r="AW5" s="56" t="s">
        <v>451</v>
      </c>
      <c r="AX5" s="56" t="s">
        <v>452</v>
      </c>
      <c r="AY5" s="56" t="s">
        <v>453</v>
      </c>
      <c r="AZ5" s="56" t="s">
        <v>454</v>
      </c>
      <c r="BA5" s="56" t="s">
        <v>455</v>
      </c>
      <c r="BB5" s="56" t="s">
        <v>456</v>
      </c>
      <c r="BC5" s="56" t="s">
        <v>457</v>
      </c>
      <c r="BD5" s="56" t="s">
        <v>458</v>
      </c>
      <c r="BE5" s="56" t="s">
        <v>459</v>
      </c>
      <c r="BF5" s="56" t="s">
        <v>460</v>
      </c>
      <c r="BG5" s="56" t="s">
        <v>461</v>
      </c>
      <c r="BH5" s="56" t="s">
        <v>462</v>
      </c>
      <c r="BI5" s="56" t="s">
        <v>463</v>
      </c>
      <c r="BJ5" s="56" t="s">
        <v>464</v>
      </c>
      <c r="BK5" s="56" t="s">
        <v>465</v>
      </c>
      <c r="BL5" s="56" t="s">
        <v>466</v>
      </c>
      <c r="BM5" s="56">
        <v>33</v>
      </c>
      <c r="BN5" s="56">
        <v>34</v>
      </c>
      <c r="BO5" s="56">
        <v>35</v>
      </c>
      <c r="BP5" s="56">
        <v>36</v>
      </c>
      <c r="BQ5" s="56">
        <v>37</v>
      </c>
      <c r="BR5" s="56">
        <v>38</v>
      </c>
      <c r="BS5" s="56">
        <v>39</v>
      </c>
      <c r="BT5" s="56">
        <v>40</v>
      </c>
      <c r="BU5" s="56">
        <v>41</v>
      </c>
      <c r="BV5" s="56">
        <v>40</v>
      </c>
      <c r="BW5" s="56">
        <v>41</v>
      </c>
      <c r="BX5" s="56">
        <v>42</v>
      </c>
      <c r="BY5" s="100"/>
      <c r="BZ5" s="113"/>
      <c r="CA5" s="71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</row>
    <row r="6" spans="1:172" s="57" customFormat="1" ht="15" customHeight="1">
      <c r="A6" s="1551" t="s">
        <v>80</v>
      </c>
      <c r="B6" s="1552"/>
      <c r="C6" s="1552"/>
      <c r="D6" s="1552"/>
      <c r="E6" s="1552"/>
      <c r="F6" s="1552"/>
      <c r="G6" s="1552"/>
      <c r="H6" s="1552"/>
      <c r="I6" s="1552"/>
      <c r="J6" s="1552"/>
      <c r="K6" s="1552"/>
      <c r="L6" s="1552"/>
      <c r="M6" s="1553"/>
      <c r="N6" s="58"/>
      <c r="O6" s="70"/>
      <c r="P6" s="70">
        <v>46082</v>
      </c>
      <c r="Q6" s="70">
        <v>46113</v>
      </c>
      <c r="R6" s="70">
        <v>46143</v>
      </c>
      <c r="S6" s="70">
        <v>46174</v>
      </c>
      <c r="T6" s="70">
        <v>46204</v>
      </c>
      <c r="U6" s="70">
        <v>46235</v>
      </c>
      <c r="V6" s="70">
        <v>46266</v>
      </c>
      <c r="W6" s="70">
        <v>46296</v>
      </c>
      <c r="X6" s="70">
        <v>46327</v>
      </c>
      <c r="Y6" s="70">
        <v>46357</v>
      </c>
      <c r="Z6" s="70">
        <v>46388</v>
      </c>
      <c r="AA6" s="70">
        <v>46419</v>
      </c>
      <c r="AB6" s="70">
        <v>46447</v>
      </c>
      <c r="AC6" s="70">
        <v>46478</v>
      </c>
      <c r="AD6" s="70">
        <v>46508</v>
      </c>
      <c r="AE6" s="70">
        <v>46539</v>
      </c>
      <c r="AF6" s="70">
        <v>46569</v>
      </c>
      <c r="AG6" s="70">
        <v>46600</v>
      </c>
      <c r="AH6" s="70">
        <v>46631</v>
      </c>
      <c r="AI6" s="70">
        <v>46661</v>
      </c>
      <c r="AJ6" s="70">
        <v>46692</v>
      </c>
      <c r="AK6" s="70">
        <v>46722</v>
      </c>
      <c r="AL6" s="70">
        <v>46753</v>
      </c>
      <c r="AM6" s="70">
        <v>46784</v>
      </c>
      <c r="AN6" s="70">
        <v>46813</v>
      </c>
      <c r="AO6" s="70">
        <v>46844</v>
      </c>
      <c r="AP6" s="70">
        <v>46874</v>
      </c>
      <c r="AQ6" s="70">
        <v>46905</v>
      </c>
      <c r="AR6" s="70">
        <v>46935</v>
      </c>
      <c r="AS6" s="70">
        <v>46966</v>
      </c>
      <c r="AT6" s="70">
        <v>46997</v>
      </c>
      <c r="AU6" s="70">
        <v>47027</v>
      </c>
      <c r="AV6" s="70">
        <v>47058</v>
      </c>
      <c r="AW6" s="70">
        <v>47088</v>
      </c>
      <c r="AX6" s="70">
        <v>47119</v>
      </c>
      <c r="AY6" s="70">
        <v>47150</v>
      </c>
      <c r="AZ6" s="70">
        <v>47178</v>
      </c>
      <c r="BA6" s="70">
        <v>47209</v>
      </c>
      <c r="BB6" s="70">
        <v>47239</v>
      </c>
      <c r="BC6" s="70">
        <v>47270</v>
      </c>
      <c r="BD6" s="70">
        <v>47300</v>
      </c>
      <c r="BE6" s="70">
        <v>47331</v>
      </c>
      <c r="BF6" s="70">
        <v>47362</v>
      </c>
      <c r="BG6" s="70">
        <v>47392</v>
      </c>
      <c r="BH6" s="70">
        <v>47423</v>
      </c>
      <c r="BI6" s="70">
        <v>47453</v>
      </c>
      <c r="BJ6" s="70">
        <v>47484</v>
      </c>
      <c r="BK6" s="70">
        <v>47515</v>
      </c>
      <c r="BL6" s="70">
        <v>47543</v>
      </c>
      <c r="BM6" s="70">
        <v>47574</v>
      </c>
      <c r="BN6" s="70">
        <v>47604</v>
      </c>
      <c r="BO6" s="70">
        <v>47635</v>
      </c>
      <c r="BP6" s="70">
        <v>47665</v>
      </c>
      <c r="BQ6" s="70">
        <v>47270</v>
      </c>
      <c r="BR6" s="70">
        <v>47300</v>
      </c>
      <c r="BS6" s="70">
        <v>47331</v>
      </c>
      <c r="BT6" s="70">
        <v>47362</v>
      </c>
      <c r="BU6" s="70">
        <v>47392</v>
      </c>
      <c r="BV6" s="70">
        <v>47423</v>
      </c>
      <c r="BW6" s="70">
        <v>47453</v>
      </c>
      <c r="BX6" s="70">
        <f t="shared" ref="BX6" si="0">BW6+31</f>
        <v>47484</v>
      </c>
      <c r="BY6" s="101"/>
      <c r="BZ6" s="113"/>
      <c r="CA6" s="71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</row>
    <row r="7" spans="1:172" s="59" customFormat="1" ht="15" customHeight="1">
      <c r="A7" s="1539" t="s">
        <v>89</v>
      </c>
      <c r="B7" s="1545" t="s">
        <v>90</v>
      </c>
      <c r="C7" s="1546"/>
      <c r="D7" s="1546"/>
      <c r="E7" s="1546"/>
      <c r="F7" s="1547"/>
      <c r="G7" s="1529" t="s">
        <v>88</v>
      </c>
      <c r="H7" s="1530"/>
      <c r="I7" s="1530"/>
      <c r="J7" s="1530"/>
      <c r="K7" s="1530"/>
      <c r="L7" s="1530"/>
      <c r="M7" s="1531"/>
      <c r="N7" s="130"/>
      <c r="O7" s="552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>
        <f>공정률!F4</f>
        <v>9.5999999999999992E-3</v>
      </c>
      <c r="AB7" s="131">
        <f>공정률!G4</f>
        <v>9.5999999999999992E-3</v>
      </c>
      <c r="AC7" s="131">
        <f>공정률!H4</f>
        <v>1.1599999999999999E-2</v>
      </c>
      <c r="AD7" s="131">
        <f>공정률!I4</f>
        <v>1.1599999999999999E-2</v>
      </c>
      <c r="AE7" s="131">
        <f>공정률!J4</f>
        <v>1.3600000000000001E-2</v>
      </c>
      <c r="AF7" s="131">
        <f>공정률!K4</f>
        <v>1.3600000000000001E-2</v>
      </c>
      <c r="AG7" s="131">
        <f>공정률!L4</f>
        <v>1.8599999999999998E-2</v>
      </c>
      <c r="AH7" s="131">
        <f>공정률!M4</f>
        <v>1.8599999999999998E-2</v>
      </c>
      <c r="AI7" s="131">
        <f>공정률!N4</f>
        <v>2.1599999999999998E-2</v>
      </c>
      <c r="AJ7" s="131">
        <f>공정률!O4</f>
        <v>2.1599999999999998E-2</v>
      </c>
      <c r="AK7" s="131">
        <f>공정률!P4</f>
        <v>2.4599999999999997E-2</v>
      </c>
      <c r="AL7" s="131">
        <f>공정률!Q4</f>
        <v>2.4599999999999997E-2</v>
      </c>
      <c r="AM7" s="131">
        <f>공정률!R4</f>
        <v>2.6599999999999999E-2</v>
      </c>
      <c r="AN7" s="131">
        <f>공정률!S4</f>
        <v>2.6599999999999999E-2</v>
      </c>
      <c r="AO7" s="131">
        <f>공정률!T4</f>
        <v>2.8599999999999997E-2</v>
      </c>
      <c r="AP7" s="131">
        <f>공정률!U4</f>
        <v>2.8599999999999997E-2</v>
      </c>
      <c r="AQ7" s="131">
        <f>공정률!V4</f>
        <v>2.8599999999999997E-2</v>
      </c>
      <c r="AR7" s="131">
        <f>공정률!W4</f>
        <v>2.8599999999999997E-2</v>
      </c>
      <c r="AS7" s="131">
        <f>공정률!X4</f>
        <v>2.8599999999999997E-2</v>
      </c>
      <c r="AT7" s="131">
        <f>공정률!Y4</f>
        <v>2.8599999999999997E-2</v>
      </c>
      <c r="AU7" s="131">
        <f>공정률!Z4</f>
        <v>3.0599999999999999E-2</v>
      </c>
      <c r="AV7" s="131">
        <f>공정률!AA4</f>
        <v>3.0599999999999999E-2</v>
      </c>
      <c r="AW7" s="131">
        <f>공정률!AB4</f>
        <v>3.0599999999999999E-2</v>
      </c>
      <c r="AX7" s="131">
        <f>공정률!AC4</f>
        <v>3.0599999999999999E-2</v>
      </c>
      <c r="AY7" s="131">
        <f>공정률!AD4</f>
        <v>3.2600000000000004E-2</v>
      </c>
      <c r="AZ7" s="131">
        <f>공정률!AE4</f>
        <v>3.2600000000000004E-2</v>
      </c>
      <c r="BA7" s="131">
        <f>공정률!AF4</f>
        <v>3.4599999999999999E-2</v>
      </c>
      <c r="BB7" s="131">
        <f>공정률!AG4</f>
        <v>3.4599999999999999E-2</v>
      </c>
      <c r="BC7" s="131">
        <f>공정률!AH4</f>
        <v>3.6600000000000008E-2</v>
      </c>
      <c r="BD7" s="131">
        <f>공정률!AI4</f>
        <v>3.6600000000000008E-2</v>
      </c>
      <c r="BE7" s="131">
        <f>공정률!AJ4</f>
        <v>3.6600000000000008E-2</v>
      </c>
      <c r="BF7" s="131">
        <f>공정률!AK4</f>
        <v>3.6600000000000008E-2</v>
      </c>
      <c r="BG7" s="131">
        <f>공정률!AL4</f>
        <v>3.4599999999999999E-2</v>
      </c>
      <c r="BH7" s="131">
        <f>공정률!AM4</f>
        <v>3.4599999999999999E-2</v>
      </c>
      <c r="BI7" s="131">
        <f>공정률!AN4</f>
        <v>3.4599999999999999E-2</v>
      </c>
      <c r="BJ7" s="131">
        <f>공정률!AO4</f>
        <v>3.4599999999999999E-2</v>
      </c>
      <c r="BK7" s="131">
        <f>공정률!AP4</f>
        <v>3.4400000000000319E-2</v>
      </c>
      <c r="BL7" s="131">
        <f>공정률!AQ4</f>
        <v>0</v>
      </c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3">
        <f>SUM(P7:BS7)</f>
        <v>1</v>
      </c>
      <c r="BZ7" s="114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</row>
    <row r="8" spans="1:172" s="59" customFormat="1" ht="15" customHeight="1" thickBot="1">
      <c r="A8" s="1540"/>
      <c r="B8" s="1548"/>
      <c r="C8" s="1549"/>
      <c r="D8" s="1549"/>
      <c r="E8" s="1549"/>
      <c r="F8" s="1550"/>
      <c r="G8" s="1535" t="s">
        <v>7</v>
      </c>
      <c r="H8" s="1554"/>
      <c r="I8" s="1554"/>
      <c r="J8" s="1554"/>
      <c r="K8" s="1554"/>
      <c r="L8" s="1554"/>
      <c r="M8" s="1554"/>
      <c r="N8" s="60">
        <f>+BY8</f>
        <v>1</v>
      </c>
      <c r="O8" s="553"/>
      <c r="P8" s="134">
        <v>0</v>
      </c>
      <c r="Q8" s="134"/>
      <c r="R8" s="134"/>
      <c r="S8" s="134"/>
      <c r="T8" s="134"/>
      <c r="U8" s="134"/>
      <c r="V8" s="134"/>
      <c r="W8" s="134"/>
      <c r="X8" s="134">
        <v>0</v>
      </c>
      <c r="Y8" s="134">
        <f>X8+Y7</f>
        <v>0</v>
      </c>
      <c r="Z8" s="134"/>
      <c r="AA8" s="134">
        <f>AA7</f>
        <v>9.5999999999999992E-3</v>
      </c>
      <c r="AB8" s="134">
        <f>AA8+AB7</f>
        <v>1.9199999999999998E-2</v>
      </c>
      <c r="AC8" s="134">
        <f t="shared" ref="AC8:AG8" si="1">AB8+AC7</f>
        <v>3.0799999999999998E-2</v>
      </c>
      <c r="AD8" s="134">
        <f t="shared" si="1"/>
        <v>4.2399999999999993E-2</v>
      </c>
      <c r="AE8" s="134">
        <f t="shared" si="1"/>
        <v>5.5999999999999994E-2</v>
      </c>
      <c r="AF8" s="134">
        <f t="shared" si="1"/>
        <v>6.9599999999999995E-2</v>
      </c>
      <c r="AG8" s="134">
        <f t="shared" si="1"/>
        <v>8.8200000000000001E-2</v>
      </c>
      <c r="AH8" s="134">
        <f>AG8+AH7</f>
        <v>0.10680000000000001</v>
      </c>
      <c r="AI8" s="134">
        <f t="shared" ref="AI8:BL8" si="2">AH8+AI7</f>
        <v>0.12840000000000001</v>
      </c>
      <c r="AJ8" s="134">
        <f t="shared" si="2"/>
        <v>0.15000000000000002</v>
      </c>
      <c r="AK8" s="134">
        <f t="shared" si="2"/>
        <v>0.17460000000000003</v>
      </c>
      <c r="AL8" s="134">
        <f t="shared" si="2"/>
        <v>0.19920000000000004</v>
      </c>
      <c r="AM8" s="134">
        <f t="shared" si="2"/>
        <v>0.22580000000000006</v>
      </c>
      <c r="AN8" s="134">
        <f t="shared" si="2"/>
        <v>0.25240000000000007</v>
      </c>
      <c r="AO8" s="134">
        <f t="shared" si="2"/>
        <v>0.28100000000000008</v>
      </c>
      <c r="AP8" s="134">
        <f t="shared" si="2"/>
        <v>0.3096000000000001</v>
      </c>
      <c r="AQ8" s="134">
        <f t="shared" si="2"/>
        <v>0.33820000000000011</v>
      </c>
      <c r="AR8" s="134">
        <f t="shared" si="2"/>
        <v>0.36680000000000013</v>
      </c>
      <c r="AS8" s="134">
        <f t="shared" si="2"/>
        <v>0.39540000000000014</v>
      </c>
      <c r="AT8" s="134">
        <f t="shared" si="2"/>
        <v>0.42400000000000015</v>
      </c>
      <c r="AU8" s="134">
        <f t="shared" si="2"/>
        <v>0.45460000000000017</v>
      </c>
      <c r="AV8" s="134">
        <f t="shared" si="2"/>
        <v>0.48520000000000019</v>
      </c>
      <c r="AW8" s="134">
        <f t="shared" si="2"/>
        <v>0.51580000000000015</v>
      </c>
      <c r="AX8" s="134">
        <f t="shared" si="2"/>
        <v>0.54640000000000011</v>
      </c>
      <c r="AY8" s="134">
        <f t="shared" si="2"/>
        <v>0.57900000000000007</v>
      </c>
      <c r="AZ8" s="134">
        <f t="shared" si="2"/>
        <v>0.61160000000000003</v>
      </c>
      <c r="BA8" s="134">
        <f t="shared" si="2"/>
        <v>0.6462</v>
      </c>
      <c r="BB8" s="134">
        <f t="shared" si="2"/>
        <v>0.68079999999999996</v>
      </c>
      <c r="BC8" s="134">
        <f t="shared" si="2"/>
        <v>0.71739999999999993</v>
      </c>
      <c r="BD8" s="134">
        <f t="shared" si="2"/>
        <v>0.75399999999999989</v>
      </c>
      <c r="BE8" s="134">
        <f t="shared" si="2"/>
        <v>0.79059999999999986</v>
      </c>
      <c r="BF8" s="134">
        <f t="shared" si="2"/>
        <v>0.82719999999999982</v>
      </c>
      <c r="BG8" s="134">
        <f t="shared" si="2"/>
        <v>0.86179999999999979</v>
      </c>
      <c r="BH8" s="134">
        <f t="shared" si="2"/>
        <v>0.89639999999999975</v>
      </c>
      <c r="BI8" s="134">
        <f t="shared" si="2"/>
        <v>0.93099999999999972</v>
      </c>
      <c r="BJ8" s="134">
        <f t="shared" si="2"/>
        <v>0.96559999999999968</v>
      </c>
      <c r="BK8" s="134">
        <f t="shared" si="2"/>
        <v>1</v>
      </c>
      <c r="BL8" s="134">
        <f t="shared" si="2"/>
        <v>1</v>
      </c>
      <c r="BM8" s="134">
        <f>BL8+BM7</f>
        <v>1</v>
      </c>
      <c r="BN8" s="134">
        <f>BM8+BN7</f>
        <v>1</v>
      </c>
      <c r="BO8" s="134">
        <f>BM8+BO7</f>
        <v>1</v>
      </c>
      <c r="BP8" s="134">
        <f t="shared" ref="BP8:BR8" si="3">BO8+BP7</f>
        <v>1</v>
      </c>
      <c r="BQ8" s="134">
        <f>BP8+BQ7</f>
        <v>1</v>
      </c>
      <c r="BR8" s="134">
        <f t="shared" si="3"/>
        <v>1</v>
      </c>
      <c r="BS8" s="134">
        <f t="shared" ref="BS8" si="4">BR8+BS7</f>
        <v>1</v>
      </c>
      <c r="BT8" s="134">
        <f t="shared" ref="BT8" si="5">BS8+BT7</f>
        <v>1</v>
      </c>
      <c r="BU8" s="134">
        <f t="shared" ref="BU8" si="6">BT8+BU7</f>
        <v>1</v>
      </c>
      <c r="BV8" s="134">
        <f t="shared" ref="BV8" si="7">BU8+BV7</f>
        <v>1</v>
      </c>
      <c r="BW8" s="134">
        <f t="shared" ref="BW8" si="8">BV8+BW7</f>
        <v>1</v>
      </c>
      <c r="BX8" s="134">
        <f t="shared" ref="BX8" si="9">BW8+BX7</f>
        <v>1</v>
      </c>
      <c r="BY8" s="102">
        <f>BX8</f>
        <v>1</v>
      </c>
      <c r="BZ8" s="114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</row>
    <row r="9" spans="1:172" s="59" customFormat="1" ht="15" customHeight="1">
      <c r="A9" s="1521" t="s">
        <v>291</v>
      </c>
      <c r="B9" s="1523" t="str">
        <f>[28]사업수지표!B15</f>
        <v>아파트</v>
      </c>
      <c r="C9" s="1524"/>
      <c r="D9" s="1524"/>
      <c r="E9" s="1524"/>
      <c r="F9" s="1524"/>
      <c r="G9" s="1524" t="s">
        <v>292</v>
      </c>
      <c r="H9" s="1524"/>
      <c r="I9" s="1524"/>
      <c r="J9" s="1524"/>
      <c r="K9" s="1524"/>
      <c r="L9" s="1524"/>
      <c r="M9" s="1524"/>
      <c r="N9" s="482"/>
      <c r="O9" s="554"/>
      <c r="P9" s="483"/>
      <c r="Q9" s="483"/>
      <c r="R9" s="483"/>
      <c r="S9" s="483"/>
      <c r="T9" s="483"/>
      <c r="U9" s="483"/>
      <c r="V9" s="483"/>
      <c r="W9" s="483"/>
      <c r="X9" s="483"/>
      <c r="Y9" s="483"/>
      <c r="Z9" s="483"/>
      <c r="AA9" s="483">
        <v>0.2</v>
      </c>
      <c r="AB9" s="483">
        <v>0.1</v>
      </c>
      <c r="AC9" s="483">
        <v>0.05</v>
      </c>
      <c r="AD9" s="483">
        <v>0.05</v>
      </c>
      <c r="AE9" s="483">
        <v>0.1</v>
      </c>
      <c r="AF9" s="483">
        <v>0.03</v>
      </c>
      <c r="AG9" s="483">
        <v>0.02</v>
      </c>
      <c r="AH9" s="483">
        <v>0.04</v>
      </c>
      <c r="AI9" s="483">
        <v>0.03</v>
      </c>
      <c r="AJ9" s="483">
        <v>0.05</v>
      </c>
      <c r="AK9" s="483">
        <v>0.05</v>
      </c>
      <c r="AL9" s="483">
        <v>0.03</v>
      </c>
      <c r="AM9" s="483">
        <v>0.03</v>
      </c>
      <c r="AN9" s="483">
        <v>0.04</v>
      </c>
      <c r="AO9" s="483">
        <v>0.04</v>
      </c>
      <c r="AP9" s="483">
        <v>0.03</v>
      </c>
      <c r="AQ9" s="484">
        <v>0.03</v>
      </c>
      <c r="AR9" s="484">
        <v>0.01</v>
      </c>
      <c r="AS9" s="484">
        <v>0.01</v>
      </c>
      <c r="AT9" s="484">
        <v>0.01</v>
      </c>
      <c r="AU9" s="484">
        <v>0.01</v>
      </c>
      <c r="AV9" s="484">
        <v>0.01</v>
      </c>
      <c r="AW9" s="484">
        <v>0.01</v>
      </c>
      <c r="AX9" s="484">
        <v>0.01</v>
      </c>
      <c r="AY9" s="484">
        <v>0</v>
      </c>
      <c r="AZ9" s="484"/>
      <c r="BA9" s="484"/>
      <c r="BB9" s="484"/>
      <c r="BC9" s="484"/>
      <c r="BD9" s="484"/>
      <c r="BE9" s="484"/>
      <c r="BF9" s="484"/>
      <c r="BG9" s="484"/>
      <c r="BH9" s="484"/>
      <c r="BI9" s="484">
        <v>0.01</v>
      </c>
      <c r="BJ9" s="484"/>
      <c r="BK9" s="484"/>
      <c r="BL9" s="484"/>
      <c r="BM9" s="484"/>
      <c r="BN9" s="484"/>
      <c r="BO9" s="484"/>
      <c r="BP9" s="484"/>
      <c r="BQ9" s="484"/>
      <c r="BR9" s="484"/>
      <c r="BS9" s="484"/>
      <c r="BT9" s="484"/>
      <c r="BU9" s="484"/>
      <c r="BV9" s="484"/>
      <c r="BW9" s="484"/>
      <c r="BX9" s="484"/>
      <c r="BY9" s="133">
        <f>SUM(P9:BS9)</f>
        <v>1.0000000000000004</v>
      </c>
      <c r="BZ9" s="113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</row>
    <row r="10" spans="1:172" s="59" customFormat="1" ht="15" customHeight="1">
      <c r="A10" s="1522"/>
      <c r="B10" s="1525"/>
      <c r="C10" s="1525"/>
      <c r="D10" s="1525"/>
      <c r="E10" s="1525"/>
      <c r="F10" s="1525"/>
      <c r="G10" s="1461" t="s">
        <v>293</v>
      </c>
      <c r="H10" s="1461"/>
      <c r="I10" s="1461"/>
      <c r="J10" s="1461"/>
      <c r="K10" s="1461"/>
      <c r="L10" s="1461"/>
      <c r="M10" s="1461"/>
      <c r="N10" s="485">
        <v>1</v>
      </c>
      <c r="O10" s="555"/>
      <c r="P10" s="486"/>
      <c r="Q10" s="486"/>
      <c r="R10" s="486"/>
      <c r="S10" s="486"/>
      <c r="T10" s="486"/>
      <c r="U10" s="486"/>
      <c r="V10" s="486"/>
      <c r="W10" s="486"/>
      <c r="X10" s="486">
        <f>+P10+X9</f>
        <v>0</v>
      </c>
      <c r="Y10" s="486">
        <f>+X10+Y9</f>
        <v>0</v>
      </c>
      <c r="Z10" s="580"/>
      <c r="AA10" s="502">
        <f>X10+AA9</f>
        <v>0.2</v>
      </c>
      <c r="AB10" s="502">
        <f>AA10+AB9</f>
        <v>0.30000000000000004</v>
      </c>
      <c r="AC10" s="502">
        <f t="shared" ref="AC10:AL10" si="10">AB10+AC9</f>
        <v>0.35000000000000003</v>
      </c>
      <c r="AD10" s="502">
        <f t="shared" si="10"/>
        <v>0.4</v>
      </c>
      <c r="AE10" s="502">
        <f t="shared" si="10"/>
        <v>0.5</v>
      </c>
      <c r="AF10" s="502">
        <f t="shared" si="10"/>
        <v>0.53</v>
      </c>
      <c r="AG10" s="502">
        <f t="shared" si="10"/>
        <v>0.55000000000000004</v>
      </c>
      <c r="AH10" s="502">
        <f t="shared" si="10"/>
        <v>0.59000000000000008</v>
      </c>
      <c r="AI10" s="502">
        <f t="shared" si="10"/>
        <v>0.62000000000000011</v>
      </c>
      <c r="AJ10" s="502">
        <f t="shared" si="10"/>
        <v>0.67000000000000015</v>
      </c>
      <c r="AK10" s="502">
        <f t="shared" si="10"/>
        <v>0.7200000000000002</v>
      </c>
      <c r="AL10" s="502">
        <f t="shared" si="10"/>
        <v>0.75000000000000022</v>
      </c>
      <c r="AM10" s="503">
        <f t="shared" ref="AM10" si="11">AL10+AM9</f>
        <v>0.78000000000000025</v>
      </c>
      <c r="AN10" s="503">
        <f t="shared" ref="AN10" si="12">AM10+AN9</f>
        <v>0.82000000000000028</v>
      </c>
      <c r="AO10" s="503">
        <f t="shared" ref="AO10" si="13">AN10+AO9</f>
        <v>0.86000000000000032</v>
      </c>
      <c r="AP10" s="503">
        <f t="shared" ref="AP10" si="14">AO10+AP9</f>
        <v>0.89000000000000035</v>
      </c>
      <c r="AQ10" s="503">
        <f t="shared" ref="AQ10" si="15">AP10+AQ9</f>
        <v>0.92000000000000037</v>
      </c>
      <c r="AR10" s="503">
        <f t="shared" ref="AR10" si="16">AQ10+AR9</f>
        <v>0.93000000000000038</v>
      </c>
      <c r="AS10" s="503">
        <f>AR10+AS9</f>
        <v>0.94000000000000039</v>
      </c>
      <c r="AT10" s="503">
        <f t="shared" ref="AT10" si="17">AS10+AT9</f>
        <v>0.9500000000000004</v>
      </c>
      <c r="AU10" s="503">
        <f t="shared" ref="AU10" si="18">AT10+AU9</f>
        <v>0.96000000000000041</v>
      </c>
      <c r="AV10" s="503">
        <f t="shared" ref="AV10" si="19">AU10+AV9</f>
        <v>0.97000000000000042</v>
      </c>
      <c r="AW10" s="503">
        <f t="shared" ref="AW10" si="20">AV10+AW9</f>
        <v>0.98000000000000043</v>
      </c>
      <c r="AX10" s="503">
        <f t="shared" ref="AX10" si="21">AW10+AX9</f>
        <v>0.99000000000000044</v>
      </c>
      <c r="AY10" s="503">
        <f t="shared" ref="AY10" si="22">AX10+AY9</f>
        <v>0.99000000000000044</v>
      </c>
      <c r="AZ10" s="503">
        <f t="shared" ref="AZ10" si="23">AY10+AZ9</f>
        <v>0.99000000000000044</v>
      </c>
      <c r="BA10" s="503">
        <f t="shared" ref="BA10" si="24">AZ10+BA9</f>
        <v>0.99000000000000044</v>
      </c>
      <c r="BB10" s="503">
        <f t="shared" ref="BB10" si="25">BA10+BB9</f>
        <v>0.99000000000000044</v>
      </c>
      <c r="BC10" s="503">
        <f t="shared" ref="BC10" si="26">BB10+BC9</f>
        <v>0.99000000000000044</v>
      </c>
      <c r="BD10" s="503">
        <f t="shared" ref="BD10" si="27">BC10+BD9</f>
        <v>0.99000000000000044</v>
      </c>
      <c r="BE10" s="503">
        <f t="shared" ref="BE10" si="28">BD10+BE9</f>
        <v>0.99000000000000044</v>
      </c>
      <c r="BF10" s="503">
        <f t="shared" ref="BF10" si="29">BE10+BF9</f>
        <v>0.99000000000000044</v>
      </c>
      <c r="BG10" s="503">
        <f t="shared" ref="BG10" si="30">BF10+BG9</f>
        <v>0.99000000000000044</v>
      </c>
      <c r="BH10" s="503">
        <f t="shared" ref="BH10" si="31">BG10+BH9</f>
        <v>0.99000000000000044</v>
      </c>
      <c r="BI10" s="503">
        <f t="shared" ref="BI10" si="32">BH10+BI9</f>
        <v>1.0000000000000004</v>
      </c>
      <c r="BJ10" s="503">
        <f t="shared" ref="BJ10" si="33">BI10+BJ9</f>
        <v>1.0000000000000004</v>
      </c>
      <c r="BK10" s="503">
        <f t="shared" ref="BK10" si="34">BJ10+BK9</f>
        <v>1.0000000000000004</v>
      </c>
      <c r="BL10" s="503">
        <f t="shared" ref="BL10" si="35">BK10+BL9</f>
        <v>1.0000000000000004</v>
      </c>
      <c r="BM10" s="503">
        <f>BL10+BM9</f>
        <v>1.0000000000000004</v>
      </c>
      <c r="BN10" s="503">
        <f>BM10+BN9</f>
        <v>1.0000000000000004</v>
      </c>
      <c r="BO10" s="503">
        <f>BN10+BO9</f>
        <v>1.0000000000000004</v>
      </c>
      <c r="BP10" s="503">
        <f t="shared" ref="BP10" si="36">BO10+BP9</f>
        <v>1.0000000000000004</v>
      </c>
      <c r="BQ10" s="503">
        <f>BP10+BQ9</f>
        <v>1.0000000000000004</v>
      </c>
      <c r="BR10" s="503">
        <f t="shared" ref="BR10" si="37">BQ10+BR9</f>
        <v>1.0000000000000004</v>
      </c>
      <c r="BS10" s="503">
        <f t="shared" ref="BS10" si="38">BR10+BS9</f>
        <v>1.0000000000000004</v>
      </c>
      <c r="BT10" s="503">
        <f t="shared" ref="BT10" si="39">BS10+BT9</f>
        <v>1.0000000000000004</v>
      </c>
      <c r="BU10" s="503">
        <f t="shared" ref="BU10" si="40">BT10+BU9</f>
        <v>1.0000000000000004</v>
      </c>
      <c r="BV10" s="503">
        <f t="shared" ref="BV10" si="41">BU10+BV9</f>
        <v>1.0000000000000004</v>
      </c>
      <c r="BW10" s="503">
        <f t="shared" ref="BW10" si="42">BV10+BW9</f>
        <v>1.0000000000000004</v>
      </c>
      <c r="BX10" s="503">
        <f t="shared" ref="BX10" si="43">BW10+BX9</f>
        <v>1.0000000000000004</v>
      </c>
      <c r="BY10" s="487">
        <f>BX10</f>
        <v>1.0000000000000004</v>
      </c>
      <c r="BZ10" s="113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</row>
    <row r="11" spans="1:172" s="59" customFormat="1" ht="11.25" hidden="1">
      <c r="A11" s="1522" t="s">
        <v>291</v>
      </c>
      <c r="B11" s="1526" t="e">
        <f>[28]사업수지표!#REF!</f>
        <v>#REF!</v>
      </c>
      <c r="C11" s="1527"/>
      <c r="D11" s="1527"/>
      <c r="E11" s="1527"/>
      <c r="F11" s="1528"/>
      <c r="G11" s="1525" t="s">
        <v>292</v>
      </c>
      <c r="H11" s="1525"/>
      <c r="I11" s="1525"/>
      <c r="J11" s="1525"/>
      <c r="K11" s="1525"/>
      <c r="L11" s="1525"/>
      <c r="M11" s="1525"/>
      <c r="N11" s="488"/>
      <c r="O11" s="556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  <c r="AA11" s="489"/>
      <c r="AB11" s="489"/>
      <c r="AC11" s="489"/>
      <c r="AD11" s="489"/>
      <c r="AE11" s="489"/>
      <c r="AF11" s="489"/>
      <c r="AG11" s="489"/>
      <c r="AH11" s="489"/>
      <c r="AI11" s="489"/>
      <c r="AJ11" s="489"/>
      <c r="AK11" s="489"/>
      <c r="AL11" s="490" t="e">
        <f>VLOOKUP($N$1,#REF!,CQ1,FALSE)</f>
        <v>#REF!</v>
      </c>
      <c r="AM11" s="490"/>
      <c r="AN11" s="490"/>
      <c r="AO11" s="490"/>
      <c r="AP11" s="490"/>
      <c r="AQ11" s="490" t="e">
        <f>VLOOKUP($N$1,#REF!,CR1,FALSE)</f>
        <v>#REF!</v>
      </c>
      <c r="AR11" s="490" t="e">
        <f>VLOOKUP($N$1,#REF!,CS1,FALSE)</f>
        <v>#REF!</v>
      </c>
      <c r="AS11" s="490" t="e">
        <f>VLOOKUP($N$1,#REF!,CT1,FALSE)</f>
        <v>#REF!</v>
      </c>
      <c r="AT11" s="490" t="e">
        <f>VLOOKUP($N$1,#REF!,CU1,FALSE)</f>
        <v>#REF!</v>
      </c>
      <c r="AU11" s="490" t="e">
        <f>VLOOKUP($N$1,#REF!,CV1,FALSE)</f>
        <v>#REF!</v>
      </c>
      <c r="AV11" s="490" t="e">
        <f>VLOOKUP($N$1,#REF!,CW1,FALSE)</f>
        <v>#REF!</v>
      </c>
      <c r="AW11" s="490" t="e">
        <f>VLOOKUP($N$1,#REF!,CX1,FALSE)</f>
        <v>#REF!</v>
      </c>
      <c r="AX11" s="490" t="e">
        <f>VLOOKUP($N$1,#REF!,CY1,FALSE)</f>
        <v>#REF!</v>
      </c>
      <c r="AY11" s="490" t="e">
        <f>VLOOKUP($N$1,#REF!,CZ1,FALSE)</f>
        <v>#REF!</v>
      </c>
      <c r="AZ11" s="490" t="e">
        <f>VLOOKUP($N$1,#REF!,DA1,FALSE)</f>
        <v>#REF!</v>
      </c>
      <c r="BA11" s="490" t="e">
        <f>VLOOKUP($N$1,#REF!,DB1,FALSE)</f>
        <v>#REF!</v>
      </c>
      <c r="BB11" s="490" t="e">
        <f>VLOOKUP($N$1,#REF!,DC1,FALSE)</f>
        <v>#REF!</v>
      </c>
      <c r="BC11" s="490" t="e">
        <f>VLOOKUP($N$1,#REF!,DD1,FALSE)</f>
        <v>#REF!</v>
      </c>
      <c r="BD11" s="490" t="e">
        <f>VLOOKUP($N$1,#REF!,DE1,FALSE)</f>
        <v>#REF!</v>
      </c>
      <c r="BE11" s="490" t="e">
        <f>VLOOKUP($N$1,#REF!,DF1,FALSE)</f>
        <v>#REF!</v>
      </c>
      <c r="BF11" s="490" t="e">
        <f>VLOOKUP($N$1,#REF!,DG1,FALSE)</f>
        <v>#REF!</v>
      </c>
      <c r="BG11" s="490" t="e">
        <f>VLOOKUP($N$1,#REF!,DH1,FALSE)</f>
        <v>#REF!</v>
      </c>
      <c r="BH11" s="490" t="e">
        <f>VLOOKUP($N$1,#REF!,DI1,FALSE)</f>
        <v>#REF!</v>
      </c>
      <c r="BI11" s="490" t="e">
        <f>VLOOKUP($N$1,#REF!,DJ1,FALSE)</f>
        <v>#REF!</v>
      </c>
      <c r="BJ11" s="490" t="e">
        <f>VLOOKUP($N$1,#REF!,DK1,FALSE)</f>
        <v>#REF!</v>
      </c>
      <c r="BK11" s="490" t="e">
        <f>VLOOKUP($N$1,#REF!,DL1,FALSE)</f>
        <v>#REF!</v>
      </c>
      <c r="BL11" s="490" t="e">
        <f>VLOOKUP($N$1,#REF!,DM1,FALSE)</f>
        <v>#REF!</v>
      </c>
      <c r="BM11" s="490" t="e">
        <f>VLOOKUP($N$1,#REF!,DN1,FALSE)</f>
        <v>#REF!</v>
      </c>
      <c r="BN11" s="490" t="e">
        <f>VLOOKUP($N$1,#REF!,DO1,FALSE)</f>
        <v>#REF!</v>
      </c>
      <c r="BO11" s="490" t="e">
        <f>VLOOKUP($N$1,#REF!,DO1,FALSE)</f>
        <v>#REF!</v>
      </c>
      <c r="BP11" s="490" t="e">
        <f>VLOOKUP($N$1,#REF!,DP1,FALSE)</f>
        <v>#REF!</v>
      </c>
      <c r="BQ11" s="490"/>
      <c r="BR11" s="490"/>
      <c r="BS11" s="490"/>
      <c r="BT11" s="490"/>
      <c r="BU11" s="490"/>
      <c r="BV11" s="490"/>
      <c r="BW11" s="490"/>
      <c r="BX11" s="490"/>
      <c r="BY11" s="487"/>
      <c r="BZ11" s="113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</row>
    <row r="12" spans="1:172" s="59" customFormat="1" ht="11.25" hidden="1">
      <c r="A12" s="1522"/>
      <c r="B12" s="1529"/>
      <c r="C12" s="1530"/>
      <c r="D12" s="1530"/>
      <c r="E12" s="1530"/>
      <c r="F12" s="1531"/>
      <c r="G12" s="1461" t="s">
        <v>293</v>
      </c>
      <c r="H12" s="1461"/>
      <c r="I12" s="1461"/>
      <c r="J12" s="1461"/>
      <c r="K12" s="1461"/>
      <c r="L12" s="1461"/>
      <c r="M12" s="1461"/>
      <c r="N12" s="485">
        <v>1</v>
      </c>
      <c r="O12" s="555"/>
      <c r="P12" s="486"/>
      <c r="Q12" s="486"/>
      <c r="R12" s="486"/>
      <c r="S12" s="486"/>
      <c r="T12" s="486"/>
      <c r="U12" s="486"/>
      <c r="V12" s="486"/>
      <c r="W12" s="486"/>
      <c r="X12" s="486">
        <f>+P12+X11</f>
        <v>0</v>
      </c>
      <c r="Y12" s="486">
        <f>+X12+Y11</f>
        <v>0</v>
      </c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 t="e">
        <f>AL11</f>
        <v>#REF!</v>
      </c>
      <c r="AM12" s="486"/>
      <c r="AN12" s="486"/>
      <c r="AO12" s="486"/>
      <c r="AP12" s="486"/>
      <c r="AQ12" s="486" t="e">
        <f t="shared" ref="AQ12" si="44">+AL12+AQ11</f>
        <v>#REF!</v>
      </c>
      <c r="AR12" s="486" t="e">
        <f t="shared" ref="AR12:BP12" si="45">+AQ12+AR11</f>
        <v>#REF!</v>
      </c>
      <c r="AS12" s="486" t="e">
        <f t="shared" si="45"/>
        <v>#REF!</v>
      </c>
      <c r="AT12" s="486" t="e">
        <f t="shared" si="45"/>
        <v>#REF!</v>
      </c>
      <c r="AU12" s="486" t="e">
        <f t="shared" si="45"/>
        <v>#REF!</v>
      </c>
      <c r="AV12" s="486" t="e">
        <f t="shared" si="45"/>
        <v>#REF!</v>
      </c>
      <c r="AW12" s="486" t="e">
        <f t="shared" si="45"/>
        <v>#REF!</v>
      </c>
      <c r="AX12" s="486" t="e">
        <f t="shared" si="45"/>
        <v>#REF!</v>
      </c>
      <c r="AY12" s="486" t="e">
        <f t="shared" si="45"/>
        <v>#REF!</v>
      </c>
      <c r="AZ12" s="486" t="e">
        <f t="shared" si="45"/>
        <v>#REF!</v>
      </c>
      <c r="BA12" s="486" t="e">
        <f t="shared" si="45"/>
        <v>#REF!</v>
      </c>
      <c r="BB12" s="486" t="e">
        <f t="shared" si="45"/>
        <v>#REF!</v>
      </c>
      <c r="BC12" s="486" t="e">
        <f t="shared" si="45"/>
        <v>#REF!</v>
      </c>
      <c r="BD12" s="486" t="e">
        <f t="shared" si="45"/>
        <v>#REF!</v>
      </c>
      <c r="BE12" s="486" t="e">
        <f t="shared" si="45"/>
        <v>#REF!</v>
      </c>
      <c r="BF12" s="486" t="e">
        <f t="shared" si="45"/>
        <v>#REF!</v>
      </c>
      <c r="BG12" s="486" t="e">
        <f t="shared" si="45"/>
        <v>#REF!</v>
      </c>
      <c r="BH12" s="486" t="e">
        <f t="shared" si="45"/>
        <v>#REF!</v>
      </c>
      <c r="BI12" s="486" t="e">
        <f t="shared" si="45"/>
        <v>#REF!</v>
      </c>
      <c r="BJ12" s="486" t="e">
        <f t="shared" si="45"/>
        <v>#REF!</v>
      </c>
      <c r="BK12" s="486" t="e">
        <f t="shared" si="45"/>
        <v>#REF!</v>
      </c>
      <c r="BL12" s="486" t="e">
        <f t="shared" si="45"/>
        <v>#REF!</v>
      </c>
      <c r="BM12" s="486" t="e">
        <f>+BL12+BM11</f>
        <v>#REF!</v>
      </c>
      <c r="BN12" s="486" t="e">
        <f>+BM12+BN11</f>
        <v>#REF!</v>
      </c>
      <c r="BO12" s="486" t="e">
        <f>+BM12+BO11</f>
        <v>#REF!</v>
      </c>
      <c r="BP12" s="486" t="e">
        <f t="shared" si="45"/>
        <v>#REF!</v>
      </c>
      <c r="BQ12" s="486"/>
      <c r="BR12" s="486"/>
      <c r="BS12" s="486"/>
      <c r="BT12" s="486"/>
      <c r="BU12" s="486"/>
      <c r="BV12" s="486"/>
      <c r="BW12" s="486"/>
      <c r="BX12" s="486"/>
      <c r="BY12" s="487"/>
      <c r="BZ12" s="113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</row>
    <row r="13" spans="1:172" s="59" customFormat="1" ht="15" customHeight="1">
      <c r="A13" s="1522" t="s">
        <v>291</v>
      </c>
      <c r="B13" s="1533" t="str">
        <f>[28]사업수지표!B23</f>
        <v>상가</v>
      </c>
      <c r="C13" s="1525"/>
      <c r="D13" s="1525"/>
      <c r="E13" s="1525"/>
      <c r="F13" s="1525"/>
      <c r="G13" s="1525" t="s">
        <v>292</v>
      </c>
      <c r="H13" s="1525"/>
      <c r="I13" s="1525"/>
      <c r="J13" s="1525"/>
      <c r="K13" s="1525"/>
      <c r="L13" s="1525"/>
      <c r="M13" s="1525"/>
      <c r="N13" s="488"/>
      <c r="O13" s="556"/>
      <c r="P13" s="489"/>
      <c r="Q13" s="489"/>
      <c r="R13" s="489"/>
      <c r="S13" s="489"/>
      <c r="T13" s="489"/>
      <c r="U13" s="489"/>
      <c r="V13" s="489"/>
      <c r="W13" s="489"/>
      <c r="X13" s="489"/>
      <c r="Y13" s="489"/>
      <c r="Z13" s="489"/>
      <c r="AA13" s="489"/>
      <c r="AB13" s="489"/>
      <c r="AC13" s="489"/>
      <c r="AD13" s="489"/>
      <c r="AE13" s="489"/>
      <c r="AF13" s="489"/>
      <c r="AG13" s="489"/>
      <c r="AH13" s="489"/>
      <c r="AI13" s="489"/>
      <c r="AJ13" s="489"/>
      <c r="AK13" s="489"/>
      <c r="AL13" s="489"/>
      <c r="AM13" s="489"/>
      <c r="AN13" s="489"/>
      <c r="AO13" s="489"/>
      <c r="AP13" s="489"/>
      <c r="AQ13" s="489">
        <v>0.2</v>
      </c>
      <c r="AR13" s="489">
        <v>0.05</v>
      </c>
      <c r="AS13" s="489">
        <v>0.05</v>
      </c>
      <c r="AT13" s="489">
        <v>0.05</v>
      </c>
      <c r="AU13" s="489">
        <v>0.05</v>
      </c>
      <c r="AV13" s="489">
        <v>0.05</v>
      </c>
      <c r="AW13" s="489">
        <v>0.05</v>
      </c>
      <c r="AX13" s="489">
        <v>0.05</v>
      </c>
      <c r="AY13" s="489">
        <v>0.1</v>
      </c>
      <c r="AZ13" s="489">
        <v>0.05</v>
      </c>
      <c r="BA13" s="489">
        <v>0.05</v>
      </c>
      <c r="BB13" s="489">
        <v>0.05</v>
      </c>
      <c r="BC13" s="489">
        <v>0.05</v>
      </c>
      <c r="BD13" s="489">
        <v>0.05</v>
      </c>
      <c r="BE13" s="489"/>
      <c r="BF13" s="489">
        <v>0.05</v>
      </c>
      <c r="BG13" s="489"/>
      <c r="BH13" s="489">
        <v>0.05</v>
      </c>
      <c r="BI13" s="489"/>
      <c r="BJ13" s="489"/>
      <c r="BK13" s="491"/>
      <c r="BL13" s="491"/>
      <c r="BM13" s="491"/>
      <c r="BN13" s="491"/>
      <c r="BO13" s="491"/>
      <c r="BP13" s="491"/>
      <c r="BQ13" s="491"/>
      <c r="BR13" s="491"/>
      <c r="BS13" s="491"/>
      <c r="BT13" s="491"/>
      <c r="BU13" s="491"/>
      <c r="BV13" s="491"/>
      <c r="BW13" s="491"/>
      <c r="BX13" s="491"/>
      <c r="BY13" s="133">
        <f>SUM(P13:BR13)</f>
        <v>1.0000000000000002</v>
      </c>
      <c r="BZ13" s="512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</row>
    <row r="14" spans="1:172" s="59" customFormat="1" ht="15" customHeight="1" thickBot="1">
      <c r="A14" s="1532"/>
      <c r="B14" s="1534"/>
      <c r="C14" s="1534"/>
      <c r="D14" s="1534"/>
      <c r="E14" s="1534"/>
      <c r="F14" s="1534"/>
      <c r="G14" s="1535" t="s">
        <v>293</v>
      </c>
      <c r="H14" s="1535"/>
      <c r="I14" s="1535"/>
      <c r="J14" s="1535"/>
      <c r="K14" s="1535"/>
      <c r="L14" s="1535"/>
      <c r="M14" s="1535"/>
      <c r="N14" s="60">
        <v>1</v>
      </c>
      <c r="O14" s="553"/>
      <c r="P14" s="492"/>
      <c r="Q14" s="492"/>
      <c r="R14" s="492"/>
      <c r="S14" s="492"/>
      <c r="T14" s="492"/>
      <c r="U14" s="492"/>
      <c r="V14" s="492"/>
      <c r="W14" s="492"/>
      <c r="X14" s="492">
        <f>+P14+X13</f>
        <v>0</v>
      </c>
      <c r="Y14" s="492">
        <f>+X14+Y13</f>
        <v>0</v>
      </c>
      <c r="Z14" s="492"/>
      <c r="AA14" s="492"/>
      <c r="AB14" s="492"/>
      <c r="AC14" s="492"/>
      <c r="AD14" s="492"/>
      <c r="AE14" s="492"/>
      <c r="AF14" s="492"/>
      <c r="AG14" s="492"/>
      <c r="AH14" s="492"/>
      <c r="AI14" s="492"/>
      <c r="AJ14" s="492"/>
      <c r="AK14" s="493">
        <f t="shared" ref="AK14:BJ14" si="46">SUM(AK13,AJ14)</f>
        <v>0</v>
      </c>
      <c r="AL14" s="493">
        <f t="shared" si="46"/>
        <v>0</v>
      </c>
      <c r="AM14" s="493">
        <f t="shared" si="46"/>
        <v>0</v>
      </c>
      <c r="AN14" s="493"/>
      <c r="AO14" s="493"/>
      <c r="AP14" s="493">
        <f>SUM(AP13,AL14)</f>
        <v>0</v>
      </c>
      <c r="AQ14" s="493">
        <f>SUM(AQ13,AP14)</f>
        <v>0.2</v>
      </c>
      <c r="AR14" s="493">
        <f t="shared" si="46"/>
        <v>0.25</v>
      </c>
      <c r="AS14" s="493">
        <f t="shared" si="46"/>
        <v>0.3</v>
      </c>
      <c r="AT14" s="493">
        <f t="shared" si="46"/>
        <v>0.35</v>
      </c>
      <c r="AU14" s="493">
        <f t="shared" si="46"/>
        <v>0.39999999999999997</v>
      </c>
      <c r="AV14" s="493">
        <f t="shared" si="46"/>
        <v>0.44999999999999996</v>
      </c>
      <c r="AW14" s="493">
        <f t="shared" si="46"/>
        <v>0.49999999999999994</v>
      </c>
      <c r="AX14" s="493">
        <f t="shared" si="46"/>
        <v>0.54999999999999993</v>
      </c>
      <c r="AY14" s="493">
        <f t="shared" si="46"/>
        <v>0.64999999999999991</v>
      </c>
      <c r="AZ14" s="493">
        <f t="shared" si="46"/>
        <v>0.7</v>
      </c>
      <c r="BA14" s="493">
        <f t="shared" si="46"/>
        <v>0.75</v>
      </c>
      <c r="BB14" s="493">
        <f t="shared" si="46"/>
        <v>0.8</v>
      </c>
      <c r="BC14" s="493">
        <f t="shared" si="46"/>
        <v>0.85000000000000009</v>
      </c>
      <c r="BD14" s="493">
        <f t="shared" si="46"/>
        <v>0.90000000000000013</v>
      </c>
      <c r="BE14" s="493">
        <f t="shared" si="46"/>
        <v>0.90000000000000013</v>
      </c>
      <c r="BF14" s="493">
        <f t="shared" si="46"/>
        <v>0.95000000000000018</v>
      </c>
      <c r="BG14" s="493">
        <f t="shared" si="46"/>
        <v>0.95000000000000018</v>
      </c>
      <c r="BH14" s="493">
        <f t="shared" si="46"/>
        <v>1.0000000000000002</v>
      </c>
      <c r="BI14" s="493">
        <f t="shared" si="46"/>
        <v>1.0000000000000002</v>
      </c>
      <c r="BJ14" s="493">
        <f t="shared" si="46"/>
        <v>1.0000000000000002</v>
      </c>
      <c r="BK14" s="493">
        <f>SUM(BK13,BJ14)</f>
        <v>1.0000000000000002</v>
      </c>
      <c r="BL14" s="493">
        <f t="shared" ref="BL14:BR14" si="47">SUM(BL13,BK14)</f>
        <v>1.0000000000000002</v>
      </c>
      <c r="BM14" s="493">
        <f>SUM(BM13,BL14)</f>
        <v>1.0000000000000002</v>
      </c>
      <c r="BN14" s="493">
        <f>SUM(BN13,BM14)</f>
        <v>1.0000000000000002</v>
      </c>
      <c r="BO14" s="493">
        <f>SUM(BO13,BM14)</f>
        <v>1.0000000000000002</v>
      </c>
      <c r="BP14" s="493">
        <f t="shared" si="47"/>
        <v>1.0000000000000002</v>
      </c>
      <c r="BQ14" s="493">
        <f>SUM(BQ13,BP14)</f>
        <v>1.0000000000000002</v>
      </c>
      <c r="BR14" s="493">
        <f t="shared" si="47"/>
        <v>1.0000000000000002</v>
      </c>
      <c r="BS14" s="493">
        <f t="shared" ref="BS14" si="48">SUM(BS13,BR14)</f>
        <v>1.0000000000000002</v>
      </c>
      <c r="BT14" s="493">
        <f t="shared" ref="BT14" si="49">SUM(BT13,BS14)</f>
        <v>1.0000000000000002</v>
      </c>
      <c r="BU14" s="493">
        <f t="shared" ref="BU14" si="50">SUM(BU13,BT14)</f>
        <v>1.0000000000000002</v>
      </c>
      <c r="BV14" s="493">
        <f t="shared" ref="BV14" si="51">SUM(BV13,BU14)</f>
        <v>1.0000000000000002</v>
      </c>
      <c r="BW14" s="493">
        <f t="shared" ref="BW14" si="52">SUM(BW13,BV14)</f>
        <v>1.0000000000000002</v>
      </c>
      <c r="BX14" s="493">
        <f t="shared" ref="BX14" si="53">SUM(BX13,BW14)</f>
        <v>1.0000000000000002</v>
      </c>
      <c r="BY14" s="102">
        <f>BX14</f>
        <v>1.0000000000000002</v>
      </c>
      <c r="BZ14" s="113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</row>
    <row r="15" spans="1:172" s="53" customFormat="1" ht="15" customHeight="1">
      <c r="A15" s="1476" t="s">
        <v>262</v>
      </c>
      <c r="B15" s="1469" t="str">
        <f>B9</f>
        <v>아파트</v>
      </c>
      <c r="C15" s="1470"/>
      <c r="D15" s="1470"/>
      <c r="E15" s="1470"/>
      <c r="F15" s="1470"/>
      <c r="G15" s="1471" t="s">
        <v>294</v>
      </c>
      <c r="H15" s="1471"/>
      <c r="I15" s="1471"/>
      <c r="J15" s="1471"/>
      <c r="K15" s="1472">
        <v>0.1</v>
      </c>
      <c r="L15" s="1472"/>
      <c r="M15" s="1472"/>
      <c r="N15" s="504">
        <f>K15*$N$23</f>
        <v>86803333.924999997</v>
      </c>
      <c r="O15" s="55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>
        <f t="shared" ref="AA15:BP15" si="54">AA9*$N$15</f>
        <v>17360666.785</v>
      </c>
      <c r="AB15" s="137">
        <f t="shared" si="54"/>
        <v>8680333.3925000001</v>
      </c>
      <c r="AC15" s="137">
        <f t="shared" si="54"/>
        <v>4340166.69625</v>
      </c>
      <c r="AD15" s="137">
        <f t="shared" si="54"/>
        <v>4340166.69625</v>
      </c>
      <c r="AE15" s="137">
        <f t="shared" si="54"/>
        <v>8680333.3925000001</v>
      </c>
      <c r="AF15" s="137">
        <f t="shared" si="54"/>
        <v>2604100.0177499996</v>
      </c>
      <c r="AG15" s="137">
        <f t="shared" si="54"/>
        <v>1736066.6784999999</v>
      </c>
      <c r="AH15" s="137">
        <f t="shared" si="54"/>
        <v>3472133.3569999998</v>
      </c>
      <c r="AI15" s="137">
        <f t="shared" si="54"/>
        <v>2604100.0177499996</v>
      </c>
      <c r="AJ15" s="137">
        <f t="shared" si="54"/>
        <v>4340166.69625</v>
      </c>
      <c r="AK15" s="137">
        <f t="shared" si="54"/>
        <v>4340166.69625</v>
      </c>
      <c r="AL15" s="137">
        <f t="shared" si="54"/>
        <v>2604100.0177499996</v>
      </c>
      <c r="AM15" s="137">
        <f t="shared" si="54"/>
        <v>2604100.0177499996</v>
      </c>
      <c r="AN15" s="137">
        <f t="shared" si="54"/>
        <v>3472133.3569999998</v>
      </c>
      <c r="AO15" s="137">
        <f t="shared" si="54"/>
        <v>3472133.3569999998</v>
      </c>
      <c r="AP15" s="137">
        <f t="shared" si="54"/>
        <v>2604100.0177499996</v>
      </c>
      <c r="AQ15" s="137">
        <f t="shared" si="54"/>
        <v>2604100.0177499996</v>
      </c>
      <c r="AR15" s="137">
        <f t="shared" si="54"/>
        <v>868033.33924999996</v>
      </c>
      <c r="AS15" s="137">
        <f t="shared" si="54"/>
        <v>868033.33924999996</v>
      </c>
      <c r="AT15" s="137">
        <f t="shared" si="54"/>
        <v>868033.33924999996</v>
      </c>
      <c r="AU15" s="137">
        <f t="shared" si="54"/>
        <v>868033.33924999996</v>
      </c>
      <c r="AV15" s="137">
        <f t="shared" si="54"/>
        <v>868033.33924999996</v>
      </c>
      <c r="AW15" s="137">
        <f t="shared" si="54"/>
        <v>868033.33924999996</v>
      </c>
      <c r="AX15" s="137">
        <f t="shared" si="54"/>
        <v>868033.33924999996</v>
      </c>
      <c r="AY15" s="137">
        <f t="shared" si="54"/>
        <v>0</v>
      </c>
      <c r="AZ15" s="137">
        <f t="shared" si="54"/>
        <v>0</v>
      </c>
      <c r="BA15" s="137">
        <f t="shared" si="54"/>
        <v>0</v>
      </c>
      <c r="BB15" s="137">
        <f t="shared" si="54"/>
        <v>0</v>
      </c>
      <c r="BC15" s="137">
        <f t="shared" si="54"/>
        <v>0</v>
      </c>
      <c r="BD15" s="137">
        <f t="shared" si="54"/>
        <v>0</v>
      </c>
      <c r="BE15" s="137">
        <f t="shared" si="54"/>
        <v>0</v>
      </c>
      <c r="BF15" s="137">
        <f t="shared" si="54"/>
        <v>0</v>
      </c>
      <c r="BG15" s="137">
        <f t="shared" si="54"/>
        <v>0</v>
      </c>
      <c r="BH15" s="137">
        <f t="shared" si="54"/>
        <v>0</v>
      </c>
      <c r="BI15" s="137">
        <f t="shared" si="54"/>
        <v>868033.33924999996</v>
      </c>
      <c r="BJ15" s="137">
        <f t="shared" si="54"/>
        <v>0</v>
      </c>
      <c r="BK15" s="137">
        <f t="shared" si="54"/>
        <v>0</v>
      </c>
      <c r="BL15" s="137">
        <f t="shared" si="54"/>
        <v>0</v>
      </c>
      <c r="BM15" s="137">
        <f t="shared" si="54"/>
        <v>0</v>
      </c>
      <c r="BN15" s="137">
        <f t="shared" si="54"/>
        <v>0</v>
      </c>
      <c r="BO15" s="137">
        <f t="shared" si="54"/>
        <v>0</v>
      </c>
      <c r="BP15" s="137">
        <f t="shared" si="54"/>
        <v>0</v>
      </c>
      <c r="BQ15" s="137">
        <f t="shared" ref="BQ15:BX15" si="55">BQ9*$N$15</f>
        <v>0</v>
      </c>
      <c r="BR15" s="137">
        <f t="shared" si="55"/>
        <v>0</v>
      </c>
      <c r="BS15" s="137">
        <f t="shared" si="55"/>
        <v>0</v>
      </c>
      <c r="BT15" s="137">
        <f t="shared" si="55"/>
        <v>0</v>
      </c>
      <c r="BU15" s="137">
        <f t="shared" si="55"/>
        <v>0</v>
      </c>
      <c r="BV15" s="137">
        <f t="shared" si="55"/>
        <v>0</v>
      </c>
      <c r="BW15" s="137">
        <f t="shared" si="55"/>
        <v>0</v>
      </c>
      <c r="BX15" s="137">
        <f t="shared" si="55"/>
        <v>0</v>
      </c>
      <c r="BY15" s="510">
        <f>SUM(P15:BO15)</f>
        <v>86803333.924999967</v>
      </c>
      <c r="BZ15" s="113">
        <f t="shared" ref="BZ15:BZ40" si="56">BY15-N15</f>
        <v>0</v>
      </c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</row>
    <row r="16" spans="1:172" s="53" customFormat="1" ht="15" customHeight="1">
      <c r="A16" s="1477"/>
      <c r="B16" s="1463"/>
      <c r="C16" s="1463"/>
      <c r="D16" s="1463"/>
      <c r="E16" s="1463"/>
      <c r="F16" s="1463"/>
      <c r="G16" s="1461" t="s">
        <v>296</v>
      </c>
      <c r="H16" s="1461"/>
      <c r="I16" s="1461"/>
      <c r="J16" s="1461"/>
      <c r="K16" s="1460">
        <v>0.1</v>
      </c>
      <c r="L16" s="1460"/>
      <c r="M16" s="1460"/>
      <c r="N16" s="505">
        <f t="shared" ref="N16:N22" si="57">K16*$N$23</f>
        <v>86803333.924999997</v>
      </c>
      <c r="O16" s="558"/>
      <c r="P16" s="494"/>
      <c r="Q16" s="494"/>
      <c r="R16" s="494"/>
      <c r="S16" s="494"/>
      <c r="T16" s="494"/>
      <c r="U16" s="494"/>
      <c r="V16" s="494"/>
      <c r="W16" s="494"/>
      <c r="X16" s="494"/>
      <c r="Y16" s="494"/>
      <c r="Z16" s="494"/>
      <c r="AA16" s="494"/>
      <c r="AB16" s="494"/>
      <c r="AC16" s="494"/>
      <c r="AD16" s="494"/>
      <c r="AE16" s="494"/>
      <c r="AF16" s="494"/>
      <c r="AG16" s="494">
        <f>AG10*$N$16</f>
        <v>47741833.658750005</v>
      </c>
      <c r="AH16" s="494">
        <f>$N$16*AH9</f>
        <v>3472133.3569999998</v>
      </c>
      <c r="AI16" s="494">
        <f t="shared" ref="AI16:BP16" si="58">$N$16*AI9</f>
        <v>2604100.0177499996</v>
      </c>
      <c r="AJ16" s="494">
        <f t="shared" si="58"/>
        <v>4340166.69625</v>
      </c>
      <c r="AK16" s="494">
        <f t="shared" si="58"/>
        <v>4340166.69625</v>
      </c>
      <c r="AL16" s="494">
        <f t="shared" si="58"/>
        <v>2604100.0177499996</v>
      </c>
      <c r="AM16" s="494">
        <f t="shared" si="58"/>
        <v>2604100.0177499996</v>
      </c>
      <c r="AN16" s="494">
        <f t="shared" si="58"/>
        <v>3472133.3569999998</v>
      </c>
      <c r="AO16" s="494">
        <f t="shared" si="58"/>
        <v>3472133.3569999998</v>
      </c>
      <c r="AP16" s="494">
        <f t="shared" si="58"/>
        <v>2604100.0177499996</v>
      </c>
      <c r="AQ16" s="494">
        <f t="shared" si="58"/>
        <v>2604100.0177499996</v>
      </c>
      <c r="AR16" s="494">
        <f t="shared" si="58"/>
        <v>868033.33924999996</v>
      </c>
      <c r="AS16" s="494">
        <f t="shared" si="58"/>
        <v>868033.33924999996</v>
      </c>
      <c r="AT16" s="494">
        <f t="shared" si="58"/>
        <v>868033.33924999996</v>
      </c>
      <c r="AU16" s="494">
        <f t="shared" si="58"/>
        <v>868033.33924999996</v>
      </c>
      <c r="AV16" s="494">
        <f t="shared" si="58"/>
        <v>868033.33924999996</v>
      </c>
      <c r="AW16" s="494">
        <f t="shared" si="58"/>
        <v>868033.33924999996</v>
      </c>
      <c r="AX16" s="494">
        <f t="shared" si="58"/>
        <v>868033.33924999996</v>
      </c>
      <c r="AY16" s="494">
        <f t="shared" si="58"/>
        <v>0</v>
      </c>
      <c r="AZ16" s="494">
        <f t="shared" si="58"/>
        <v>0</v>
      </c>
      <c r="BA16" s="494">
        <f t="shared" si="58"/>
        <v>0</v>
      </c>
      <c r="BB16" s="494">
        <f t="shared" si="58"/>
        <v>0</v>
      </c>
      <c r="BC16" s="494">
        <f t="shared" si="58"/>
        <v>0</v>
      </c>
      <c r="BD16" s="494">
        <f t="shared" si="58"/>
        <v>0</v>
      </c>
      <c r="BE16" s="494">
        <f t="shared" si="58"/>
        <v>0</v>
      </c>
      <c r="BF16" s="494">
        <f t="shared" si="58"/>
        <v>0</v>
      </c>
      <c r="BG16" s="494">
        <f t="shared" si="58"/>
        <v>0</v>
      </c>
      <c r="BH16" s="494">
        <f t="shared" si="58"/>
        <v>0</v>
      </c>
      <c r="BI16" s="494">
        <f t="shared" si="58"/>
        <v>868033.33924999996</v>
      </c>
      <c r="BJ16" s="494">
        <f t="shared" si="58"/>
        <v>0</v>
      </c>
      <c r="BK16" s="494">
        <f t="shared" si="58"/>
        <v>0</v>
      </c>
      <c r="BL16" s="494">
        <f t="shared" si="58"/>
        <v>0</v>
      </c>
      <c r="BM16" s="494">
        <f t="shared" si="58"/>
        <v>0</v>
      </c>
      <c r="BN16" s="494">
        <f t="shared" si="58"/>
        <v>0</v>
      </c>
      <c r="BO16" s="494">
        <f t="shared" si="58"/>
        <v>0</v>
      </c>
      <c r="BP16" s="494">
        <f t="shared" si="58"/>
        <v>0</v>
      </c>
      <c r="BQ16" s="496">
        <f t="shared" ref="BQ16:BR16" si="59">BQ9*$N$16</f>
        <v>0</v>
      </c>
      <c r="BR16" s="496">
        <f t="shared" si="59"/>
        <v>0</v>
      </c>
      <c r="BS16" s="496">
        <f t="shared" ref="BS16:BX16" si="60">BS9*$N$16</f>
        <v>0</v>
      </c>
      <c r="BT16" s="496">
        <f t="shared" si="60"/>
        <v>0</v>
      </c>
      <c r="BU16" s="496">
        <f t="shared" si="60"/>
        <v>0</v>
      </c>
      <c r="BV16" s="496">
        <f t="shared" si="60"/>
        <v>0</v>
      </c>
      <c r="BW16" s="496">
        <f t="shared" si="60"/>
        <v>0</v>
      </c>
      <c r="BX16" s="496">
        <f t="shared" si="60"/>
        <v>0</v>
      </c>
      <c r="BY16" s="511">
        <f>SUM(P16:BO16)</f>
        <v>86803333.924999967</v>
      </c>
      <c r="BZ16" s="113">
        <f t="shared" si="56"/>
        <v>0</v>
      </c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</row>
    <row r="17" spans="1:161" s="53" customFormat="1" ht="15" customHeight="1">
      <c r="A17" s="1477"/>
      <c r="B17" s="1463"/>
      <c r="C17" s="1463"/>
      <c r="D17" s="1463"/>
      <c r="E17" s="1463"/>
      <c r="F17" s="1463"/>
      <c r="G17" s="1461" t="s">
        <v>297</v>
      </c>
      <c r="H17" s="1461"/>
      <c r="I17" s="1461"/>
      <c r="J17" s="1461"/>
      <c r="K17" s="1460">
        <v>0.1</v>
      </c>
      <c r="L17" s="1460"/>
      <c r="M17" s="1460"/>
      <c r="N17" s="505">
        <f t="shared" si="57"/>
        <v>86803333.924999997</v>
      </c>
      <c r="O17" s="558"/>
      <c r="P17" s="494"/>
      <c r="Q17" s="494"/>
      <c r="R17" s="494"/>
      <c r="S17" s="494"/>
      <c r="T17" s="494"/>
      <c r="U17" s="494"/>
      <c r="V17" s="494"/>
      <c r="W17" s="494"/>
      <c r="X17" s="494"/>
      <c r="Y17" s="494"/>
      <c r="Z17" s="494"/>
      <c r="AA17" s="494"/>
      <c r="AB17" s="494"/>
      <c r="AC17" s="494"/>
      <c r="AD17" s="494"/>
      <c r="AE17" s="494"/>
      <c r="AF17" s="494"/>
      <c r="AG17" s="494"/>
      <c r="AH17" s="494"/>
      <c r="AI17" s="495"/>
      <c r="AJ17" s="494"/>
      <c r="AK17" s="494"/>
      <c r="AL17" s="496"/>
      <c r="AM17" s="496">
        <f>N17*AM10</f>
        <v>67706600.461500019</v>
      </c>
      <c r="AN17" s="496">
        <f>$N$17*AN9</f>
        <v>3472133.3569999998</v>
      </c>
      <c r="AO17" s="496">
        <f t="shared" ref="AO17:BP17" si="61">$N$17*AO9</f>
        <v>3472133.3569999998</v>
      </c>
      <c r="AP17" s="496">
        <f t="shared" si="61"/>
        <v>2604100.0177499996</v>
      </c>
      <c r="AQ17" s="496">
        <f t="shared" si="61"/>
        <v>2604100.0177499996</v>
      </c>
      <c r="AR17" s="496">
        <f t="shared" si="61"/>
        <v>868033.33924999996</v>
      </c>
      <c r="AS17" s="496">
        <f t="shared" si="61"/>
        <v>868033.33924999996</v>
      </c>
      <c r="AT17" s="496">
        <f t="shared" si="61"/>
        <v>868033.33924999996</v>
      </c>
      <c r="AU17" s="496">
        <f t="shared" si="61"/>
        <v>868033.33924999996</v>
      </c>
      <c r="AV17" s="496">
        <f t="shared" si="61"/>
        <v>868033.33924999996</v>
      </c>
      <c r="AW17" s="496">
        <f t="shared" si="61"/>
        <v>868033.33924999996</v>
      </c>
      <c r="AX17" s="496">
        <f t="shared" si="61"/>
        <v>868033.33924999996</v>
      </c>
      <c r="AY17" s="496">
        <f t="shared" si="61"/>
        <v>0</v>
      </c>
      <c r="AZ17" s="496">
        <f t="shared" si="61"/>
        <v>0</v>
      </c>
      <c r="BA17" s="496">
        <f t="shared" si="61"/>
        <v>0</v>
      </c>
      <c r="BB17" s="496">
        <f t="shared" si="61"/>
        <v>0</v>
      </c>
      <c r="BC17" s="496">
        <f t="shared" si="61"/>
        <v>0</v>
      </c>
      <c r="BD17" s="496">
        <f t="shared" si="61"/>
        <v>0</v>
      </c>
      <c r="BE17" s="496">
        <f t="shared" si="61"/>
        <v>0</v>
      </c>
      <c r="BF17" s="496">
        <f t="shared" si="61"/>
        <v>0</v>
      </c>
      <c r="BG17" s="496">
        <f t="shared" si="61"/>
        <v>0</v>
      </c>
      <c r="BH17" s="496">
        <f t="shared" si="61"/>
        <v>0</v>
      </c>
      <c r="BI17" s="496">
        <f t="shared" si="61"/>
        <v>868033.33924999996</v>
      </c>
      <c r="BJ17" s="496">
        <f t="shared" si="61"/>
        <v>0</v>
      </c>
      <c r="BK17" s="496">
        <f t="shared" si="61"/>
        <v>0</v>
      </c>
      <c r="BL17" s="496">
        <f t="shared" si="61"/>
        <v>0</v>
      </c>
      <c r="BM17" s="496">
        <f t="shared" si="61"/>
        <v>0</v>
      </c>
      <c r="BN17" s="496">
        <f t="shared" si="61"/>
        <v>0</v>
      </c>
      <c r="BO17" s="496">
        <f t="shared" si="61"/>
        <v>0</v>
      </c>
      <c r="BP17" s="496">
        <f t="shared" si="61"/>
        <v>0</v>
      </c>
      <c r="BQ17" s="494">
        <f t="shared" ref="BQ17:BR17" si="62">BQ9*$N$17</f>
        <v>0</v>
      </c>
      <c r="BR17" s="494">
        <f t="shared" si="62"/>
        <v>0</v>
      </c>
      <c r="BS17" s="494">
        <f t="shared" ref="BS17:BX17" si="63">BS9*$N$17</f>
        <v>0</v>
      </c>
      <c r="BT17" s="494">
        <f t="shared" si="63"/>
        <v>0</v>
      </c>
      <c r="BU17" s="494">
        <f t="shared" si="63"/>
        <v>0</v>
      </c>
      <c r="BV17" s="494">
        <f t="shared" si="63"/>
        <v>0</v>
      </c>
      <c r="BW17" s="494">
        <f t="shared" si="63"/>
        <v>0</v>
      </c>
      <c r="BX17" s="494">
        <f t="shared" si="63"/>
        <v>0</v>
      </c>
      <c r="BY17" s="511">
        <f t="shared" ref="BY17:BY22" si="64">SUM(P17:BO17)</f>
        <v>86803333.924999982</v>
      </c>
      <c r="BZ17" s="113">
        <f t="shared" si="56"/>
        <v>0</v>
      </c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</row>
    <row r="18" spans="1:161" s="53" customFormat="1" ht="15" customHeight="1">
      <c r="A18" s="1477"/>
      <c r="B18" s="1463"/>
      <c r="C18" s="1463"/>
      <c r="D18" s="1463"/>
      <c r="E18" s="1463"/>
      <c r="F18" s="1463"/>
      <c r="G18" s="1461" t="s">
        <v>298</v>
      </c>
      <c r="H18" s="1461"/>
      <c r="I18" s="1461"/>
      <c r="J18" s="1461"/>
      <c r="K18" s="1460">
        <v>0.1</v>
      </c>
      <c r="L18" s="1460"/>
      <c r="M18" s="1460"/>
      <c r="N18" s="505">
        <f t="shared" si="57"/>
        <v>86803333.924999997</v>
      </c>
      <c r="O18" s="558"/>
      <c r="P18" s="494"/>
      <c r="Q18" s="494"/>
      <c r="R18" s="494"/>
      <c r="S18" s="494"/>
      <c r="T18" s="494"/>
      <c r="U18" s="494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4"/>
      <c r="AG18" s="494"/>
      <c r="AH18" s="494"/>
      <c r="AI18" s="495"/>
      <c r="AJ18" s="494"/>
      <c r="AK18" s="494"/>
      <c r="AL18" s="496"/>
      <c r="AM18" s="496"/>
      <c r="AN18" s="496"/>
      <c r="AO18" s="496"/>
      <c r="AP18" s="496"/>
      <c r="AQ18" s="494"/>
      <c r="AR18" s="494"/>
      <c r="AS18" s="494">
        <f>$N$18*AS10</f>
        <v>81595133.889500037</v>
      </c>
      <c r="AT18" s="494">
        <f>$N$18*AT9</f>
        <v>868033.33924999996</v>
      </c>
      <c r="AU18" s="494">
        <f t="shared" ref="AU18:BP18" si="65">$N$18*AU9</f>
        <v>868033.33924999996</v>
      </c>
      <c r="AV18" s="494">
        <f t="shared" si="65"/>
        <v>868033.33924999996</v>
      </c>
      <c r="AW18" s="494">
        <f t="shared" si="65"/>
        <v>868033.33924999996</v>
      </c>
      <c r="AX18" s="494">
        <f t="shared" si="65"/>
        <v>868033.33924999996</v>
      </c>
      <c r="AY18" s="494">
        <f t="shared" si="65"/>
        <v>0</v>
      </c>
      <c r="AZ18" s="494">
        <f t="shared" si="65"/>
        <v>0</v>
      </c>
      <c r="BA18" s="494">
        <f t="shared" si="65"/>
        <v>0</v>
      </c>
      <c r="BB18" s="494">
        <f t="shared" si="65"/>
        <v>0</v>
      </c>
      <c r="BC18" s="494">
        <f t="shared" si="65"/>
        <v>0</v>
      </c>
      <c r="BD18" s="494">
        <f t="shared" si="65"/>
        <v>0</v>
      </c>
      <c r="BE18" s="494">
        <f t="shared" si="65"/>
        <v>0</v>
      </c>
      <c r="BF18" s="494">
        <f t="shared" si="65"/>
        <v>0</v>
      </c>
      <c r="BG18" s="494">
        <f t="shared" si="65"/>
        <v>0</v>
      </c>
      <c r="BH18" s="494">
        <f t="shared" si="65"/>
        <v>0</v>
      </c>
      <c r="BI18" s="494">
        <f t="shared" si="65"/>
        <v>868033.33924999996</v>
      </c>
      <c r="BJ18" s="494">
        <f t="shared" si="65"/>
        <v>0</v>
      </c>
      <c r="BK18" s="494">
        <f t="shared" si="65"/>
        <v>0</v>
      </c>
      <c r="BL18" s="494">
        <f t="shared" si="65"/>
        <v>0</v>
      </c>
      <c r="BM18" s="494">
        <f t="shared" si="65"/>
        <v>0</v>
      </c>
      <c r="BN18" s="494">
        <f t="shared" si="65"/>
        <v>0</v>
      </c>
      <c r="BO18" s="494">
        <f t="shared" si="65"/>
        <v>0</v>
      </c>
      <c r="BP18" s="494">
        <f t="shared" si="65"/>
        <v>0</v>
      </c>
      <c r="BQ18" s="494">
        <f t="shared" ref="BQ18:BR18" si="66">BQ9*$N$18</f>
        <v>0</v>
      </c>
      <c r="BR18" s="494">
        <f t="shared" si="66"/>
        <v>0</v>
      </c>
      <c r="BS18" s="494">
        <f t="shared" ref="BS18:BX18" si="67">BS9*$N$18</f>
        <v>0</v>
      </c>
      <c r="BT18" s="494">
        <f t="shared" si="67"/>
        <v>0</v>
      </c>
      <c r="BU18" s="494">
        <f t="shared" si="67"/>
        <v>0</v>
      </c>
      <c r="BV18" s="494">
        <f t="shared" si="67"/>
        <v>0</v>
      </c>
      <c r="BW18" s="494">
        <f t="shared" si="67"/>
        <v>0</v>
      </c>
      <c r="BX18" s="494">
        <f t="shared" si="67"/>
        <v>0</v>
      </c>
      <c r="BY18" s="511">
        <f t="shared" si="64"/>
        <v>86803333.925000027</v>
      </c>
      <c r="BZ18" s="113">
        <f t="shared" si="56"/>
        <v>0</v>
      </c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</row>
    <row r="19" spans="1:161" s="53" customFormat="1" ht="15" customHeight="1">
      <c r="A19" s="1477"/>
      <c r="B19" s="1463"/>
      <c r="C19" s="1463"/>
      <c r="D19" s="1463"/>
      <c r="E19" s="1463"/>
      <c r="F19" s="1463"/>
      <c r="G19" s="1461" t="s">
        <v>299</v>
      </c>
      <c r="H19" s="1461"/>
      <c r="I19" s="1461"/>
      <c r="J19" s="1461"/>
      <c r="K19" s="1460">
        <v>0.1</v>
      </c>
      <c r="L19" s="1460"/>
      <c r="M19" s="1460"/>
      <c r="N19" s="505">
        <f t="shared" si="57"/>
        <v>86803333.924999997</v>
      </c>
      <c r="O19" s="558"/>
      <c r="P19" s="494"/>
      <c r="Q19" s="494"/>
      <c r="R19" s="494"/>
      <c r="S19" s="494"/>
      <c r="T19" s="494"/>
      <c r="U19" s="494"/>
      <c r="V19" s="494"/>
      <c r="W19" s="494"/>
      <c r="X19" s="494"/>
      <c r="Y19" s="494"/>
      <c r="Z19" s="494"/>
      <c r="AA19" s="494"/>
      <c r="AB19" s="494"/>
      <c r="AC19" s="494"/>
      <c r="AD19" s="494"/>
      <c r="AE19" s="494"/>
      <c r="AF19" s="494"/>
      <c r="AG19" s="494"/>
      <c r="AH19" s="494"/>
      <c r="AI19" s="495"/>
      <c r="AJ19" s="494"/>
      <c r="AK19" s="494"/>
      <c r="AL19" s="496"/>
      <c r="AM19" s="496"/>
      <c r="AN19" s="496"/>
      <c r="AO19" s="496"/>
      <c r="AP19" s="496"/>
      <c r="AQ19" s="494"/>
      <c r="AR19" s="494"/>
      <c r="AS19" s="494"/>
      <c r="AT19" s="494"/>
      <c r="AU19" s="494"/>
      <c r="AV19" s="494"/>
      <c r="AW19" s="494"/>
      <c r="AX19" s="494"/>
      <c r="AY19" s="494">
        <f>AY10*N19</f>
        <v>85935300.585750028</v>
      </c>
      <c r="AZ19" s="494">
        <f>AZ9*$N$19</f>
        <v>0</v>
      </c>
      <c r="BA19" s="494">
        <f t="shared" ref="BA19:BP19" si="68">BA9*$N$19</f>
        <v>0</v>
      </c>
      <c r="BB19" s="494">
        <f t="shared" si="68"/>
        <v>0</v>
      </c>
      <c r="BC19" s="494">
        <f t="shared" si="68"/>
        <v>0</v>
      </c>
      <c r="BD19" s="494">
        <f t="shared" si="68"/>
        <v>0</v>
      </c>
      <c r="BE19" s="494">
        <f t="shared" si="68"/>
        <v>0</v>
      </c>
      <c r="BF19" s="494">
        <f t="shared" si="68"/>
        <v>0</v>
      </c>
      <c r="BG19" s="494">
        <f t="shared" si="68"/>
        <v>0</v>
      </c>
      <c r="BH19" s="494">
        <f t="shared" si="68"/>
        <v>0</v>
      </c>
      <c r="BI19" s="494">
        <f t="shared" si="68"/>
        <v>868033.33924999996</v>
      </c>
      <c r="BJ19" s="494">
        <f t="shared" si="68"/>
        <v>0</v>
      </c>
      <c r="BK19" s="494">
        <f t="shared" si="68"/>
        <v>0</v>
      </c>
      <c r="BL19" s="494">
        <f t="shared" si="68"/>
        <v>0</v>
      </c>
      <c r="BM19" s="494">
        <f t="shared" si="68"/>
        <v>0</v>
      </c>
      <c r="BN19" s="494">
        <f t="shared" si="68"/>
        <v>0</v>
      </c>
      <c r="BO19" s="494">
        <f t="shared" si="68"/>
        <v>0</v>
      </c>
      <c r="BP19" s="494">
        <f t="shared" si="68"/>
        <v>0</v>
      </c>
      <c r="BQ19" s="494">
        <f t="shared" ref="BQ19:BR19" si="69">BQ9*$N$19</f>
        <v>0</v>
      </c>
      <c r="BR19" s="494">
        <f t="shared" si="69"/>
        <v>0</v>
      </c>
      <c r="BS19" s="494">
        <f t="shared" ref="BS19:BX19" si="70">BS9*$N$19</f>
        <v>0</v>
      </c>
      <c r="BT19" s="494">
        <f t="shared" si="70"/>
        <v>0</v>
      </c>
      <c r="BU19" s="494">
        <f t="shared" si="70"/>
        <v>0</v>
      </c>
      <c r="BV19" s="494">
        <f t="shared" si="70"/>
        <v>0</v>
      </c>
      <c r="BW19" s="494">
        <f t="shared" si="70"/>
        <v>0</v>
      </c>
      <c r="BX19" s="494">
        <f t="shared" si="70"/>
        <v>0</v>
      </c>
      <c r="BY19" s="511">
        <f t="shared" si="64"/>
        <v>86803333.925000027</v>
      </c>
      <c r="BZ19" s="113">
        <f t="shared" si="56"/>
        <v>0</v>
      </c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</row>
    <row r="20" spans="1:161" s="53" customFormat="1" ht="15" customHeight="1">
      <c r="A20" s="1477"/>
      <c r="B20" s="1463"/>
      <c r="C20" s="1463"/>
      <c r="D20" s="1463"/>
      <c r="E20" s="1463"/>
      <c r="F20" s="1463"/>
      <c r="G20" s="1461" t="s">
        <v>300</v>
      </c>
      <c r="H20" s="1461"/>
      <c r="I20" s="1461"/>
      <c r="J20" s="1461"/>
      <c r="K20" s="1460">
        <v>0.1</v>
      </c>
      <c r="L20" s="1460"/>
      <c r="M20" s="1460"/>
      <c r="N20" s="505">
        <f t="shared" si="57"/>
        <v>86803333.924999997</v>
      </c>
      <c r="O20" s="558"/>
      <c r="P20" s="494"/>
      <c r="Q20" s="494"/>
      <c r="R20" s="494"/>
      <c r="S20" s="494"/>
      <c r="T20" s="494"/>
      <c r="U20" s="494"/>
      <c r="V20" s="494"/>
      <c r="W20" s="494"/>
      <c r="X20" s="494"/>
      <c r="Y20" s="494"/>
      <c r="Z20" s="494"/>
      <c r="AA20" s="494"/>
      <c r="AB20" s="494"/>
      <c r="AC20" s="494"/>
      <c r="AD20" s="494"/>
      <c r="AE20" s="494"/>
      <c r="AF20" s="494"/>
      <c r="AG20" s="494"/>
      <c r="AH20" s="494"/>
      <c r="AI20" s="495"/>
      <c r="AJ20" s="494"/>
      <c r="AK20" s="494"/>
      <c r="AL20" s="496"/>
      <c r="AM20" s="496"/>
      <c r="AN20" s="496"/>
      <c r="AO20" s="496"/>
      <c r="AP20" s="496"/>
      <c r="AQ20" s="494"/>
      <c r="AR20" s="494"/>
      <c r="AS20" s="494"/>
      <c r="AT20" s="494"/>
      <c r="AU20" s="494"/>
      <c r="AV20" s="494"/>
      <c r="AW20" s="494"/>
      <c r="AX20" s="494"/>
      <c r="AY20" s="494"/>
      <c r="AZ20" s="494"/>
      <c r="BA20" s="494"/>
      <c r="BB20" s="494"/>
      <c r="BC20" s="494"/>
      <c r="BD20" s="494"/>
      <c r="BE20" s="494">
        <f t="shared" ref="BE20" si="71">BE10*$N$20</f>
        <v>85935300.585750028</v>
      </c>
      <c r="BF20" s="494">
        <f t="shared" ref="BF20:BK20" si="72">BF9*$N$20</f>
        <v>0</v>
      </c>
      <c r="BG20" s="494">
        <f t="shared" si="72"/>
        <v>0</v>
      </c>
      <c r="BH20" s="494">
        <f t="shared" si="72"/>
        <v>0</v>
      </c>
      <c r="BI20" s="494">
        <f t="shared" si="72"/>
        <v>868033.33924999996</v>
      </c>
      <c r="BJ20" s="494">
        <f t="shared" si="72"/>
        <v>0</v>
      </c>
      <c r="BK20" s="494">
        <f t="shared" si="72"/>
        <v>0</v>
      </c>
      <c r="BL20" s="494">
        <f t="shared" ref="BL20:BR20" si="73">BL9*$N$20</f>
        <v>0</v>
      </c>
      <c r="BM20" s="494">
        <f t="shared" si="73"/>
        <v>0</v>
      </c>
      <c r="BN20" s="494">
        <f t="shared" ref="BN20" si="74">BN9*$N$20</f>
        <v>0</v>
      </c>
      <c r="BO20" s="494">
        <f t="shared" si="73"/>
        <v>0</v>
      </c>
      <c r="BP20" s="494">
        <f t="shared" si="73"/>
        <v>0</v>
      </c>
      <c r="BQ20" s="494">
        <f t="shared" si="73"/>
        <v>0</v>
      </c>
      <c r="BR20" s="494">
        <f t="shared" si="73"/>
        <v>0</v>
      </c>
      <c r="BS20" s="494">
        <f t="shared" ref="BS20:BX20" si="75">BS9*$N$20</f>
        <v>0</v>
      </c>
      <c r="BT20" s="494">
        <f t="shared" si="75"/>
        <v>0</v>
      </c>
      <c r="BU20" s="494">
        <f t="shared" si="75"/>
        <v>0</v>
      </c>
      <c r="BV20" s="494">
        <f t="shared" si="75"/>
        <v>0</v>
      </c>
      <c r="BW20" s="494">
        <f t="shared" si="75"/>
        <v>0</v>
      </c>
      <c r="BX20" s="494">
        <f t="shared" si="75"/>
        <v>0</v>
      </c>
      <c r="BY20" s="511">
        <f t="shared" si="64"/>
        <v>86803333.925000027</v>
      </c>
      <c r="BZ20" s="113">
        <f t="shared" si="56"/>
        <v>0</v>
      </c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</row>
    <row r="21" spans="1:161" s="53" customFormat="1" ht="15" customHeight="1">
      <c r="A21" s="1477"/>
      <c r="B21" s="1463"/>
      <c r="C21" s="1463"/>
      <c r="D21" s="1463"/>
      <c r="E21" s="1463"/>
      <c r="F21" s="1463"/>
      <c r="G21" s="1461" t="s">
        <v>301</v>
      </c>
      <c r="H21" s="1461"/>
      <c r="I21" s="1461"/>
      <c r="J21" s="1461"/>
      <c r="K21" s="1460">
        <v>0.1</v>
      </c>
      <c r="L21" s="1460"/>
      <c r="M21" s="1460"/>
      <c r="N21" s="505">
        <f t="shared" si="57"/>
        <v>86803333.924999997</v>
      </c>
      <c r="O21" s="558"/>
      <c r="P21" s="494"/>
      <c r="Q21" s="494"/>
      <c r="R21" s="494"/>
      <c r="S21" s="494"/>
      <c r="T21" s="494"/>
      <c r="U21" s="494"/>
      <c r="V21" s="494"/>
      <c r="W21" s="494"/>
      <c r="X21" s="494"/>
      <c r="Y21" s="494"/>
      <c r="Z21" s="494"/>
      <c r="AA21" s="494"/>
      <c r="AB21" s="494"/>
      <c r="AC21" s="494"/>
      <c r="AD21" s="494"/>
      <c r="AE21" s="494"/>
      <c r="AF21" s="494"/>
      <c r="AG21" s="494"/>
      <c r="AH21" s="494"/>
      <c r="AI21" s="495"/>
      <c r="AJ21" s="494"/>
      <c r="AK21" s="494"/>
      <c r="AL21" s="496"/>
      <c r="AM21" s="496"/>
      <c r="AN21" s="496"/>
      <c r="AO21" s="496"/>
      <c r="AP21" s="496"/>
      <c r="AQ21" s="494"/>
      <c r="AR21" s="494"/>
      <c r="AS21" s="494"/>
      <c r="AT21" s="494"/>
      <c r="AU21" s="494"/>
      <c r="AV21" s="494"/>
      <c r="AW21" s="494"/>
      <c r="AX21" s="494"/>
      <c r="AY21" s="494"/>
      <c r="AZ21" s="494"/>
      <c r="BA21" s="494"/>
      <c r="BB21" s="494"/>
      <c r="BC21" s="494"/>
      <c r="BD21" s="494"/>
      <c r="BE21" s="494"/>
      <c r="BF21" s="494"/>
      <c r="BG21" s="494"/>
      <c r="BH21" s="494"/>
      <c r="BI21" s="494">
        <f t="shared" ref="BI21" si="76">BI10*$N$21</f>
        <v>86803333.925000042</v>
      </c>
      <c r="BJ21" s="494">
        <f t="shared" ref="BJ21:BM21" si="77">BJ9*$N$21</f>
        <v>0</v>
      </c>
      <c r="BK21" s="494">
        <f t="shared" si="77"/>
        <v>0</v>
      </c>
      <c r="BL21" s="494">
        <f t="shared" si="77"/>
        <v>0</v>
      </c>
      <c r="BM21" s="494">
        <f t="shared" si="77"/>
        <v>0</v>
      </c>
      <c r="BN21" s="494">
        <f t="shared" ref="BN21" si="78">BN9*$N$21</f>
        <v>0</v>
      </c>
      <c r="BO21" s="494">
        <f t="shared" ref="BO21:BX21" si="79">BO9*$N$21</f>
        <v>0</v>
      </c>
      <c r="BP21" s="494">
        <f t="shared" si="79"/>
        <v>0</v>
      </c>
      <c r="BQ21" s="494">
        <f t="shared" si="79"/>
        <v>0</v>
      </c>
      <c r="BR21" s="494">
        <f t="shared" si="79"/>
        <v>0</v>
      </c>
      <c r="BS21" s="494">
        <f t="shared" si="79"/>
        <v>0</v>
      </c>
      <c r="BT21" s="494">
        <f t="shared" si="79"/>
        <v>0</v>
      </c>
      <c r="BU21" s="494">
        <f t="shared" si="79"/>
        <v>0</v>
      </c>
      <c r="BV21" s="494">
        <f t="shared" si="79"/>
        <v>0</v>
      </c>
      <c r="BW21" s="494">
        <f t="shared" si="79"/>
        <v>0</v>
      </c>
      <c r="BX21" s="494">
        <f t="shared" si="79"/>
        <v>0</v>
      </c>
      <c r="BY21" s="511">
        <f t="shared" si="64"/>
        <v>86803333.925000042</v>
      </c>
      <c r="BZ21" s="113">
        <f t="shared" si="56"/>
        <v>0</v>
      </c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</row>
    <row r="22" spans="1:161" s="53" customFormat="1" ht="15" customHeight="1">
      <c r="A22" s="1477"/>
      <c r="B22" s="1463"/>
      <c r="C22" s="1463"/>
      <c r="D22" s="1463"/>
      <c r="E22" s="1463"/>
      <c r="F22" s="1463"/>
      <c r="G22" s="1461" t="s">
        <v>302</v>
      </c>
      <c r="H22" s="1461"/>
      <c r="I22" s="1461"/>
      <c r="J22" s="1461"/>
      <c r="K22" s="1460">
        <v>0.3</v>
      </c>
      <c r="L22" s="1460"/>
      <c r="M22" s="1460"/>
      <c r="N22" s="505">
        <f t="shared" si="57"/>
        <v>260410001.77499995</v>
      </c>
      <c r="O22" s="558"/>
      <c r="P22" s="494"/>
      <c r="Q22" s="494"/>
      <c r="R22" s="494"/>
      <c r="S22" s="494"/>
      <c r="T22" s="494"/>
      <c r="U22" s="494"/>
      <c r="V22" s="494"/>
      <c r="W22" s="494"/>
      <c r="X22" s="494"/>
      <c r="Y22" s="494"/>
      <c r="Z22" s="494"/>
      <c r="AA22" s="494"/>
      <c r="AB22" s="494"/>
      <c r="AC22" s="494"/>
      <c r="AD22" s="494"/>
      <c r="AE22" s="494"/>
      <c r="AF22" s="494"/>
      <c r="AG22" s="494"/>
      <c r="AH22" s="494"/>
      <c r="AI22" s="495"/>
      <c r="AJ22" s="494"/>
      <c r="AK22" s="494"/>
      <c r="AL22" s="496"/>
      <c r="AM22" s="496"/>
      <c r="AN22" s="496"/>
      <c r="AO22" s="496"/>
      <c r="AP22" s="496"/>
      <c r="AQ22" s="494"/>
      <c r="AR22" s="494"/>
      <c r="AS22" s="494"/>
      <c r="AT22" s="494"/>
      <c r="AU22" s="494"/>
      <c r="AV22" s="494"/>
      <c r="AW22" s="494"/>
      <c r="AX22" s="494"/>
      <c r="AY22" s="494"/>
      <c r="AZ22" s="494"/>
      <c r="BA22" s="494"/>
      <c r="BB22" s="494"/>
      <c r="BC22" s="494"/>
      <c r="BD22" s="494"/>
      <c r="BE22" s="494"/>
      <c r="BF22" s="494"/>
      <c r="BG22" s="494"/>
      <c r="BH22" s="494"/>
      <c r="BI22" s="494"/>
      <c r="BJ22" s="494"/>
      <c r="BK22" s="494"/>
      <c r="BL22" s="494">
        <f>N22*50%</f>
        <v>130205000.88749997</v>
      </c>
      <c r="BM22" s="494">
        <f>N22*50%</f>
        <v>130205000.88749997</v>
      </c>
      <c r="BN22" s="494"/>
      <c r="BO22" s="494"/>
      <c r="BP22" s="494">
        <f>BP9*N22</f>
        <v>0</v>
      </c>
      <c r="BQ22" s="494">
        <f>BQ9*$N$22</f>
        <v>0</v>
      </c>
      <c r="BR22" s="494"/>
      <c r="BS22" s="494"/>
      <c r="BT22" s="494"/>
      <c r="BU22" s="494">
        <f>BU10*Y22</f>
        <v>0</v>
      </c>
      <c r="BV22" s="494">
        <f>BV10*AH22</f>
        <v>0</v>
      </c>
      <c r="BW22" s="494">
        <f>BW10*AI22</f>
        <v>0</v>
      </c>
      <c r="BX22" s="494">
        <f>BX10*AJ22</f>
        <v>0</v>
      </c>
      <c r="BY22" s="511">
        <f t="shared" si="64"/>
        <v>260410001.77499995</v>
      </c>
      <c r="BZ22" s="113">
        <f t="shared" si="56"/>
        <v>0</v>
      </c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</row>
    <row r="23" spans="1:161" s="746" customFormat="1" ht="15" customHeight="1">
      <c r="A23" s="1477"/>
      <c r="B23" s="1463"/>
      <c r="C23" s="1463"/>
      <c r="D23" s="1463"/>
      <c r="E23" s="1463"/>
      <c r="F23" s="1463"/>
      <c r="G23" s="1487" t="s">
        <v>141</v>
      </c>
      <c r="H23" s="1487"/>
      <c r="I23" s="1487"/>
      <c r="J23" s="1487"/>
      <c r="K23" s="1487"/>
      <c r="L23" s="1487"/>
      <c r="M23" s="1487"/>
      <c r="N23" s="738">
        <f>사업수지표!AL18</f>
        <v>868033339.24999988</v>
      </c>
      <c r="O23" s="739"/>
      <c r="P23" s="740">
        <f t="shared" ref="P23:BX23" si="80">SUM(P15:P22)</f>
        <v>0</v>
      </c>
      <c r="Q23" s="740"/>
      <c r="R23" s="740">
        <f t="shared" si="80"/>
        <v>0</v>
      </c>
      <c r="S23" s="740">
        <f t="shared" si="80"/>
        <v>0</v>
      </c>
      <c r="T23" s="740">
        <f t="shared" si="80"/>
        <v>0</v>
      </c>
      <c r="U23" s="740">
        <f t="shared" si="80"/>
        <v>0</v>
      </c>
      <c r="V23" s="740">
        <f t="shared" si="80"/>
        <v>0</v>
      </c>
      <c r="W23" s="740">
        <f t="shared" si="80"/>
        <v>0</v>
      </c>
      <c r="X23" s="740">
        <f t="shared" si="80"/>
        <v>0</v>
      </c>
      <c r="Y23" s="740">
        <f t="shared" si="80"/>
        <v>0</v>
      </c>
      <c r="Z23" s="740">
        <f t="shared" si="80"/>
        <v>0</v>
      </c>
      <c r="AA23" s="740">
        <f t="shared" si="80"/>
        <v>17360666.785</v>
      </c>
      <c r="AB23" s="740">
        <f t="shared" si="80"/>
        <v>8680333.3925000001</v>
      </c>
      <c r="AC23" s="740">
        <f t="shared" si="80"/>
        <v>4340166.69625</v>
      </c>
      <c r="AD23" s="740">
        <f t="shared" si="80"/>
        <v>4340166.69625</v>
      </c>
      <c r="AE23" s="740">
        <f t="shared" si="80"/>
        <v>8680333.3925000001</v>
      </c>
      <c r="AF23" s="740">
        <f t="shared" si="80"/>
        <v>2604100.0177499996</v>
      </c>
      <c r="AG23" s="740">
        <f t="shared" si="80"/>
        <v>49477900.337250002</v>
      </c>
      <c r="AH23" s="740">
        <f t="shared" si="80"/>
        <v>6944266.7139999997</v>
      </c>
      <c r="AI23" s="741">
        <f t="shared" si="80"/>
        <v>5208200.0354999993</v>
      </c>
      <c r="AJ23" s="740">
        <f t="shared" si="80"/>
        <v>8680333.3925000001</v>
      </c>
      <c r="AK23" s="741">
        <f t="shared" si="80"/>
        <v>8680333.3925000001</v>
      </c>
      <c r="AL23" s="741">
        <f t="shared" si="80"/>
        <v>5208200.0354999993</v>
      </c>
      <c r="AM23" s="741">
        <f t="shared" si="80"/>
        <v>72914800.497000024</v>
      </c>
      <c r="AN23" s="741">
        <f t="shared" si="80"/>
        <v>10416400.070999999</v>
      </c>
      <c r="AO23" s="741">
        <f t="shared" si="80"/>
        <v>10416400.070999999</v>
      </c>
      <c r="AP23" s="741">
        <f t="shared" si="80"/>
        <v>7812300.0532499989</v>
      </c>
      <c r="AQ23" s="741">
        <f t="shared" si="80"/>
        <v>7812300.0532499989</v>
      </c>
      <c r="AR23" s="741">
        <f t="shared" si="80"/>
        <v>2604100.0177499996</v>
      </c>
      <c r="AS23" s="741">
        <f t="shared" si="80"/>
        <v>84199233.907250032</v>
      </c>
      <c r="AT23" s="741">
        <f t="shared" si="80"/>
        <v>3472133.3569999998</v>
      </c>
      <c r="AU23" s="741">
        <f t="shared" si="80"/>
        <v>3472133.3569999998</v>
      </c>
      <c r="AV23" s="741">
        <f t="shared" si="80"/>
        <v>3472133.3569999998</v>
      </c>
      <c r="AW23" s="741">
        <f t="shared" si="80"/>
        <v>3472133.3569999998</v>
      </c>
      <c r="AX23" s="741">
        <f t="shared" si="80"/>
        <v>3472133.3569999998</v>
      </c>
      <c r="AY23" s="741">
        <f t="shared" si="80"/>
        <v>85935300.585750028</v>
      </c>
      <c r="AZ23" s="741">
        <f t="shared" si="80"/>
        <v>0</v>
      </c>
      <c r="BA23" s="741">
        <f t="shared" si="80"/>
        <v>0</v>
      </c>
      <c r="BB23" s="741">
        <f t="shared" si="80"/>
        <v>0</v>
      </c>
      <c r="BC23" s="741">
        <f t="shared" si="80"/>
        <v>0</v>
      </c>
      <c r="BD23" s="741">
        <f t="shared" si="80"/>
        <v>0</v>
      </c>
      <c r="BE23" s="741">
        <f t="shared" si="80"/>
        <v>85935300.585750028</v>
      </c>
      <c r="BF23" s="741">
        <f t="shared" si="80"/>
        <v>0</v>
      </c>
      <c r="BG23" s="741">
        <f t="shared" si="80"/>
        <v>0</v>
      </c>
      <c r="BH23" s="741">
        <f t="shared" si="80"/>
        <v>0</v>
      </c>
      <c r="BI23" s="741">
        <f t="shared" si="80"/>
        <v>92011533.960500047</v>
      </c>
      <c r="BJ23" s="741">
        <f t="shared" si="80"/>
        <v>0</v>
      </c>
      <c r="BK23" s="741">
        <f t="shared" si="80"/>
        <v>0</v>
      </c>
      <c r="BL23" s="741">
        <f t="shared" si="80"/>
        <v>130205000.88749997</v>
      </c>
      <c r="BM23" s="741">
        <f t="shared" si="80"/>
        <v>130205000.88749997</v>
      </c>
      <c r="BN23" s="741">
        <f t="shared" ref="BN23" si="81">SUM(BN15:BN22)</f>
        <v>0</v>
      </c>
      <c r="BO23" s="741">
        <f t="shared" si="80"/>
        <v>0</v>
      </c>
      <c r="BP23" s="741">
        <f t="shared" si="80"/>
        <v>0</v>
      </c>
      <c r="BQ23" s="741">
        <f t="shared" si="80"/>
        <v>0</v>
      </c>
      <c r="BR23" s="741">
        <f t="shared" si="80"/>
        <v>0</v>
      </c>
      <c r="BS23" s="741">
        <f t="shared" si="80"/>
        <v>0</v>
      </c>
      <c r="BT23" s="741">
        <f t="shared" si="80"/>
        <v>0</v>
      </c>
      <c r="BU23" s="741">
        <f t="shared" si="80"/>
        <v>0</v>
      </c>
      <c r="BV23" s="741">
        <f t="shared" si="80"/>
        <v>0</v>
      </c>
      <c r="BW23" s="741">
        <f t="shared" si="80"/>
        <v>0</v>
      </c>
      <c r="BX23" s="741">
        <f t="shared" si="80"/>
        <v>0</v>
      </c>
      <c r="BY23" s="742">
        <f>SUM(P23:BO23)</f>
        <v>868033339.25</v>
      </c>
      <c r="BZ23" s="743">
        <f t="shared" si="56"/>
        <v>0</v>
      </c>
      <c r="CA23" s="744"/>
      <c r="CB23" s="744"/>
      <c r="CC23" s="744"/>
      <c r="CD23" s="744"/>
      <c r="CE23" s="744"/>
      <c r="CF23" s="744"/>
      <c r="CG23" s="744"/>
      <c r="CH23" s="744"/>
      <c r="CI23" s="744"/>
      <c r="CJ23" s="744"/>
      <c r="CK23" s="744"/>
      <c r="CL23" s="744"/>
      <c r="CM23" s="744"/>
      <c r="CN23" s="744"/>
      <c r="CO23" s="744"/>
      <c r="CP23" s="745"/>
      <c r="CQ23" s="745"/>
      <c r="CR23" s="745"/>
      <c r="CS23" s="745"/>
      <c r="CT23" s="745"/>
      <c r="CU23" s="745"/>
      <c r="CV23" s="745"/>
      <c r="CW23" s="745"/>
      <c r="CX23" s="745"/>
      <c r="CY23" s="745"/>
      <c r="CZ23" s="745"/>
      <c r="DA23" s="745"/>
      <c r="DB23" s="745"/>
      <c r="DC23" s="745"/>
      <c r="DD23" s="745"/>
      <c r="DE23" s="745"/>
      <c r="DF23" s="745"/>
      <c r="DG23" s="745"/>
      <c r="DH23" s="745"/>
      <c r="DI23" s="745"/>
      <c r="DJ23" s="745"/>
      <c r="DK23" s="745"/>
      <c r="DL23" s="745"/>
      <c r="DM23" s="745"/>
      <c r="DN23" s="745"/>
      <c r="DO23" s="745"/>
      <c r="DP23" s="745"/>
      <c r="DQ23" s="745"/>
      <c r="DR23" s="745"/>
      <c r="DS23" s="745"/>
      <c r="DT23" s="745"/>
      <c r="DU23" s="745"/>
      <c r="DV23" s="745"/>
      <c r="DW23" s="745"/>
      <c r="DX23" s="745"/>
      <c r="DY23" s="745"/>
      <c r="DZ23" s="745"/>
      <c r="EA23" s="745"/>
      <c r="EB23" s="745"/>
      <c r="EC23" s="745"/>
      <c r="ED23" s="745"/>
      <c r="EE23" s="745"/>
      <c r="EF23" s="745"/>
      <c r="EG23" s="745"/>
      <c r="EH23" s="745"/>
      <c r="EI23" s="745"/>
      <c r="EJ23" s="745"/>
      <c r="EK23" s="745"/>
      <c r="EL23" s="745"/>
      <c r="EM23" s="745"/>
      <c r="EN23" s="745"/>
      <c r="EO23" s="745"/>
      <c r="EP23" s="745"/>
      <c r="EQ23" s="745"/>
      <c r="ER23" s="745"/>
      <c r="ES23" s="745"/>
      <c r="ET23" s="745"/>
      <c r="EU23" s="745"/>
      <c r="EV23" s="745"/>
      <c r="EW23" s="745"/>
      <c r="EX23" s="745"/>
      <c r="EY23" s="745"/>
      <c r="EZ23" s="745"/>
      <c r="FA23" s="745"/>
      <c r="FB23" s="745"/>
      <c r="FC23" s="745"/>
      <c r="FD23" s="745"/>
      <c r="FE23" s="745"/>
    </row>
    <row r="24" spans="1:161" s="57" customFormat="1" ht="269.25" hidden="1" customHeight="1">
      <c r="A24" s="1477"/>
      <c r="B24" s="1462" t="e">
        <f>B11</f>
        <v>#REF!</v>
      </c>
      <c r="C24" s="1463"/>
      <c r="D24" s="1463"/>
      <c r="E24" s="1463"/>
      <c r="F24" s="1463"/>
      <c r="G24" s="1461" t="s">
        <v>294</v>
      </c>
      <c r="H24" s="1461"/>
      <c r="I24" s="1461"/>
      <c r="J24" s="1461"/>
      <c r="K24" s="1460">
        <v>0.1</v>
      </c>
      <c r="L24" s="1460"/>
      <c r="M24" s="1460"/>
      <c r="N24" s="506">
        <f>사업수지표!AL19</f>
        <v>4399666</v>
      </c>
      <c r="O24" s="559"/>
      <c r="P24" s="494"/>
      <c r="Q24" s="494"/>
      <c r="R24" s="494"/>
      <c r="S24" s="494"/>
      <c r="T24" s="494"/>
      <c r="U24" s="494"/>
      <c r="V24" s="494"/>
      <c r="W24" s="494"/>
      <c r="X24" s="494"/>
      <c r="Y24" s="494"/>
      <c r="Z24" s="494"/>
      <c r="AA24" s="494"/>
      <c r="AB24" s="494"/>
      <c r="AC24" s="494"/>
      <c r="AD24" s="494"/>
      <c r="AE24" s="494"/>
      <c r="AF24" s="494"/>
      <c r="AG24" s="494"/>
      <c r="AH24" s="494"/>
      <c r="AI24" s="495"/>
      <c r="AJ24" s="494"/>
      <c r="AK24" s="494"/>
      <c r="AL24" s="496" t="e">
        <f>$N$24*AL11</f>
        <v>#REF!</v>
      </c>
      <c r="AM24" s="496"/>
      <c r="AN24" s="496"/>
      <c r="AO24" s="496"/>
      <c r="AP24" s="496"/>
      <c r="AQ24" s="496" t="e">
        <f>$N$24*AQ11</f>
        <v>#REF!</v>
      </c>
      <c r="AR24" s="496" t="e">
        <f t="shared" ref="AR24:BP24" si="82">$N$24*AR11</f>
        <v>#REF!</v>
      </c>
      <c r="AS24" s="496" t="e">
        <f t="shared" si="82"/>
        <v>#REF!</v>
      </c>
      <c r="AT24" s="496" t="e">
        <f t="shared" si="82"/>
        <v>#REF!</v>
      </c>
      <c r="AU24" s="496" t="e">
        <f t="shared" si="82"/>
        <v>#REF!</v>
      </c>
      <c r="AV24" s="496" t="e">
        <f t="shared" si="82"/>
        <v>#REF!</v>
      </c>
      <c r="AW24" s="496" t="e">
        <f t="shared" si="82"/>
        <v>#REF!</v>
      </c>
      <c r="AX24" s="496" t="e">
        <f t="shared" si="82"/>
        <v>#REF!</v>
      </c>
      <c r="AY24" s="496" t="e">
        <f t="shared" si="82"/>
        <v>#REF!</v>
      </c>
      <c r="AZ24" s="496" t="e">
        <f t="shared" si="82"/>
        <v>#REF!</v>
      </c>
      <c r="BA24" s="496" t="e">
        <f t="shared" si="82"/>
        <v>#REF!</v>
      </c>
      <c r="BB24" s="496" t="e">
        <f t="shared" si="82"/>
        <v>#REF!</v>
      </c>
      <c r="BC24" s="496" t="e">
        <f t="shared" si="82"/>
        <v>#REF!</v>
      </c>
      <c r="BD24" s="496" t="e">
        <f t="shared" si="82"/>
        <v>#REF!</v>
      </c>
      <c r="BE24" s="496" t="e">
        <f t="shared" si="82"/>
        <v>#REF!</v>
      </c>
      <c r="BF24" s="496" t="e">
        <f t="shared" si="82"/>
        <v>#REF!</v>
      </c>
      <c r="BG24" s="496" t="e">
        <f t="shared" si="82"/>
        <v>#REF!</v>
      </c>
      <c r="BH24" s="496" t="e">
        <f t="shared" si="82"/>
        <v>#REF!</v>
      </c>
      <c r="BI24" s="496" t="e">
        <f t="shared" si="82"/>
        <v>#REF!</v>
      </c>
      <c r="BJ24" s="496" t="e">
        <f t="shared" si="82"/>
        <v>#REF!</v>
      </c>
      <c r="BK24" s="496" t="e">
        <f t="shared" si="82"/>
        <v>#REF!</v>
      </c>
      <c r="BL24" s="496" t="e">
        <f t="shared" si="82"/>
        <v>#REF!</v>
      </c>
      <c r="BM24" s="496" t="e">
        <f t="shared" si="82"/>
        <v>#REF!</v>
      </c>
      <c r="BN24" s="496" t="e">
        <f t="shared" ref="BN24" si="83">$N$24*BN11</f>
        <v>#REF!</v>
      </c>
      <c r="BO24" s="496" t="e">
        <f t="shared" si="82"/>
        <v>#REF!</v>
      </c>
      <c r="BP24" s="496" t="e">
        <f t="shared" si="82"/>
        <v>#REF!</v>
      </c>
      <c r="BQ24" s="496"/>
      <c r="BR24" s="496"/>
      <c r="BS24" s="496"/>
      <c r="BT24" s="496"/>
      <c r="BU24" s="496"/>
      <c r="BV24" s="496"/>
      <c r="BW24" s="496"/>
      <c r="BX24" s="496"/>
      <c r="BY24" s="487">
        <v>2.6800000000000001E-2</v>
      </c>
      <c r="BZ24" s="113">
        <f t="shared" si="56"/>
        <v>-4399665.9731999999</v>
      </c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</row>
    <row r="25" spans="1:161" s="57" customFormat="1" ht="269.25" hidden="1" customHeight="1">
      <c r="A25" s="1477"/>
      <c r="B25" s="1463"/>
      <c r="C25" s="1463"/>
      <c r="D25" s="1463"/>
      <c r="E25" s="1463"/>
      <c r="F25" s="1463"/>
      <c r="G25" s="1461" t="s">
        <v>296</v>
      </c>
      <c r="H25" s="1461"/>
      <c r="I25" s="1461"/>
      <c r="J25" s="1461"/>
      <c r="K25" s="1460">
        <v>0.1</v>
      </c>
      <c r="L25" s="1460"/>
      <c r="M25" s="1460"/>
      <c r="N25" s="506">
        <f>사업수지표!AL20</f>
        <v>3176318.5</v>
      </c>
      <c r="O25" s="559"/>
      <c r="P25" s="494"/>
      <c r="Q25" s="494"/>
      <c r="R25" s="494"/>
      <c r="S25" s="494"/>
      <c r="T25" s="494"/>
      <c r="U25" s="494"/>
      <c r="V25" s="494"/>
      <c r="W25" s="494"/>
      <c r="X25" s="494"/>
      <c r="Y25" s="494"/>
      <c r="Z25" s="494"/>
      <c r="AA25" s="494"/>
      <c r="AB25" s="494"/>
      <c r="AC25" s="494"/>
      <c r="AD25" s="494"/>
      <c r="AE25" s="494"/>
      <c r="AF25" s="494"/>
      <c r="AG25" s="494"/>
      <c r="AH25" s="494"/>
      <c r="AI25" s="495"/>
      <c r="AJ25" s="494"/>
      <c r="AK25" s="494"/>
      <c r="AL25" s="496"/>
      <c r="AM25" s="496"/>
      <c r="AN25" s="496"/>
      <c r="AO25" s="496"/>
      <c r="AP25" s="496"/>
      <c r="AQ25" s="494"/>
      <c r="AR25" s="494"/>
      <c r="AS25" s="496" t="e">
        <f>$N$25*AS12</f>
        <v>#REF!</v>
      </c>
      <c r="AT25" s="494" t="e">
        <f>$N$25*AT11</f>
        <v>#REF!</v>
      </c>
      <c r="AU25" s="494" t="e">
        <f>$N$25*AU11</f>
        <v>#REF!</v>
      </c>
      <c r="AV25" s="494" t="e">
        <f t="shared" ref="AV25:BP25" si="84">$N$25*AV11</f>
        <v>#REF!</v>
      </c>
      <c r="AW25" s="494" t="e">
        <f>$N$25*AW11</f>
        <v>#REF!</v>
      </c>
      <c r="AX25" s="494" t="e">
        <f t="shared" si="84"/>
        <v>#REF!</v>
      </c>
      <c r="AY25" s="494" t="e">
        <f t="shared" si="84"/>
        <v>#REF!</v>
      </c>
      <c r="AZ25" s="494" t="e">
        <f t="shared" si="84"/>
        <v>#REF!</v>
      </c>
      <c r="BA25" s="494" t="e">
        <f t="shared" si="84"/>
        <v>#REF!</v>
      </c>
      <c r="BB25" s="494" t="e">
        <f t="shared" si="84"/>
        <v>#REF!</v>
      </c>
      <c r="BC25" s="494" t="e">
        <f t="shared" si="84"/>
        <v>#REF!</v>
      </c>
      <c r="BD25" s="494" t="e">
        <f t="shared" si="84"/>
        <v>#REF!</v>
      </c>
      <c r="BE25" s="494" t="e">
        <f t="shared" si="84"/>
        <v>#REF!</v>
      </c>
      <c r="BF25" s="494" t="e">
        <f t="shared" si="84"/>
        <v>#REF!</v>
      </c>
      <c r="BG25" s="494" t="e">
        <f t="shared" si="84"/>
        <v>#REF!</v>
      </c>
      <c r="BH25" s="494" t="e">
        <f t="shared" si="84"/>
        <v>#REF!</v>
      </c>
      <c r="BI25" s="494" t="e">
        <f t="shared" si="84"/>
        <v>#REF!</v>
      </c>
      <c r="BJ25" s="494" t="e">
        <f t="shared" si="84"/>
        <v>#REF!</v>
      </c>
      <c r="BK25" s="494" t="e">
        <f t="shared" si="84"/>
        <v>#REF!</v>
      </c>
      <c r="BL25" s="494" t="e">
        <f t="shared" si="84"/>
        <v>#REF!</v>
      </c>
      <c r="BM25" s="494" t="e">
        <f t="shared" si="84"/>
        <v>#REF!</v>
      </c>
      <c r="BN25" s="494" t="e">
        <f t="shared" ref="BN25" si="85">$N$25*BN11</f>
        <v>#REF!</v>
      </c>
      <c r="BO25" s="494" t="e">
        <f t="shared" si="84"/>
        <v>#REF!</v>
      </c>
      <c r="BP25" s="494" t="e">
        <f t="shared" si="84"/>
        <v>#REF!</v>
      </c>
      <c r="BQ25" s="494"/>
      <c r="BR25" s="494"/>
      <c r="BS25" s="494"/>
      <c r="BT25" s="494"/>
      <c r="BU25" s="494"/>
      <c r="BV25" s="494"/>
      <c r="BW25" s="494"/>
      <c r="BX25" s="494"/>
      <c r="BY25" s="487">
        <v>2.6800000000000001E-2</v>
      </c>
      <c r="BZ25" s="113">
        <f t="shared" si="56"/>
        <v>-3176318.4731999999</v>
      </c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</row>
    <row r="26" spans="1:161" s="57" customFormat="1" ht="269.25" hidden="1" customHeight="1">
      <c r="A26" s="1477"/>
      <c r="B26" s="1463"/>
      <c r="C26" s="1463"/>
      <c r="D26" s="1463"/>
      <c r="E26" s="1463"/>
      <c r="F26" s="1463"/>
      <c r="G26" s="1461" t="s">
        <v>297</v>
      </c>
      <c r="H26" s="1461"/>
      <c r="I26" s="1461"/>
      <c r="J26" s="1461"/>
      <c r="K26" s="1460">
        <v>0.1</v>
      </c>
      <c r="L26" s="1460"/>
      <c r="M26" s="1460"/>
      <c r="N26" s="506">
        <f>사업수지표!AL21</f>
        <v>7575984.5</v>
      </c>
      <c r="O26" s="559"/>
      <c r="P26" s="494"/>
      <c r="Q26" s="494"/>
      <c r="R26" s="494"/>
      <c r="S26" s="494"/>
      <c r="T26" s="494"/>
      <c r="U26" s="494"/>
      <c r="V26" s="494"/>
      <c r="W26" s="494"/>
      <c r="X26" s="494"/>
      <c r="Y26" s="494"/>
      <c r="Z26" s="494"/>
      <c r="AA26" s="494"/>
      <c r="AB26" s="494"/>
      <c r="AC26" s="494"/>
      <c r="AD26" s="494"/>
      <c r="AE26" s="494"/>
      <c r="AF26" s="494"/>
      <c r="AG26" s="494"/>
      <c r="AH26" s="494"/>
      <c r="AI26" s="495"/>
      <c r="AJ26" s="494"/>
      <c r="AK26" s="494"/>
      <c r="AL26" s="496"/>
      <c r="AM26" s="496"/>
      <c r="AN26" s="496"/>
      <c r="AO26" s="496"/>
      <c r="AP26" s="496"/>
      <c r="AQ26" s="494"/>
      <c r="AR26" s="494"/>
      <c r="AS26" s="494"/>
      <c r="AT26" s="494"/>
      <c r="AU26" s="494"/>
      <c r="AV26" s="496" t="e">
        <f>$N$26*AV12</f>
        <v>#REF!</v>
      </c>
      <c r="AW26" s="496" t="e">
        <f>$N$26*AW11</f>
        <v>#REF!</v>
      </c>
      <c r="AX26" s="496" t="e">
        <f>$N$26*AX11</f>
        <v>#REF!</v>
      </c>
      <c r="AY26" s="496" t="e">
        <f>$N$26*AY11</f>
        <v>#REF!</v>
      </c>
      <c r="AZ26" s="496" t="e">
        <f t="shared" ref="AZ26:BP26" si="86">$N$26*AZ11</f>
        <v>#REF!</v>
      </c>
      <c r="BA26" s="496" t="e">
        <f t="shared" si="86"/>
        <v>#REF!</v>
      </c>
      <c r="BB26" s="496" t="e">
        <f t="shared" si="86"/>
        <v>#REF!</v>
      </c>
      <c r="BC26" s="496" t="e">
        <f t="shared" si="86"/>
        <v>#REF!</v>
      </c>
      <c r="BD26" s="496" t="e">
        <f t="shared" si="86"/>
        <v>#REF!</v>
      </c>
      <c r="BE26" s="496" t="e">
        <f t="shared" si="86"/>
        <v>#REF!</v>
      </c>
      <c r="BF26" s="496" t="e">
        <f t="shared" si="86"/>
        <v>#REF!</v>
      </c>
      <c r="BG26" s="496" t="e">
        <f t="shared" si="86"/>
        <v>#REF!</v>
      </c>
      <c r="BH26" s="496" t="e">
        <f t="shared" si="86"/>
        <v>#REF!</v>
      </c>
      <c r="BI26" s="496" t="e">
        <f t="shared" si="86"/>
        <v>#REF!</v>
      </c>
      <c r="BJ26" s="496" t="e">
        <f t="shared" si="86"/>
        <v>#REF!</v>
      </c>
      <c r="BK26" s="496" t="e">
        <f t="shared" si="86"/>
        <v>#REF!</v>
      </c>
      <c r="BL26" s="496" t="e">
        <f t="shared" si="86"/>
        <v>#REF!</v>
      </c>
      <c r="BM26" s="496" t="e">
        <f t="shared" si="86"/>
        <v>#REF!</v>
      </c>
      <c r="BN26" s="496" t="e">
        <f t="shared" ref="BN26" si="87">$N$26*BN11</f>
        <v>#REF!</v>
      </c>
      <c r="BO26" s="496" t="e">
        <f t="shared" si="86"/>
        <v>#REF!</v>
      </c>
      <c r="BP26" s="496" t="e">
        <f t="shared" si="86"/>
        <v>#REF!</v>
      </c>
      <c r="BQ26" s="496"/>
      <c r="BR26" s="496"/>
      <c r="BS26" s="496"/>
      <c r="BT26" s="496"/>
      <c r="BU26" s="496"/>
      <c r="BV26" s="496"/>
      <c r="BW26" s="496"/>
      <c r="BX26" s="496"/>
      <c r="BY26" s="487">
        <v>2.6800000000000001E-2</v>
      </c>
      <c r="BZ26" s="113">
        <f t="shared" si="56"/>
        <v>-7575984.4731999999</v>
      </c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</row>
    <row r="27" spans="1:161" s="57" customFormat="1" ht="269.25" hidden="1" customHeight="1">
      <c r="A27" s="1477"/>
      <c r="B27" s="1463"/>
      <c r="C27" s="1463"/>
      <c r="D27" s="1463"/>
      <c r="E27" s="1463"/>
      <c r="F27" s="1463"/>
      <c r="G27" s="1461" t="s">
        <v>298</v>
      </c>
      <c r="H27" s="1461"/>
      <c r="I27" s="1461"/>
      <c r="J27" s="1461"/>
      <c r="K27" s="1460">
        <v>0.1</v>
      </c>
      <c r="L27" s="1460"/>
      <c r="M27" s="1460"/>
      <c r="N27" s="506">
        <f>사업수지표!AL22</f>
        <v>41470000</v>
      </c>
      <c r="O27" s="559"/>
      <c r="P27" s="494"/>
      <c r="Q27" s="494"/>
      <c r="R27" s="494"/>
      <c r="S27" s="494"/>
      <c r="T27" s="494"/>
      <c r="U27" s="494"/>
      <c r="V27" s="494"/>
      <c r="W27" s="494"/>
      <c r="X27" s="494"/>
      <c r="Y27" s="494"/>
      <c r="Z27" s="494"/>
      <c r="AA27" s="494"/>
      <c r="AB27" s="494"/>
      <c r="AC27" s="494"/>
      <c r="AD27" s="494"/>
      <c r="AE27" s="494"/>
      <c r="AF27" s="494"/>
      <c r="AG27" s="494"/>
      <c r="AH27" s="494"/>
      <c r="AI27" s="495"/>
      <c r="AJ27" s="494"/>
      <c r="AK27" s="494"/>
      <c r="AL27" s="496"/>
      <c r="AM27" s="496"/>
      <c r="AN27" s="496"/>
      <c r="AO27" s="496"/>
      <c r="AP27" s="496"/>
      <c r="AQ27" s="494"/>
      <c r="AR27" s="494"/>
      <c r="AS27" s="494"/>
      <c r="AT27" s="494"/>
      <c r="AU27" s="494"/>
      <c r="AV27" s="494"/>
      <c r="AW27" s="494"/>
      <c r="AX27" s="496"/>
      <c r="AY27" s="496" t="e">
        <f>$N$27*AY12</f>
        <v>#REF!</v>
      </c>
      <c r="AZ27" s="496" t="e">
        <f>$N$27*AZ11</f>
        <v>#REF!</v>
      </c>
      <c r="BA27" s="496" t="e">
        <f>$N$27*BA11</f>
        <v>#REF!</v>
      </c>
      <c r="BB27" s="496" t="e">
        <f t="shared" ref="BB27:BP27" si="88">$N$27*BB11</f>
        <v>#REF!</v>
      </c>
      <c r="BC27" s="496" t="e">
        <f t="shared" si="88"/>
        <v>#REF!</v>
      </c>
      <c r="BD27" s="496" t="e">
        <f t="shared" si="88"/>
        <v>#REF!</v>
      </c>
      <c r="BE27" s="496" t="e">
        <f t="shared" si="88"/>
        <v>#REF!</v>
      </c>
      <c r="BF27" s="496" t="e">
        <f t="shared" si="88"/>
        <v>#REF!</v>
      </c>
      <c r="BG27" s="496" t="e">
        <f t="shared" si="88"/>
        <v>#REF!</v>
      </c>
      <c r="BH27" s="496" t="e">
        <f t="shared" si="88"/>
        <v>#REF!</v>
      </c>
      <c r="BI27" s="496" t="e">
        <f t="shared" si="88"/>
        <v>#REF!</v>
      </c>
      <c r="BJ27" s="496" t="e">
        <f t="shared" si="88"/>
        <v>#REF!</v>
      </c>
      <c r="BK27" s="496" t="e">
        <f t="shared" si="88"/>
        <v>#REF!</v>
      </c>
      <c r="BL27" s="496" t="e">
        <f t="shared" si="88"/>
        <v>#REF!</v>
      </c>
      <c r="BM27" s="496" t="e">
        <f t="shared" si="88"/>
        <v>#REF!</v>
      </c>
      <c r="BN27" s="496" t="e">
        <f t="shared" ref="BN27" si="89">$N$27*BN11</f>
        <v>#REF!</v>
      </c>
      <c r="BO27" s="496" t="e">
        <f t="shared" si="88"/>
        <v>#REF!</v>
      </c>
      <c r="BP27" s="496" t="e">
        <f t="shared" si="88"/>
        <v>#REF!</v>
      </c>
      <c r="BQ27" s="496"/>
      <c r="BR27" s="496"/>
      <c r="BS27" s="496"/>
      <c r="BT27" s="496"/>
      <c r="BU27" s="496"/>
      <c r="BV27" s="496"/>
      <c r="BW27" s="496"/>
      <c r="BX27" s="496"/>
      <c r="BY27" s="487">
        <v>2.6800000000000001E-2</v>
      </c>
      <c r="BZ27" s="113">
        <f t="shared" si="56"/>
        <v>-41469999.973200001</v>
      </c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</row>
    <row r="28" spans="1:161" s="57" customFormat="1" ht="269.25" hidden="1" customHeight="1">
      <c r="A28" s="1477"/>
      <c r="B28" s="1463"/>
      <c r="C28" s="1463"/>
      <c r="D28" s="1463"/>
      <c r="E28" s="1463"/>
      <c r="F28" s="1463"/>
      <c r="G28" s="1461" t="s">
        <v>299</v>
      </c>
      <c r="H28" s="1461"/>
      <c r="I28" s="1461"/>
      <c r="J28" s="1461"/>
      <c r="K28" s="1460">
        <v>0.1</v>
      </c>
      <c r="L28" s="1460"/>
      <c r="M28" s="1460"/>
      <c r="N28" s="506">
        <f>사업수지표!AL23</f>
        <v>917079323.74999988</v>
      </c>
      <c r="O28" s="559"/>
      <c r="P28" s="494"/>
      <c r="Q28" s="494"/>
      <c r="R28" s="494"/>
      <c r="S28" s="494"/>
      <c r="T28" s="494"/>
      <c r="U28" s="494"/>
      <c r="V28" s="494"/>
      <c r="W28" s="494"/>
      <c r="X28" s="494"/>
      <c r="Y28" s="494"/>
      <c r="Z28" s="494"/>
      <c r="AA28" s="494"/>
      <c r="AB28" s="494"/>
      <c r="AC28" s="494"/>
      <c r="AD28" s="494"/>
      <c r="AE28" s="494"/>
      <c r="AF28" s="494"/>
      <c r="AG28" s="494"/>
      <c r="AH28" s="494"/>
      <c r="AI28" s="495"/>
      <c r="AJ28" s="494"/>
      <c r="AK28" s="494"/>
      <c r="AL28" s="496"/>
      <c r="AM28" s="496"/>
      <c r="AN28" s="496"/>
      <c r="AO28" s="496"/>
      <c r="AP28" s="496"/>
      <c r="AQ28" s="494"/>
      <c r="AR28" s="494"/>
      <c r="AS28" s="494"/>
      <c r="AT28" s="494"/>
      <c r="AU28" s="494"/>
      <c r="AV28" s="494"/>
      <c r="AW28" s="494"/>
      <c r="AX28" s="494"/>
      <c r="AY28" s="494"/>
      <c r="AZ28" s="494"/>
      <c r="BA28" s="496"/>
      <c r="BB28" s="496" t="e">
        <f t="shared" ref="BB28" si="90">$N$28*BB12</f>
        <v>#REF!</v>
      </c>
      <c r="BC28" s="496" t="e">
        <f t="shared" ref="BC28:BE28" si="91">$N$28*BC11</f>
        <v>#REF!</v>
      </c>
      <c r="BD28" s="496" t="e">
        <f t="shared" si="91"/>
        <v>#REF!</v>
      </c>
      <c r="BE28" s="496" t="e">
        <f t="shared" si="91"/>
        <v>#REF!</v>
      </c>
      <c r="BF28" s="496" t="e">
        <f>$N$28*BF11</f>
        <v>#REF!</v>
      </c>
      <c r="BG28" s="496" t="e">
        <f>$N$28*BG11</f>
        <v>#REF!</v>
      </c>
      <c r="BH28" s="496" t="e">
        <f t="shared" ref="BH28:BP28" si="92">$N$28*BH11</f>
        <v>#REF!</v>
      </c>
      <c r="BI28" s="496" t="e">
        <f t="shared" si="92"/>
        <v>#REF!</v>
      </c>
      <c r="BJ28" s="496" t="e">
        <f t="shared" si="92"/>
        <v>#REF!</v>
      </c>
      <c r="BK28" s="496" t="e">
        <f t="shared" si="92"/>
        <v>#REF!</v>
      </c>
      <c r="BL28" s="496" t="e">
        <f t="shared" si="92"/>
        <v>#REF!</v>
      </c>
      <c r="BM28" s="496" t="e">
        <f t="shared" si="92"/>
        <v>#REF!</v>
      </c>
      <c r="BN28" s="496" t="e">
        <f t="shared" ref="BN28" si="93">$N$28*BN11</f>
        <v>#REF!</v>
      </c>
      <c r="BO28" s="496" t="e">
        <f t="shared" si="92"/>
        <v>#REF!</v>
      </c>
      <c r="BP28" s="496" t="e">
        <f t="shared" si="92"/>
        <v>#REF!</v>
      </c>
      <c r="BQ28" s="496"/>
      <c r="BR28" s="496"/>
      <c r="BS28" s="496"/>
      <c r="BT28" s="496"/>
      <c r="BU28" s="496"/>
      <c r="BV28" s="496"/>
      <c r="BW28" s="496"/>
      <c r="BX28" s="496"/>
      <c r="BY28" s="487">
        <v>2.6800000000000001E-2</v>
      </c>
      <c r="BZ28" s="113">
        <f t="shared" si="56"/>
        <v>-917079323.72319984</v>
      </c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</row>
    <row r="29" spans="1:161" s="57" customFormat="1" ht="269.25" hidden="1" customHeight="1">
      <c r="A29" s="1477"/>
      <c r="B29" s="1463"/>
      <c r="C29" s="1463"/>
      <c r="D29" s="1463"/>
      <c r="E29" s="1463"/>
      <c r="F29" s="1463"/>
      <c r="G29" s="1461" t="s">
        <v>300</v>
      </c>
      <c r="H29" s="1461"/>
      <c r="I29" s="1461"/>
      <c r="J29" s="1461"/>
      <c r="K29" s="1460">
        <v>0.1</v>
      </c>
      <c r="L29" s="1460"/>
      <c r="M29" s="1460"/>
      <c r="N29" s="506">
        <f>사업수지표!AL24</f>
        <v>96000000</v>
      </c>
      <c r="O29" s="559"/>
      <c r="P29" s="494"/>
      <c r="Q29" s="494"/>
      <c r="R29" s="494"/>
      <c r="S29" s="494"/>
      <c r="T29" s="494"/>
      <c r="U29" s="494"/>
      <c r="V29" s="494"/>
      <c r="W29" s="494"/>
      <c r="X29" s="494"/>
      <c r="Y29" s="494"/>
      <c r="Z29" s="494"/>
      <c r="AA29" s="494"/>
      <c r="AB29" s="494"/>
      <c r="AC29" s="494"/>
      <c r="AD29" s="494"/>
      <c r="AE29" s="494"/>
      <c r="AF29" s="494"/>
      <c r="AG29" s="494"/>
      <c r="AH29" s="494"/>
      <c r="AI29" s="495"/>
      <c r="AJ29" s="494"/>
      <c r="AK29" s="494"/>
      <c r="AL29" s="496"/>
      <c r="AM29" s="496"/>
      <c r="AN29" s="496"/>
      <c r="AO29" s="496"/>
      <c r="AP29" s="496"/>
      <c r="AQ29" s="494"/>
      <c r="AR29" s="494"/>
      <c r="AS29" s="494"/>
      <c r="AT29" s="494"/>
      <c r="AU29" s="494"/>
      <c r="AV29" s="494"/>
      <c r="AW29" s="494"/>
      <c r="AX29" s="494"/>
      <c r="AY29" s="494"/>
      <c r="AZ29" s="494"/>
      <c r="BA29" s="496"/>
      <c r="BB29" s="496"/>
      <c r="BC29" s="496"/>
      <c r="BD29" s="496"/>
      <c r="BE29" s="496" t="e">
        <f t="shared" ref="BE29" si="94">$N$29*BE12</f>
        <v>#REF!</v>
      </c>
      <c r="BF29" s="496" t="e">
        <f t="shared" ref="BF29:BH29" si="95">$N$29*BF11</f>
        <v>#REF!</v>
      </c>
      <c r="BG29" s="496" t="e">
        <f t="shared" si="95"/>
        <v>#REF!</v>
      </c>
      <c r="BH29" s="496" t="e">
        <f t="shared" si="95"/>
        <v>#REF!</v>
      </c>
      <c r="BI29" s="496" t="e">
        <f>$N$29*BI11</f>
        <v>#REF!</v>
      </c>
      <c r="BJ29" s="496" t="e">
        <f t="shared" ref="BJ29:BP29" si="96">$N$29*BJ11</f>
        <v>#REF!</v>
      </c>
      <c r="BK29" s="496" t="e">
        <f t="shared" si="96"/>
        <v>#REF!</v>
      </c>
      <c r="BL29" s="496" t="e">
        <f t="shared" si="96"/>
        <v>#REF!</v>
      </c>
      <c r="BM29" s="496" t="e">
        <f t="shared" si="96"/>
        <v>#REF!</v>
      </c>
      <c r="BN29" s="496" t="e">
        <f t="shared" ref="BN29" si="97">$N$29*BN11</f>
        <v>#REF!</v>
      </c>
      <c r="BO29" s="496" t="e">
        <f t="shared" si="96"/>
        <v>#REF!</v>
      </c>
      <c r="BP29" s="496" t="e">
        <f t="shared" si="96"/>
        <v>#REF!</v>
      </c>
      <c r="BQ29" s="496"/>
      <c r="BR29" s="496"/>
      <c r="BS29" s="496"/>
      <c r="BT29" s="496"/>
      <c r="BU29" s="496"/>
      <c r="BV29" s="496"/>
      <c r="BW29" s="496"/>
      <c r="BX29" s="496"/>
      <c r="BY29" s="487">
        <v>2.6800000000000001E-2</v>
      </c>
      <c r="BZ29" s="113">
        <f t="shared" si="56"/>
        <v>-95999999.973199993</v>
      </c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</row>
    <row r="30" spans="1:161" s="57" customFormat="1" ht="269.25" hidden="1" customHeight="1">
      <c r="A30" s="1477"/>
      <c r="B30" s="1463"/>
      <c r="C30" s="1463"/>
      <c r="D30" s="1463"/>
      <c r="E30" s="1463"/>
      <c r="F30" s="1463"/>
      <c r="G30" s="1461" t="s">
        <v>301</v>
      </c>
      <c r="H30" s="1461"/>
      <c r="I30" s="1461"/>
      <c r="J30" s="1461"/>
      <c r="K30" s="1460">
        <v>0.1</v>
      </c>
      <c r="L30" s="1460"/>
      <c r="M30" s="1460"/>
      <c r="N30" s="506">
        <f>사업수지표!AL25</f>
        <v>13969158</v>
      </c>
      <c r="O30" s="559"/>
      <c r="P30" s="494"/>
      <c r="Q30" s="494"/>
      <c r="R30" s="494"/>
      <c r="S30" s="494"/>
      <c r="T30" s="494"/>
      <c r="U30" s="494"/>
      <c r="V30" s="494"/>
      <c r="W30" s="494"/>
      <c r="X30" s="494"/>
      <c r="Y30" s="494"/>
      <c r="Z30" s="494"/>
      <c r="AA30" s="494"/>
      <c r="AB30" s="494"/>
      <c r="AC30" s="494"/>
      <c r="AD30" s="494"/>
      <c r="AE30" s="494"/>
      <c r="AF30" s="494"/>
      <c r="AG30" s="494"/>
      <c r="AH30" s="494"/>
      <c r="AI30" s="495"/>
      <c r="AJ30" s="494"/>
      <c r="AK30" s="494"/>
      <c r="AL30" s="496"/>
      <c r="AM30" s="496"/>
      <c r="AN30" s="496"/>
      <c r="AO30" s="496"/>
      <c r="AP30" s="496"/>
      <c r="AQ30" s="494"/>
      <c r="AR30" s="494"/>
      <c r="AS30" s="494"/>
      <c r="AT30" s="494"/>
      <c r="AU30" s="494"/>
      <c r="AV30" s="494"/>
      <c r="AW30" s="494"/>
      <c r="AX30" s="494"/>
      <c r="AY30" s="494"/>
      <c r="AZ30" s="494"/>
      <c r="BA30" s="496"/>
      <c r="BB30" s="496"/>
      <c r="BC30" s="496"/>
      <c r="BD30" s="496"/>
      <c r="BE30" s="496"/>
      <c r="BF30" s="496"/>
      <c r="BG30" s="496"/>
      <c r="BH30" s="496" t="e">
        <f t="shared" ref="BH30" si="98">$N$30*BH12</f>
        <v>#REF!</v>
      </c>
      <c r="BI30" s="496" t="e">
        <f t="shared" ref="BI30:BK30" si="99">$N$30*BI11</f>
        <v>#REF!</v>
      </c>
      <c r="BJ30" s="496" t="e">
        <f t="shared" si="99"/>
        <v>#REF!</v>
      </c>
      <c r="BK30" s="496" t="e">
        <f t="shared" si="99"/>
        <v>#REF!</v>
      </c>
      <c r="BL30" s="496" t="e">
        <f>$N$30*BL11</f>
        <v>#REF!</v>
      </c>
      <c r="BM30" s="496" t="e">
        <f t="shared" ref="BM30:BP30" si="100">$N$30*BM11</f>
        <v>#REF!</v>
      </c>
      <c r="BN30" s="496" t="e">
        <f t="shared" ref="BN30" si="101">$N$30*BN11</f>
        <v>#REF!</v>
      </c>
      <c r="BO30" s="496" t="e">
        <f t="shared" si="100"/>
        <v>#REF!</v>
      </c>
      <c r="BP30" s="496" t="e">
        <f t="shared" si="100"/>
        <v>#REF!</v>
      </c>
      <c r="BQ30" s="496"/>
      <c r="BR30" s="496"/>
      <c r="BS30" s="496"/>
      <c r="BT30" s="496"/>
      <c r="BU30" s="496"/>
      <c r="BV30" s="496"/>
      <c r="BW30" s="496"/>
      <c r="BX30" s="496"/>
      <c r="BY30" s="487">
        <v>2.6800000000000001E-2</v>
      </c>
      <c r="BZ30" s="113">
        <f t="shared" si="56"/>
        <v>-13969157.973200001</v>
      </c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</row>
    <row r="31" spans="1:161" s="57" customFormat="1" ht="269.25" hidden="1" customHeight="1">
      <c r="A31" s="1477"/>
      <c r="B31" s="1463"/>
      <c r="C31" s="1463"/>
      <c r="D31" s="1463"/>
      <c r="E31" s="1463"/>
      <c r="F31" s="1463"/>
      <c r="G31" s="1461" t="s">
        <v>302</v>
      </c>
      <c r="H31" s="1461"/>
      <c r="I31" s="1461"/>
      <c r="J31" s="1461"/>
      <c r="K31" s="1460">
        <v>0.3</v>
      </c>
      <c r="L31" s="1460"/>
      <c r="M31" s="1460"/>
      <c r="N31" s="506">
        <f>사업수지표!AL28</f>
        <v>1603249.0080000001</v>
      </c>
      <c r="O31" s="559"/>
      <c r="P31" s="494"/>
      <c r="Q31" s="494"/>
      <c r="R31" s="494"/>
      <c r="S31" s="494"/>
      <c r="T31" s="494"/>
      <c r="U31" s="494"/>
      <c r="V31" s="494"/>
      <c r="W31" s="494"/>
      <c r="X31" s="494"/>
      <c r="Y31" s="494"/>
      <c r="Z31" s="494"/>
      <c r="AA31" s="494"/>
      <c r="AB31" s="494"/>
      <c r="AC31" s="494"/>
      <c r="AD31" s="494"/>
      <c r="AE31" s="494"/>
      <c r="AF31" s="494"/>
      <c r="AG31" s="494"/>
      <c r="AH31" s="494"/>
      <c r="AI31" s="495"/>
      <c r="AJ31" s="494"/>
      <c r="AK31" s="494"/>
      <c r="AL31" s="496"/>
      <c r="AM31" s="496"/>
      <c r="AN31" s="496"/>
      <c r="AO31" s="496"/>
      <c r="AP31" s="496"/>
      <c r="AQ31" s="494"/>
      <c r="AR31" s="494"/>
      <c r="AS31" s="494"/>
      <c r="AT31" s="494"/>
      <c r="AU31" s="494"/>
      <c r="AV31" s="494"/>
      <c r="AW31" s="494"/>
      <c r="AX31" s="494"/>
      <c r="AY31" s="494"/>
      <c r="AZ31" s="494"/>
      <c r="BA31" s="494"/>
      <c r="BB31" s="494"/>
      <c r="BC31" s="494"/>
      <c r="BD31" s="494"/>
      <c r="BE31" s="494"/>
      <c r="BF31" s="494"/>
      <c r="BG31" s="494"/>
      <c r="BH31" s="494"/>
      <c r="BI31" s="494"/>
      <c r="BJ31" s="494"/>
      <c r="BK31" s="496" t="e">
        <f>$N$31*BK12*5%</f>
        <v>#REF!</v>
      </c>
      <c r="BL31" s="496" t="e">
        <f>$N$31*BL12*40%</f>
        <v>#REF!</v>
      </c>
      <c r="BM31" s="496" t="e">
        <f>$N$31*BM12*55%</f>
        <v>#REF!</v>
      </c>
      <c r="BN31" s="496" t="e">
        <f>$N$31*BN12*55%</f>
        <v>#REF!</v>
      </c>
      <c r="BO31" s="496"/>
      <c r="BP31" s="496"/>
      <c r="BQ31" s="496"/>
      <c r="BR31" s="496"/>
      <c r="BS31" s="496"/>
      <c r="BT31" s="496"/>
      <c r="BU31" s="496"/>
      <c r="BV31" s="496"/>
      <c r="BW31" s="496"/>
      <c r="BX31" s="496"/>
      <c r="BY31" s="487">
        <v>2.6800000000000001E-2</v>
      </c>
      <c r="BZ31" s="113">
        <f t="shared" si="56"/>
        <v>-1603248.9812</v>
      </c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</row>
    <row r="32" spans="1:161" s="57" customFormat="1" ht="269.25" hidden="1" customHeight="1">
      <c r="A32" s="1477"/>
      <c r="B32" s="1463"/>
      <c r="C32" s="1463"/>
      <c r="D32" s="1463"/>
      <c r="E32" s="1463"/>
      <c r="F32" s="1464"/>
      <c r="G32" s="1488" t="s">
        <v>303</v>
      </c>
      <c r="H32" s="1489"/>
      <c r="I32" s="1489"/>
      <c r="J32" s="1489"/>
      <c r="K32" s="1489"/>
      <c r="L32" s="1489"/>
      <c r="M32" s="1489"/>
      <c r="N32" s="506">
        <f>사업수지표!AL29</f>
        <v>3882030.63</v>
      </c>
      <c r="O32" s="559"/>
      <c r="P32" s="507"/>
      <c r="Q32" s="507"/>
      <c r="R32" s="507"/>
      <c r="S32" s="507"/>
      <c r="T32" s="507"/>
      <c r="U32" s="507"/>
      <c r="V32" s="507"/>
      <c r="W32" s="507"/>
      <c r="X32" s="507">
        <f t="shared" ref="X32:BP32" si="102">SUM(X24:X31)</f>
        <v>0</v>
      </c>
      <c r="Y32" s="507">
        <f t="shared" si="102"/>
        <v>0</v>
      </c>
      <c r="Z32" s="507"/>
      <c r="AA32" s="507"/>
      <c r="AB32" s="507"/>
      <c r="AC32" s="507"/>
      <c r="AD32" s="507"/>
      <c r="AE32" s="507"/>
      <c r="AF32" s="507"/>
      <c r="AG32" s="507"/>
      <c r="AH32" s="507">
        <f t="shared" si="102"/>
        <v>0</v>
      </c>
      <c r="AI32" s="508">
        <f t="shared" si="102"/>
        <v>0</v>
      </c>
      <c r="AJ32" s="507">
        <f t="shared" si="102"/>
        <v>0</v>
      </c>
      <c r="AK32" s="507">
        <f t="shared" si="102"/>
        <v>0</v>
      </c>
      <c r="AL32" s="509" t="e">
        <f t="shared" si="102"/>
        <v>#REF!</v>
      </c>
      <c r="AM32" s="509"/>
      <c r="AN32" s="509"/>
      <c r="AO32" s="509"/>
      <c r="AP32" s="509"/>
      <c r="AQ32" s="507" t="e">
        <f t="shared" si="102"/>
        <v>#REF!</v>
      </c>
      <c r="AR32" s="507" t="e">
        <f t="shared" si="102"/>
        <v>#REF!</v>
      </c>
      <c r="AS32" s="507" t="e">
        <f t="shared" si="102"/>
        <v>#REF!</v>
      </c>
      <c r="AT32" s="507" t="e">
        <f t="shared" si="102"/>
        <v>#REF!</v>
      </c>
      <c r="AU32" s="507" t="e">
        <f t="shared" si="102"/>
        <v>#REF!</v>
      </c>
      <c r="AV32" s="507" t="e">
        <f t="shared" si="102"/>
        <v>#REF!</v>
      </c>
      <c r="AW32" s="507" t="e">
        <f t="shared" si="102"/>
        <v>#REF!</v>
      </c>
      <c r="AX32" s="507" t="e">
        <f t="shared" si="102"/>
        <v>#REF!</v>
      </c>
      <c r="AY32" s="507" t="e">
        <f t="shared" si="102"/>
        <v>#REF!</v>
      </c>
      <c r="AZ32" s="507" t="e">
        <f t="shared" si="102"/>
        <v>#REF!</v>
      </c>
      <c r="BA32" s="507" t="e">
        <f t="shared" si="102"/>
        <v>#REF!</v>
      </c>
      <c r="BB32" s="507" t="e">
        <f t="shared" si="102"/>
        <v>#REF!</v>
      </c>
      <c r="BC32" s="507" t="e">
        <f t="shared" si="102"/>
        <v>#REF!</v>
      </c>
      <c r="BD32" s="507" t="e">
        <f t="shared" si="102"/>
        <v>#REF!</v>
      </c>
      <c r="BE32" s="507" t="e">
        <f t="shared" si="102"/>
        <v>#REF!</v>
      </c>
      <c r="BF32" s="507" t="e">
        <f t="shared" si="102"/>
        <v>#REF!</v>
      </c>
      <c r="BG32" s="507" t="e">
        <f t="shared" si="102"/>
        <v>#REF!</v>
      </c>
      <c r="BH32" s="507" t="e">
        <f t="shared" si="102"/>
        <v>#REF!</v>
      </c>
      <c r="BI32" s="507" t="e">
        <f t="shared" si="102"/>
        <v>#REF!</v>
      </c>
      <c r="BJ32" s="507" t="e">
        <f t="shared" si="102"/>
        <v>#REF!</v>
      </c>
      <c r="BK32" s="507" t="e">
        <f t="shared" si="102"/>
        <v>#REF!</v>
      </c>
      <c r="BL32" s="507" t="e">
        <f t="shared" si="102"/>
        <v>#REF!</v>
      </c>
      <c r="BM32" s="507" t="e">
        <f t="shared" si="102"/>
        <v>#REF!</v>
      </c>
      <c r="BN32" s="507" t="e">
        <f t="shared" ref="BN32" si="103">SUM(BN24:BN31)</f>
        <v>#REF!</v>
      </c>
      <c r="BO32" s="507" t="e">
        <f t="shared" si="102"/>
        <v>#REF!</v>
      </c>
      <c r="BP32" s="507" t="e">
        <f t="shared" si="102"/>
        <v>#REF!</v>
      </c>
      <c r="BQ32" s="507"/>
      <c r="BR32" s="507"/>
      <c r="BS32" s="507"/>
      <c r="BT32" s="507"/>
      <c r="BU32" s="507"/>
      <c r="BV32" s="507"/>
      <c r="BW32" s="507"/>
      <c r="BX32" s="507"/>
      <c r="BY32" s="487">
        <v>2.6800000000000001E-2</v>
      </c>
      <c r="BZ32" s="113">
        <f t="shared" si="56"/>
        <v>-3882030.6031999998</v>
      </c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</row>
    <row r="33" spans="1:161" s="53" customFormat="1" ht="15" customHeight="1">
      <c r="A33" s="1477"/>
      <c r="B33" s="1462" t="str">
        <f>B13</f>
        <v>상가</v>
      </c>
      <c r="C33" s="1483"/>
      <c r="D33" s="1483"/>
      <c r="E33" s="1483"/>
      <c r="F33" s="1483"/>
      <c r="G33" s="1461" t="s">
        <v>304</v>
      </c>
      <c r="H33" s="1461"/>
      <c r="I33" s="1461"/>
      <c r="J33" s="1461"/>
      <c r="K33" s="1460">
        <v>0.1</v>
      </c>
      <c r="L33" s="1460"/>
      <c r="M33" s="1460"/>
      <c r="N33" s="807">
        <f>K33*$N$39</f>
        <v>757598.45000000007</v>
      </c>
      <c r="O33" s="559"/>
      <c r="P33" s="494"/>
      <c r="Q33" s="494"/>
      <c r="R33" s="494"/>
      <c r="S33" s="494"/>
      <c r="T33" s="494"/>
      <c r="U33" s="494"/>
      <c r="V33" s="494"/>
      <c r="W33" s="494"/>
      <c r="X33" s="494"/>
      <c r="Y33" s="494"/>
      <c r="Z33" s="494"/>
      <c r="AA33" s="494"/>
      <c r="AB33" s="494"/>
      <c r="AC33" s="494"/>
      <c r="AD33" s="494"/>
      <c r="AE33" s="494"/>
      <c r="AF33" s="494"/>
      <c r="AG33" s="494"/>
      <c r="AH33" s="494"/>
      <c r="AI33" s="495"/>
      <c r="AJ33" s="494"/>
      <c r="AK33" s="494"/>
      <c r="AL33" s="496"/>
      <c r="AM33" s="496"/>
      <c r="AN33" s="496"/>
      <c r="AO33" s="496"/>
      <c r="AP33" s="496"/>
      <c r="AQ33" s="496">
        <f>N33*AQ13</f>
        <v>151519.69000000003</v>
      </c>
      <c r="AR33" s="496">
        <f>N33*AR13</f>
        <v>37879.922500000008</v>
      </c>
      <c r="AS33" s="496">
        <f>N33*AS13</f>
        <v>37879.922500000008</v>
      </c>
      <c r="AT33" s="496">
        <f>N33*AT13</f>
        <v>37879.922500000008</v>
      </c>
      <c r="AU33" s="496">
        <f>N33*AU13</f>
        <v>37879.922500000008</v>
      </c>
      <c r="AV33" s="496">
        <f>$N$33*AV13</f>
        <v>37879.922500000008</v>
      </c>
      <c r="AW33" s="496">
        <f t="shared" ref="AW33:BD33" si="104">$N$33*AW13</f>
        <v>37879.922500000008</v>
      </c>
      <c r="AX33" s="496">
        <f t="shared" si="104"/>
        <v>37879.922500000008</v>
      </c>
      <c r="AY33" s="496">
        <f t="shared" si="104"/>
        <v>75759.845000000016</v>
      </c>
      <c r="AZ33" s="496">
        <f t="shared" si="104"/>
        <v>37879.922500000008</v>
      </c>
      <c r="BA33" s="496">
        <f t="shared" si="104"/>
        <v>37879.922500000008</v>
      </c>
      <c r="BB33" s="496">
        <f t="shared" si="104"/>
        <v>37879.922500000008</v>
      </c>
      <c r="BC33" s="496">
        <f t="shared" si="104"/>
        <v>37879.922500000008</v>
      </c>
      <c r="BD33" s="496">
        <f t="shared" si="104"/>
        <v>37879.922500000008</v>
      </c>
      <c r="BE33" s="496">
        <f t="shared" ref="BE33:BK33" si="105">$N$33*BE13</f>
        <v>0</v>
      </c>
      <c r="BF33" s="496">
        <f t="shared" si="105"/>
        <v>37879.922500000008</v>
      </c>
      <c r="BG33" s="496">
        <f t="shared" si="105"/>
        <v>0</v>
      </c>
      <c r="BH33" s="496">
        <f t="shared" si="105"/>
        <v>37879.922500000008</v>
      </c>
      <c r="BI33" s="496">
        <f t="shared" si="105"/>
        <v>0</v>
      </c>
      <c r="BJ33" s="496">
        <f t="shared" si="105"/>
        <v>0</v>
      </c>
      <c r="BK33" s="496">
        <f t="shared" si="105"/>
        <v>0</v>
      </c>
      <c r="BL33" s="496"/>
      <c r="BM33" s="496"/>
      <c r="BN33" s="496"/>
      <c r="BO33" s="496"/>
      <c r="BP33" s="496"/>
      <c r="BQ33" s="496"/>
      <c r="BR33" s="496"/>
      <c r="BS33" s="496">
        <f t="shared" ref="BS33:BX33" si="106">BS13*$N$33</f>
        <v>0</v>
      </c>
      <c r="BT33" s="496">
        <f t="shared" si="106"/>
        <v>0</v>
      </c>
      <c r="BU33" s="496">
        <f t="shared" si="106"/>
        <v>0</v>
      </c>
      <c r="BV33" s="496">
        <f t="shared" si="106"/>
        <v>0</v>
      </c>
      <c r="BW33" s="496">
        <f t="shared" si="106"/>
        <v>0</v>
      </c>
      <c r="BX33" s="496">
        <f t="shared" si="106"/>
        <v>0</v>
      </c>
      <c r="BY33" s="511">
        <f>SUM(P33:BO33)</f>
        <v>757598.45</v>
      </c>
      <c r="BZ33" s="113">
        <f t="shared" si="56"/>
        <v>0</v>
      </c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</row>
    <row r="34" spans="1:161" s="53" customFormat="1" ht="15" customHeight="1">
      <c r="A34" s="1477"/>
      <c r="B34" s="1483"/>
      <c r="C34" s="1483"/>
      <c r="D34" s="1483"/>
      <c r="E34" s="1483"/>
      <c r="F34" s="1483"/>
      <c r="G34" s="1461" t="s">
        <v>295</v>
      </c>
      <c r="H34" s="1461"/>
      <c r="I34" s="1461"/>
      <c r="J34" s="1461"/>
      <c r="K34" s="1460">
        <v>0.1</v>
      </c>
      <c r="L34" s="1460"/>
      <c r="M34" s="1460"/>
      <c r="N34" s="807">
        <f t="shared" ref="N34:N38" si="107">K34*$N$39</f>
        <v>757598.45000000007</v>
      </c>
      <c r="O34" s="559"/>
      <c r="P34" s="494"/>
      <c r="Q34" s="494"/>
      <c r="R34" s="494"/>
      <c r="S34" s="494"/>
      <c r="T34" s="494"/>
      <c r="U34" s="494"/>
      <c r="V34" s="494"/>
      <c r="W34" s="494"/>
      <c r="X34" s="494"/>
      <c r="Y34" s="494"/>
      <c r="Z34" s="494"/>
      <c r="AA34" s="494"/>
      <c r="AB34" s="494"/>
      <c r="AC34" s="494"/>
      <c r="AD34" s="494"/>
      <c r="AE34" s="494"/>
      <c r="AF34" s="494"/>
      <c r="AG34" s="494"/>
      <c r="AH34" s="494"/>
      <c r="AI34" s="495"/>
      <c r="AJ34" s="494"/>
      <c r="AK34" s="494"/>
      <c r="AL34" s="496"/>
      <c r="AM34" s="496"/>
      <c r="AN34" s="496"/>
      <c r="AO34" s="496"/>
      <c r="AP34" s="496"/>
      <c r="AQ34" s="494"/>
      <c r="AR34" s="494"/>
      <c r="AS34" s="494"/>
      <c r="AT34" s="496"/>
      <c r="AU34" s="494"/>
      <c r="AV34" s="496">
        <f>N34*AV14</f>
        <v>340919.30249999999</v>
      </c>
      <c r="AW34" s="494">
        <f>N34*AW13</f>
        <v>37879.922500000008</v>
      </c>
      <c r="AX34" s="494">
        <f>N34*AX13</f>
        <v>37879.922500000008</v>
      </c>
      <c r="AY34" s="494">
        <f>N34*AY13</f>
        <v>75759.845000000016</v>
      </c>
      <c r="AZ34" s="496">
        <f>N34*AZ13</f>
        <v>37879.922500000008</v>
      </c>
      <c r="BA34" s="496">
        <f>N34*BA13</f>
        <v>37879.922500000008</v>
      </c>
      <c r="BB34" s="496">
        <f>N34*BB13</f>
        <v>37879.922500000008</v>
      </c>
      <c r="BC34" s="496">
        <f>N34*BC13</f>
        <v>37879.922500000008</v>
      </c>
      <c r="BD34" s="496">
        <f>N34*BD13</f>
        <v>37879.922500000008</v>
      </c>
      <c r="BE34" s="496">
        <f>N34*BE13</f>
        <v>0</v>
      </c>
      <c r="BF34" s="496">
        <f>N34*BF13</f>
        <v>37879.922500000008</v>
      </c>
      <c r="BG34" s="496">
        <f>N34*BG13</f>
        <v>0</v>
      </c>
      <c r="BH34" s="496">
        <f>N34*BH13</f>
        <v>37879.922500000008</v>
      </c>
      <c r="BI34" s="496">
        <f>X34*BI13</f>
        <v>0</v>
      </c>
      <c r="BJ34" s="496">
        <f>Y34*BJ13</f>
        <v>0</v>
      </c>
      <c r="BK34" s="496"/>
      <c r="BL34" s="496"/>
      <c r="BM34" s="496"/>
      <c r="BN34" s="496"/>
      <c r="BO34" s="496"/>
      <c r="BP34" s="496"/>
      <c r="BQ34" s="496"/>
      <c r="BR34" s="496"/>
      <c r="BS34" s="496"/>
      <c r="BT34" s="496"/>
      <c r="BU34" s="496"/>
      <c r="BV34" s="496"/>
      <c r="BW34" s="496"/>
      <c r="BX34" s="496"/>
      <c r="BY34" s="511">
        <f>SUM(P34:BO34)</f>
        <v>757598.45</v>
      </c>
      <c r="BZ34" s="113">
        <f t="shared" si="56"/>
        <v>0</v>
      </c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</row>
    <row r="35" spans="1:161" s="53" customFormat="1" ht="15" customHeight="1">
      <c r="A35" s="1477"/>
      <c r="B35" s="1483"/>
      <c r="C35" s="1483"/>
      <c r="D35" s="1483"/>
      <c r="E35" s="1483"/>
      <c r="F35" s="1483"/>
      <c r="G35" s="1461" t="s">
        <v>305</v>
      </c>
      <c r="H35" s="1461"/>
      <c r="I35" s="1461"/>
      <c r="J35" s="1461"/>
      <c r="K35" s="1460">
        <v>0.1</v>
      </c>
      <c r="L35" s="1460"/>
      <c r="M35" s="1460"/>
      <c r="N35" s="807">
        <f t="shared" si="107"/>
        <v>757598.45000000007</v>
      </c>
      <c r="O35" s="559"/>
      <c r="P35" s="494"/>
      <c r="Q35" s="494"/>
      <c r="R35" s="494"/>
      <c r="S35" s="494"/>
      <c r="T35" s="494"/>
      <c r="U35" s="494"/>
      <c r="V35" s="494"/>
      <c r="W35" s="494"/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5"/>
      <c r="AJ35" s="494"/>
      <c r="AK35" s="494"/>
      <c r="AL35" s="496"/>
      <c r="AM35" s="496"/>
      <c r="AN35" s="496"/>
      <c r="AO35" s="496"/>
      <c r="AP35" s="496"/>
      <c r="AQ35" s="494"/>
      <c r="AR35" s="494"/>
      <c r="AS35" s="494"/>
      <c r="AT35" s="494"/>
      <c r="AU35" s="494"/>
      <c r="AV35" s="496"/>
      <c r="AW35" s="494"/>
      <c r="AX35" s="496"/>
      <c r="AY35" s="494"/>
      <c r="AZ35" s="496"/>
      <c r="BA35" s="496">
        <f>N35*BA14</f>
        <v>568198.83750000002</v>
      </c>
      <c r="BB35" s="496">
        <f>N35*BB13</f>
        <v>37879.922500000008</v>
      </c>
      <c r="BC35" s="496">
        <f>N35*BC13</f>
        <v>37879.922500000008</v>
      </c>
      <c r="BD35" s="496">
        <f>N35*BD13</f>
        <v>37879.922500000008</v>
      </c>
      <c r="BE35" s="496"/>
      <c r="BF35" s="496">
        <f>N35*BF13</f>
        <v>37879.922500000008</v>
      </c>
      <c r="BG35" s="496"/>
      <c r="BH35" s="496">
        <f>N35*BH13</f>
        <v>37879.922500000008</v>
      </c>
      <c r="BI35" s="496"/>
      <c r="BJ35" s="496"/>
      <c r="BK35" s="496"/>
      <c r="BL35" s="496"/>
      <c r="BM35" s="496"/>
      <c r="BN35" s="496"/>
      <c r="BO35" s="496"/>
      <c r="BP35" s="496"/>
      <c r="BQ35" s="496"/>
      <c r="BR35" s="496"/>
      <c r="BS35" s="496"/>
      <c r="BT35" s="496"/>
      <c r="BU35" s="496"/>
      <c r="BV35" s="496"/>
      <c r="BW35" s="496"/>
      <c r="BX35" s="496"/>
      <c r="BY35" s="511">
        <f t="shared" ref="BY35:BY38" si="108">SUM(P35:BO35)</f>
        <v>757598.45</v>
      </c>
      <c r="BZ35" s="113">
        <f t="shared" si="56"/>
        <v>0</v>
      </c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</row>
    <row r="36" spans="1:161" s="53" customFormat="1" ht="15" customHeight="1">
      <c r="A36" s="1477"/>
      <c r="B36" s="1483"/>
      <c r="C36" s="1483"/>
      <c r="D36" s="1483"/>
      <c r="E36" s="1483"/>
      <c r="F36" s="1483"/>
      <c r="G36" s="1461" t="s">
        <v>306</v>
      </c>
      <c r="H36" s="1461"/>
      <c r="I36" s="1461"/>
      <c r="J36" s="1461"/>
      <c r="K36" s="1460">
        <v>0.1</v>
      </c>
      <c r="L36" s="1460"/>
      <c r="M36" s="1460"/>
      <c r="N36" s="807">
        <f t="shared" si="107"/>
        <v>757598.45000000007</v>
      </c>
      <c r="O36" s="559"/>
      <c r="P36" s="494"/>
      <c r="Q36" s="494"/>
      <c r="R36" s="494"/>
      <c r="S36" s="494"/>
      <c r="T36" s="494"/>
      <c r="U36" s="494"/>
      <c r="V36" s="494"/>
      <c r="W36" s="494"/>
      <c r="X36" s="494"/>
      <c r="Y36" s="494"/>
      <c r="Z36" s="494"/>
      <c r="AA36" s="494"/>
      <c r="AB36" s="494"/>
      <c r="AC36" s="494"/>
      <c r="AD36" s="494"/>
      <c r="AE36" s="494"/>
      <c r="AF36" s="494"/>
      <c r="AG36" s="494"/>
      <c r="AH36" s="494"/>
      <c r="AI36" s="495"/>
      <c r="AJ36" s="494"/>
      <c r="AK36" s="494"/>
      <c r="AL36" s="496"/>
      <c r="AM36" s="496"/>
      <c r="AN36" s="496"/>
      <c r="AO36" s="496"/>
      <c r="AP36" s="496"/>
      <c r="AQ36" s="494"/>
      <c r="AR36" s="494"/>
      <c r="AS36" s="494"/>
      <c r="AT36" s="494"/>
      <c r="AU36" s="494"/>
      <c r="AV36" s="496"/>
      <c r="AW36" s="494"/>
      <c r="AX36" s="494"/>
      <c r="AY36" s="494"/>
      <c r="AZ36" s="496"/>
      <c r="BA36" s="496"/>
      <c r="BB36" s="496"/>
      <c r="BC36" s="496"/>
      <c r="BD36" s="496"/>
      <c r="BE36" s="496">
        <f>N36*BE14</f>
        <v>681838.60500000021</v>
      </c>
      <c r="BF36" s="496">
        <f>N36*BF13</f>
        <v>37879.922500000008</v>
      </c>
      <c r="BG36" s="496"/>
      <c r="BH36" s="496">
        <f>N36*BH13</f>
        <v>37879.922500000008</v>
      </c>
      <c r="BI36" s="496"/>
      <c r="BJ36" s="496"/>
      <c r="BK36" s="496"/>
      <c r="BL36" s="496"/>
      <c r="BM36" s="496"/>
      <c r="BN36" s="496"/>
      <c r="BO36" s="496"/>
      <c r="BP36" s="496"/>
      <c r="BQ36" s="496"/>
      <c r="BR36" s="496"/>
      <c r="BS36" s="496"/>
      <c r="BT36" s="496"/>
      <c r="BU36" s="496"/>
      <c r="BV36" s="496"/>
      <c r="BW36" s="496"/>
      <c r="BX36" s="496"/>
      <c r="BY36" s="511">
        <f t="shared" si="108"/>
        <v>757598.45000000019</v>
      </c>
      <c r="BZ36" s="113">
        <f t="shared" si="56"/>
        <v>0</v>
      </c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</row>
    <row r="37" spans="1:161" s="53" customFormat="1" ht="15" customHeight="1">
      <c r="A37" s="1477"/>
      <c r="B37" s="1483"/>
      <c r="C37" s="1483"/>
      <c r="D37" s="1483"/>
      <c r="E37" s="1483"/>
      <c r="F37" s="1483"/>
      <c r="G37" s="1461" t="s">
        <v>307</v>
      </c>
      <c r="H37" s="1461"/>
      <c r="I37" s="1461"/>
      <c r="J37" s="1461"/>
      <c r="K37" s="1460">
        <v>0.1</v>
      </c>
      <c r="L37" s="1460"/>
      <c r="M37" s="1460"/>
      <c r="N37" s="807">
        <f t="shared" si="107"/>
        <v>757598.45000000007</v>
      </c>
      <c r="O37" s="559"/>
      <c r="P37" s="494"/>
      <c r="Q37" s="494"/>
      <c r="R37" s="494"/>
      <c r="S37" s="494"/>
      <c r="T37" s="494"/>
      <c r="U37" s="494"/>
      <c r="V37" s="494"/>
      <c r="W37" s="494"/>
      <c r="X37" s="494"/>
      <c r="Y37" s="494"/>
      <c r="Z37" s="494"/>
      <c r="AA37" s="494"/>
      <c r="AB37" s="494"/>
      <c r="AC37" s="494"/>
      <c r="AD37" s="494"/>
      <c r="AE37" s="494"/>
      <c r="AF37" s="494"/>
      <c r="AG37" s="494"/>
      <c r="AH37" s="494"/>
      <c r="AI37" s="495"/>
      <c r="AJ37" s="494"/>
      <c r="AK37" s="494"/>
      <c r="AL37" s="496"/>
      <c r="AM37" s="494"/>
      <c r="AN37" s="494"/>
      <c r="AO37" s="494"/>
      <c r="AP37" s="494"/>
      <c r="AQ37" s="494"/>
      <c r="AR37" s="494"/>
      <c r="AS37" s="494"/>
      <c r="AT37" s="494"/>
      <c r="AU37" s="494"/>
      <c r="AV37" s="496"/>
      <c r="AW37" s="494"/>
      <c r="AX37" s="494"/>
      <c r="AY37" s="494"/>
      <c r="AZ37" s="494"/>
      <c r="BA37" s="494"/>
      <c r="BB37" s="496"/>
      <c r="BC37" s="496"/>
      <c r="BD37" s="496"/>
      <c r="BE37" s="496"/>
      <c r="BF37" s="496"/>
      <c r="BG37" s="496"/>
      <c r="BH37" s="496"/>
      <c r="BI37" s="496">
        <f>N37*BI14</f>
        <v>757598.45000000019</v>
      </c>
      <c r="BJ37" s="496"/>
      <c r="BK37" s="496"/>
      <c r="BL37" s="496"/>
      <c r="BM37" s="496"/>
      <c r="BN37" s="496"/>
      <c r="BO37" s="496"/>
      <c r="BP37" s="496"/>
      <c r="BQ37" s="496"/>
      <c r="BR37" s="496"/>
      <c r="BS37" s="496"/>
      <c r="BT37" s="496"/>
      <c r="BU37" s="496"/>
      <c r="BV37" s="496"/>
      <c r="BW37" s="496"/>
      <c r="BX37" s="496"/>
      <c r="BY37" s="511">
        <f t="shared" si="108"/>
        <v>757598.45000000019</v>
      </c>
      <c r="BZ37" s="113">
        <f t="shared" si="56"/>
        <v>0</v>
      </c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</row>
    <row r="38" spans="1:161" s="53" customFormat="1" ht="15" customHeight="1">
      <c r="A38" s="1477"/>
      <c r="B38" s="1483"/>
      <c r="C38" s="1483"/>
      <c r="D38" s="1483"/>
      <c r="E38" s="1483"/>
      <c r="F38" s="1483"/>
      <c r="G38" s="1461" t="s">
        <v>308</v>
      </c>
      <c r="H38" s="1461"/>
      <c r="I38" s="1461"/>
      <c r="J38" s="1461"/>
      <c r="K38" s="1460">
        <v>0.5</v>
      </c>
      <c r="L38" s="1460"/>
      <c r="M38" s="1460"/>
      <c r="N38" s="807">
        <f t="shared" si="107"/>
        <v>3787992.25</v>
      </c>
      <c r="O38" s="559"/>
      <c r="P38" s="494"/>
      <c r="Q38" s="494"/>
      <c r="R38" s="494"/>
      <c r="S38" s="494"/>
      <c r="T38" s="494"/>
      <c r="U38" s="494"/>
      <c r="V38" s="494"/>
      <c r="W38" s="494"/>
      <c r="X38" s="494"/>
      <c r="Y38" s="494"/>
      <c r="Z38" s="810"/>
      <c r="AA38" s="810"/>
      <c r="AB38" s="810"/>
      <c r="AC38" s="810"/>
      <c r="AD38" s="810"/>
      <c r="AE38" s="810"/>
      <c r="AF38" s="810"/>
      <c r="AG38" s="810"/>
      <c r="AH38" s="810"/>
      <c r="AI38" s="810"/>
      <c r="AJ38" s="810"/>
      <c r="AK38" s="810"/>
      <c r="AL38" s="810"/>
      <c r="AM38" s="810"/>
      <c r="AN38" s="810"/>
      <c r="AO38" s="810"/>
      <c r="AP38" s="810"/>
      <c r="AQ38" s="810"/>
      <c r="AR38" s="810"/>
      <c r="AS38" s="810"/>
      <c r="AT38" s="810"/>
      <c r="AU38" s="810"/>
      <c r="AV38" s="810"/>
      <c r="AW38" s="810"/>
      <c r="AX38" s="810"/>
      <c r="AY38" s="810"/>
      <c r="AZ38" s="810"/>
      <c r="BA38" s="810"/>
      <c r="BB38" s="810"/>
      <c r="BC38" s="810"/>
      <c r="BD38" s="810"/>
      <c r="BE38" s="810"/>
      <c r="BF38" s="810"/>
      <c r="BG38" s="810"/>
      <c r="BH38" s="810"/>
      <c r="BI38" s="810"/>
      <c r="BJ38" s="810"/>
      <c r="BK38" s="810"/>
      <c r="BL38" s="810">
        <f>N38*50%</f>
        <v>1893996.125</v>
      </c>
      <c r="BM38" s="810">
        <f>N38*50%</f>
        <v>1893996.125</v>
      </c>
      <c r="BN38" s="810"/>
      <c r="BO38" s="496"/>
      <c r="BP38" s="496"/>
      <c r="BQ38" s="496"/>
      <c r="BR38" s="496"/>
      <c r="BS38" s="496"/>
      <c r="BT38" s="496"/>
      <c r="BU38" s="496"/>
      <c r="BV38" s="496"/>
      <c r="BW38" s="496"/>
      <c r="BX38" s="496"/>
      <c r="BY38" s="511">
        <f t="shared" si="108"/>
        <v>3787992.25</v>
      </c>
      <c r="BZ38" s="113">
        <f t="shared" si="56"/>
        <v>0</v>
      </c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</row>
    <row r="39" spans="1:161" s="746" customFormat="1" ht="15" customHeight="1">
      <c r="A39" s="1477"/>
      <c r="B39" s="1483"/>
      <c r="C39" s="1483"/>
      <c r="D39" s="1483"/>
      <c r="E39" s="1483"/>
      <c r="F39" s="1484"/>
      <c r="G39" s="1485" t="s">
        <v>410</v>
      </c>
      <c r="H39" s="1486"/>
      <c r="I39" s="1486"/>
      <c r="J39" s="1486"/>
      <c r="K39" s="1486"/>
      <c r="L39" s="1486"/>
      <c r="M39" s="1486"/>
      <c r="N39" s="738">
        <f>사업수지표!AL21</f>
        <v>7575984.5</v>
      </c>
      <c r="O39" s="739"/>
      <c r="P39" s="740"/>
      <c r="Q39" s="740"/>
      <c r="R39" s="740"/>
      <c r="S39" s="740"/>
      <c r="T39" s="740"/>
      <c r="U39" s="740"/>
      <c r="V39" s="740"/>
      <c r="W39" s="740"/>
      <c r="X39" s="740"/>
      <c r="Y39" s="740"/>
      <c r="Z39" s="811"/>
      <c r="AA39" s="811"/>
      <c r="AB39" s="811"/>
      <c r="AC39" s="811"/>
      <c r="AD39" s="811"/>
      <c r="AE39" s="811"/>
      <c r="AF39" s="811"/>
      <c r="AG39" s="811"/>
      <c r="AH39" s="811"/>
      <c r="AI39" s="811"/>
      <c r="AJ39" s="811"/>
      <c r="AK39" s="811"/>
      <c r="AL39" s="811"/>
      <c r="AM39" s="811"/>
      <c r="AN39" s="811"/>
      <c r="AO39" s="811"/>
      <c r="AP39" s="811">
        <f t="shared" ref="AP39:BX39" si="109">SUM(AP33:AP38)</f>
        <v>0</v>
      </c>
      <c r="AQ39" s="811">
        <f t="shared" si="109"/>
        <v>151519.69000000003</v>
      </c>
      <c r="AR39" s="811">
        <f t="shared" si="109"/>
        <v>37879.922500000008</v>
      </c>
      <c r="AS39" s="811">
        <f t="shared" si="109"/>
        <v>37879.922500000008</v>
      </c>
      <c r="AT39" s="811">
        <f t="shared" si="109"/>
        <v>37879.922500000008</v>
      </c>
      <c r="AU39" s="811">
        <f t="shared" si="109"/>
        <v>37879.922500000008</v>
      </c>
      <c r="AV39" s="811">
        <f t="shared" si="109"/>
        <v>378799.22499999998</v>
      </c>
      <c r="AW39" s="811">
        <f t="shared" si="109"/>
        <v>75759.845000000016</v>
      </c>
      <c r="AX39" s="811">
        <f t="shared" si="109"/>
        <v>75759.845000000016</v>
      </c>
      <c r="AY39" s="811">
        <f t="shared" si="109"/>
        <v>151519.69000000003</v>
      </c>
      <c r="AZ39" s="811">
        <f t="shared" si="109"/>
        <v>75759.845000000016</v>
      </c>
      <c r="BA39" s="811">
        <f t="shared" si="109"/>
        <v>643958.6825</v>
      </c>
      <c r="BB39" s="811">
        <f t="shared" si="109"/>
        <v>113639.76750000002</v>
      </c>
      <c r="BC39" s="811">
        <f t="shared" si="109"/>
        <v>113639.76750000002</v>
      </c>
      <c r="BD39" s="811">
        <f t="shared" si="109"/>
        <v>113639.76750000002</v>
      </c>
      <c r="BE39" s="811">
        <f t="shared" si="109"/>
        <v>681838.60500000021</v>
      </c>
      <c r="BF39" s="811">
        <f t="shared" si="109"/>
        <v>151519.69000000003</v>
      </c>
      <c r="BG39" s="811">
        <f t="shared" si="109"/>
        <v>0</v>
      </c>
      <c r="BH39" s="811">
        <f t="shared" si="109"/>
        <v>151519.69000000003</v>
      </c>
      <c r="BI39" s="811">
        <f t="shared" si="109"/>
        <v>757598.45000000019</v>
      </c>
      <c r="BJ39" s="811">
        <f t="shared" si="109"/>
        <v>0</v>
      </c>
      <c r="BK39" s="811">
        <f t="shared" si="109"/>
        <v>0</v>
      </c>
      <c r="BL39" s="811">
        <f t="shared" si="109"/>
        <v>1893996.125</v>
      </c>
      <c r="BM39" s="811">
        <f t="shared" si="109"/>
        <v>1893996.125</v>
      </c>
      <c r="BN39" s="811">
        <f t="shared" si="109"/>
        <v>0</v>
      </c>
      <c r="BO39" s="808">
        <f t="shared" si="109"/>
        <v>0</v>
      </c>
      <c r="BP39" s="808">
        <f t="shared" si="109"/>
        <v>0</v>
      </c>
      <c r="BQ39" s="808">
        <f t="shared" si="109"/>
        <v>0</v>
      </c>
      <c r="BR39" s="808">
        <f t="shared" si="109"/>
        <v>0</v>
      </c>
      <c r="BS39" s="808">
        <f t="shared" si="109"/>
        <v>0</v>
      </c>
      <c r="BT39" s="808">
        <f t="shared" si="109"/>
        <v>0</v>
      </c>
      <c r="BU39" s="808">
        <f t="shared" si="109"/>
        <v>0</v>
      </c>
      <c r="BV39" s="808">
        <f t="shared" si="109"/>
        <v>0</v>
      </c>
      <c r="BW39" s="808">
        <f t="shared" si="109"/>
        <v>0</v>
      </c>
      <c r="BX39" s="808">
        <f t="shared" si="109"/>
        <v>0</v>
      </c>
      <c r="BY39" s="742">
        <f>SUM(P39:BO39)</f>
        <v>7575984.5000000009</v>
      </c>
      <c r="BZ39" s="743">
        <f t="shared" si="56"/>
        <v>0</v>
      </c>
      <c r="CA39" s="744"/>
      <c r="CB39" s="744"/>
      <c r="CC39" s="744"/>
      <c r="CD39" s="744"/>
      <c r="CE39" s="744"/>
      <c r="CF39" s="744"/>
      <c r="CG39" s="744"/>
      <c r="CH39" s="744"/>
      <c r="CI39" s="744"/>
      <c r="CJ39" s="744"/>
      <c r="CK39" s="744"/>
      <c r="CL39" s="744"/>
      <c r="CM39" s="744"/>
      <c r="CN39" s="744"/>
      <c r="CO39" s="744"/>
      <c r="CP39" s="745"/>
      <c r="CQ39" s="745"/>
      <c r="CR39" s="745"/>
      <c r="CS39" s="745"/>
      <c r="CT39" s="745"/>
      <c r="CU39" s="745"/>
      <c r="CV39" s="745"/>
      <c r="CW39" s="745"/>
      <c r="CX39" s="745"/>
      <c r="CY39" s="745"/>
      <c r="CZ39" s="745"/>
      <c r="DA39" s="745"/>
      <c r="DB39" s="745"/>
      <c r="DC39" s="745"/>
      <c r="DD39" s="745"/>
      <c r="DE39" s="745"/>
      <c r="DF39" s="745"/>
      <c r="DG39" s="745"/>
      <c r="DH39" s="745"/>
      <c r="DI39" s="745"/>
      <c r="DJ39" s="745"/>
      <c r="DK39" s="745"/>
      <c r="DL39" s="745"/>
      <c r="DM39" s="745"/>
      <c r="DN39" s="745"/>
      <c r="DO39" s="745"/>
      <c r="DP39" s="745"/>
      <c r="DQ39" s="745"/>
      <c r="DR39" s="745"/>
      <c r="DS39" s="745"/>
      <c r="DT39" s="745"/>
      <c r="DU39" s="745"/>
      <c r="DV39" s="745"/>
      <c r="DW39" s="745"/>
      <c r="DX39" s="745"/>
      <c r="DY39" s="745"/>
      <c r="DZ39" s="745"/>
      <c r="EA39" s="745"/>
      <c r="EB39" s="745"/>
      <c r="EC39" s="745"/>
      <c r="ED39" s="745"/>
      <c r="EE39" s="745"/>
      <c r="EF39" s="745"/>
      <c r="EG39" s="745"/>
      <c r="EH39" s="745"/>
      <c r="EI39" s="745"/>
      <c r="EJ39" s="745"/>
      <c r="EK39" s="745"/>
      <c r="EL39" s="745"/>
      <c r="EM39" s="745"/>
      <c r="EN39" s="745"/>
      <c r="EO39" s="745"/>
      <c r="EP39" s="745"/>
      <c r="EQ39" s="745"/>
      <c r="ER39" s="745"/>
      <c r="ES39" s="745"/>
      <c r="ET39" s="745"/>
      <c r="EU39" s="745"/>
      <c r="EV39" s="745"/>
      <c r="EW39" s="745"/>
      <c r="EX39" s="745"/>
      <c r="EY39" s="745"/>
      <c r="EZ39" s="745"/>
      <c r="FA39" s="745"/>
      <c r="FB39" s="745"/>
      <c r="FC39" s="745"/>
      <c r="FD39" s="745"/>
      <c r="FE39" s="745"/>
    </row>
    <row r="40" spans="1:161" s="57" customFormat="1" ht="15" customHeight="1">
      <c r="A40" s="1477"/>
      <c r="B40" s="1494" t="str">
        <f>[28]사업수지표!B25</f>
        <v xml:space="preserve">   발코니 확장</v>
      </c>
      <c r="C40" s="1495"/>
      <c r="D40" s="1495"/>
      <c r="E40" s="1495"/>
      <c r="F40" s="1496"/>
      <c r="G40" s="1461" t="s">
        <v>408</v>
      </c>
      <c r="H40" s="1461"/>
      <c r="I40" s="1461"/>
      <c r="J40" s="1461"/>
      <c r="K40" s="1460">
        <v>0.1</v>
      </c>
      <c r="L40" s="1460"/>
      <c r="M40" s="1460"/>
      <c r="N40" s="807">
        <f>N42*K40</f>
        <v>4147000</v>
      </c>
      <c r="O40" s="803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494">
        <f>AA9*$N$40</f>
        <v>829400</v>
      </c>
      <c r="AB40" s="494">
        <f t="shared" ref="AB40:BP40" si="110">AB9*$N$40</f>
        <v>414700</v>
      </c>
      <c r="AC40" s="494">
        <f t="shared" si="110"/>
        <v>207350</v>
      </c>
      <c r="AD40" s="494">
        <f t="shared" si="110"/>
        <v>207350</v>
      </c>
      <c r="AE40" s="494">
        <f t="shared" si="110"/>
        <v>414700</v>
      </c>
      <c r="AF40" s="494">
        <f t="shared" si="110"/>
        <v>124410</v>
      </c>
      <c r="AG40" s="494">
        <f t="shared" si="110"/>
        <v>82940</v>
      </c>
      <c r="AH40" s="494">
        <f t="shared" si="110"/>
        <v>165880</v>
      </c>
      <c r="AI40" s="494">
        <f t="shared" si="110"/>
        <v>124410</v>
      </c>
      <c r="AJ40" s="494">
        <f t="shared" si="110"/>
        <v>207350</v>
      </c>
      <c r="AK40" s="494">
        <f t="shared" si="110"/>
        <v>207350</v>
      </c>
      <c r="AL40" s="494">
        <f t="shared" si="110"/>
        <v>124410</v>
      </c>
      <c r="AM40" s="494">
        <f t="shared" si="110"/>
        <v>124410</v>
      </c>
      <c r="AN40" s="494">
        <f t="shared" si="110"/>
        <v>165880</v>
      </c>
      <c r="AO40" s="494">
        <f t="shared" si="110"/>
        <v>165880</v>
      </c>
      <c r="AP40" s="494">
        <f t="shared" si="110"/>
        <v>124410</v>
      </c>
      <c r="AQ40" s="494">
        <f t="shared" si="110"/>
        <v>124410</v>
      </c>
      <c r="AR40" s="494">
        <f t="shared" si="110"/>
        <v>41470</v>
      </c>
      <c r="AS40" s="494">
        <f t="shared" si="110"/>
        <v>41470</v>
      </c>
      <c r="AT40" s="494">
        <f t="shared" si="110"/>
        <v>41470</v>
      </c>
      <c r="AU40" s="494">
        <f t="shared" si="110"/>
        <v>41470</v>
      </c>
      <c r="AV40" s="494">
        <f t="shared" si="110"/>
        <v>41470</v>
      </c>
      <c r="AW40" s="494">
        <f t="shared" si="110"/>
        <v>41470</v>
      </c>
      <c r="AX40" s="494">
        <f t="shared" si="110"/>
        <v>41470</v>
      </c>
      <c r="AY40" s="494">
        <f t="shared" si="110"/>
        <v>0</v>
      </c>
      <c r="AZ40" s="494">
        <f t="shared" si="110"/>
        <v>0</v>
      </c>
      <c r="BA40" s="494">
        <f t="shared" si="110"/>
        <v>0</v>
      </c>
      <c r="BB40" s="494">
        <f t="shared" si="110"/>
        <v>0</v>
      </c>
      <c r="BC40" s="494">
        <f t="shared" si="110"/>
        <v>0</v>
      </c>
      <c r="BD40" s="494">
        <f t="shared" si="110"/>
        <v>0</v>
      </c>
      <c r="BE40" s="494">
        <f t="shared" si="110"/>
        <v>0</v>
      </c>
      <c r="BF40" s="494">
        <f t="shared" si="110"/>
        <v>0</v>
      </c>
      <c r="BG40" s="494">
        <f t="shared" si="110"/>
        <v>0</v>
      </c>
      <c r="BH40" s="494">
        <f t="shared" si="110"/>
        <v>0</v>
      </c>
      <c r="BI40" s="494">
        <f t="shared" si="110"/>
        <v>41470</v>
      </c>
      <c r="BJ40" s="494">
        <f t="shared" si="110"/>
        <v>0</v>
      </c>
      <c r="BK40" s="494">
        <f t="shared" si="110"/>
        <v>0</v>
      </c>
      <c r="BL40" s="494">
        <f t="shared" si="110"/>
        <v>0</v>
      </c>
      <c r="BM40" s="494">
        <f t="shared" si="110"/>
        <v>0</v>
      </c>
      <c r="BN40" s="494">
        <f t="shared" si="110"/>
        <v>0</v>
      </c>
      <c r="BO40" s="494">
        <f t="shared" si="110"/>
        <v>0</v>
      </c>
      <c r="BP40" s="494">
        <f t="shared" si="110"/>
        <v>0</v>
      </c>
      <c r="BQ40" s="521">
        <f>BQ9*N40</f>
        <v>0</v>
      </c>
      <c r="BR40" s="521">
        <f t="shared" ref="BR40:BX40" si="111">$N$40*BR9*10%</f>
        <v>0</v>
      </c>
      <c r="BS40" s="521">
        <f t="shared" si="111"/>
        <v>0</v>
      </c>
      <c r="BT40" s="521">
        <f t="shared" si="111"/>
        <v>0</v>
      </c>
      <c r="BU40" s="521">
        <f t="shared" si="111"/>
        <v>0</v>
      </c>
      <c r="BV40" s="521">
        <f t="shared" si="111"/>
        <v>0</v>
      </c>
      <c r="BW40" s="521">
        <f t="shared" si="111"/>
        <v>0</v>
      </c>
      <c r="BX40" s="521">
        <f t="shared" si="111"/>
        <v>0</v>
      </c>
      <c r="BY40" s="804">
        <f>SUM(P40:BO40)</f>
        <v>4147000</v>
      </c>
      <c r="BZ40" s="113">
        <f t="shared" si="56"/>
        <v>0</v>
      </c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</row>
    <row r="41" spans="1:161" s="57" customFormat="1" ht="15" customHeight="1">
      <c r="A41" s="1477"/>
      <c r="B41" s="1497"/>
      <c r="C41" s="1498"/>
      <c r="D41" s="1498"/>
      <c r="E41" s="1498"/>
      <c r="F41" s="1499"/>
      <c r="G41" s="1461" t="s">
        <v>409</v>
      </c>
      <c r="H41" s="1461"/>
      <c r="I41" s="1461"/>
      <c r="J41" s="1461"/>
      <c r="K41" s="1460">
        <v>0.9</v>
      </c>
      <c r="L41" s="1460"/>
      <c r="M41" s="1460"/>
      <c r="N41" s="807">
        <f>N42*K41</f>
        <v>37323000</v>
      </c>
      <c r="O41" s="803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  <c r="AA41" s="521"/>
      <c r="AB41" s="521"/>
      <c r="AC41" s="521"/>
      <c r="AD41" s="521"/>
      <c r="AE41" s="521"/>
      <c r="AF41" s="521"/>
      <c r="AG41" s="521"/>
      <c r="AH41" s="521"/>
      <c r="AI41" s="805"/>
      <c r="AJ41" s="521"/>
      <c r="AK41" s="521"/>
      <c r="AL41" s="806"/>
      <c r="AM41" s="521"/>
      <c r="AN41" s="521"/>
      <c r="AO41" s="521"/>
      <c r="AP41" s="521"/>
      <c r="AQ41" s="521"/>
      <c r="AR41" s="521"/>
      <c r="AS41" s="521"/>
      <c r="AT41" s="521"/>
      <c r="AU41" s="521"/>
      <c r="AV41" s="521"/>
      <c r="AW41" s="521"/>
      <c r="AX41" s="521"/>
      <c r="AY41" s="521"/>
      <c r="AZ41" s="521"/>
      <c r="BA41" s="521"/>
      <c r="BB41" s="521"/>
      <c r="BC41" s="521"/>
      <c r="BD41" s="521"/>
      <c r="BE41" s="521"/>
      <c r="BF41" s="521"/>
      <c r="BG41" s="521"/>
      <c r="BH41" s="521"/>
      <c r="BI41" s="521"/>
      <c r="BJ41" s="521"/>
      <c r="BK41" s="521"/>
      <c r="BL41" s="521">
        <f>N41*50%</f>
        <v>18661500</v>
      </c>
      <c r="BM41" s="521">
        <f>N41*50%</f>
        <v>18661500</v>
      </c>
      <c r="BN41" s="521"/>
      <c r="BO41" s="521"/>
      <c r="BP41" s="521"/>
      <c r="BQ41" s="521"/>
      <c r="BR41" s="521"/>
      <c r="BS41" s="521"/>
      <c r="BT41" s="521"/>
      <c r="BU41" s="521"/>
      <c r="BV41" s="521"/>
      <c r="BW41" s="521"/>
      <c r="BX41" s="521"/>
      <c r="BY41" s="804">
        <f>SUM(P41:BO41)</f>
        <v>37323000</v>
      </c>
      <c r="BZ41" s="113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</row>
    <row r="42" spans="1:161" s="746" customFormat="1" ht="15" customHeight="1">
      <c r="A42" s="1477"/>
      <c r="B42" s="1500"/>
      <c r="C42" s="1501"/>
      <c r="D42" s="1501"/>
      <c r="E42" s="1501"/>
      <c r="F42" s="1502"/>
      <c r="G42" s="1485" t="s">
        <v>410</v>
      </c>
      <c r="H42" s="1486"/>
      <c r="I42" s="1486"/>
      <c r="J42" s="1486"/>
      <c r="K42" s="1486"/>
      <c r="L42" s="1486"/>
      <c r="M42" s="1486"/>
      <c r="N42" s="802">
        <f>사업수지표!AL22</f>
        <v>41470000</v>
      </c>
      <c r="O42" s="809"/>
      <c r="P42" s="740">
        <f t="shared" ref="P42:AG42" si="112">SUM(P40:P41)</f>
        <v>0</v>
      </c>
      <c r="Q42" s="740">
        <f t="shared" si="112"/>
        <v>0</v>
      </c>
      <c r="R42" s="740">
        <f t="shared" si="112"/>
        <v>0</v>
      </c>
      <c r="S42" s="740">
        <f t="shared" si="112"/>
        <v>0</v>
      </c>
      <c r="T42" s="740">
        <f t="shared" si="112"/>
        <v>0</v>
      </c>
      <c r="U42" s="740">
        <f t="shared" si="112"/>
        <v>0</v>
      </c>
      <c r="V42" s="740">
        <f t="shared" si="112"/>
        <v>0</v>
      </c>
      <c r="W42" s="740">
        <f t="shared" si="112"/>
        <v>0</v>
      </c>
      <c r="X42" s="740">
        <f t="shared" si="112"/>
        <v>0</v>
      </c>
      <c r="Y42" s="740">
        <f t="shared" si="112"/>
        <v>0</v>
      </c>
      <c r="Z42" s="740">
        <f t="shared" si="112"/>
        <v>0</v>
      </c>
      <c r="AA42" s="740">
        <f t="shared" si="112"/>
        <v>829400</v>
      </c>
      <c r="AB42" s="740">
        <f t="shared" si="112"/>
        <v>414700</v>
      </c>
      <c r="AC42" s="740">
        <f t="shared" si="112"/>
        <v>207350</v>
      </c>
      <c r="AD42" s="740">
        <f t="shared" si="112"/>
        <v>207350</v>
      </c>
      <c r="AE42" s="740">
        <f t="shared" si="112"/>
        <v>414700</v>
      </c>
      <c r="AF42" s="740">
        <f t="shared" si="112"/>
        <v>124410</v>
      </c>
      <c r="AG42" s="740">
        <f t="shared" si="112"/>
        <v>82940</v>
      </c>
      <c r="AH42" s="740">
        <f t="shared" ref="AH42:AP42" si="113">SUM(AH40:AH41)</f>
        <v>165880</v>
      </c>
      <c r="AI42" s="740">
        <f t="shared" si="113"/>
        <v>124410</v>
      </c>
      <c r="AJ42" s="740">
        <f t="shared" si="113"/>
        <v>207350</v>
      </c>
      <c r="AK42" s="740">
        <f t="shared" si="113"/>
        <v>207350</v>
      </c>
      <c r="AL42" s="740">
        <f t="shared" si="113"/>
        <v>124410</v>
      </c>
      <c r="AM42" s="740">
        <f t="shared" si="113"/>
        <v>124410</v>
      </c>
      <c r="AN42" s="740">
        <f t="shared" si="113"/>
        <v>165880</v>
      </c>
      <c r="AO42" s="740">
        <f t="shared" si="113"/>
        <v>165880</v>
      </c>
      <c r="AP42" s="740">
        <f t="shared" si="113"/>
        <v>124410</v>
      </c>
      <c r="AQ42" s="740">
        <f>SUM(AQ40:AQ41)</f>
        <v>124410</v>
      </c>
      <c r="AR42" s="740">
        <f t="shared" ref="AR42" si="114">SUM(AR40:AR41)</f>
        <v>41470</v>
      </c>
      <c r="AS42" s="740">
        <f t="shared" ref="AS42" si="115">SUM(AS40:AS41)</f>
        <v>41470</v>
      </c>
      <c r="AT42" s="740">
        <f t="shared" ref="AT42" si="116">SUM(AT40:AT41)</f>
        <v>41470</v>
      </c>
      <c r="AU42" s="740">
        <f t="shared" ref="AU42" si="117">SUM(AU40:AU41)</f>
        <v>41470</v>
      </c>
      <c r="AV42" s="740">
        <f t="shared" ref="AV42" si="118">SUM(AV40:AV41)</f>
        <v>41470</v>
      </c>
      <c r="AW42" s="740">
        <f t="shared" ref="AW42" si="119">SUM(AW40:AW41)</f>
        <v>41470</v>
      </c>
      <c r="AX42" s="740">
        <f t="shared" ref="AX42" si="120">SUM(AX40:AX41)</f>
        <v>41470</v>
      </c>
      <c r="AY42" s="740">
        <f t="shared" ref="AY42" si="121">SUM(AY40:AY41)</f>
        <v>0</v>
      </c>
      <c r="AZ42" s="740">
        <f>SUM(AZ40:AZ41)</f>
        <v>0</v>
      </c>
      <c r="BA42" s="740">
        <f t="shared" ref="BA42" si="122">SUM(BA40:BA41)</f>
        <v>0</v>
      </c>
      <c r="BB42" s="740">
        <f t="shared" ref="BB42" si="123">SUM(BB40:BB41)</f>
        <v>0</v>
      </c>
      <c r="BC42" s="740">
        <f t="shared" ref="BC42" si="124">SUM(BC40:BC41)</f>
        <v>0</v>
      </c>
      <c r="BD42" s="740">
        <f t="shared" ref="BD42" si="125">SUM(BD40:BD41)</f>
        <v>0</v>
      </c>
      <c r="BE42" s="740">
        <f t="shared" ref="BE42" si="126">SUM(BE40:BE41)</f>
        <v>0</v>
      </c>
      <c r="BF42" s="740">
        <f t="shared" ref="BF42" si="127">SUM(BF40:BF41)</f>
        <v>0</v>
      </c>
      <c r="BG42" s="740">
        <f t="shared" ref="BG42" si="128">SUM(BG40:BG41)</f>
        <v>0</v>
      </c>
      <c r="BH42" s="740">
        <f t="shared" ref="BH42" si="129">SUM(BH40:BH41)</f>
        <v>0</v>
      </c>
      <c r="BI42" s="740">
        <f>SUM(BI40:BI41)</f>
        <v>41470</v>
      </c>
      <c r="BJ42" s="740">
        <f t="shared" ref="BJ42" si="130">SUM(BJ40:BJ41)</f>
        <v>0</v>
      </c>
      <c r="BK42" s="740"/>
      <c r="BL42" s="740">
        <f>SUM(BL40:BL41)</f>
        <v>18661500</v>
      </c>
      <c r="BM42" s="808">
        <f>SUM(BM40:BM41)</f>
        <v>18661500</v>
      </c>
      <c r="BN42" s="808">
        <f t="shared" ref="BN42:BP42" si="131">SUM(BN40:BN41)</f>
        <v>0</v>
      </c>
      <c r="BO42" s="808">
        <f t="shared" si="131"/>
        <v>0</v>
      </c>
      <c r="BP42" s="808">
        <f t="shared" si="131"/>
        <v>0</v>
      </c>
      <c r="BQ42" s="740"/>
      <c r="BR42" s="740"/>
      <c r="BS42" s="740"/>
      <c r="BT42" s="740"/>
      <c r="BU42" s="740"/>
      <c r="BV42" s="740"/>
      <c r="BW42" s="740"/>
      <c r="BX42" s="740"/>
      <c r="BY42" s="742">
        <f>SUM(P42:BO42)</f>
        <v>41470000</v>
      </c>
      <c r="BZ42" s="743"/>
      <c r="CA42" s="744"/>
      <c r="CB42" s="744"/>
      <c r="CC42" s="744"/>
      <c r="CD42" s="744"/>
      <c r="CE42" s="744"/>
      <c r="CF42" s="744"/>
      <c r="CG42" s="744"/>
      <c r="CH42" s="744"/>
      <c r="CI42" s="744"/>
      <c r="CJ42" s="744"/>
      <c r="CK42" s="744"/>
      <c r="CL42" s="744"/>
      <c r="CM42" s="744"/>
      <c r="CN42" s="744"/>
      <c r="CO42" s="744"/>
      <c r="CP42" s="745"/>
      <c r="CQ42" s="745"/>
      <c r="CR42" s="745"/>
      <c r="CS42" s="745"/>
      <c r="CT42" s="745"/>
      <c r="CU42" s="745"/>
      <c r="CV42" s="745"/>
      <c r="CW42" s="745"/>
      <c r="CX42" s="745"/>
      <c r="CY42" s="745"/>
      <c r="CZ42" s="745"/>
      <c r="DA42" s="745"/>
      <c r="DB42" s="745"/>
      <c r="DC42" s="745"/>
      <c r="DD42" s="745"/>
      <c r="DE42" s="745"/>
      <c r="DF42" s="745"/>
      <c r="DG42" s="745"/>
      <c r="DH42" s="745"/>
      <c r="DI42" s="745"/>
      <c r="DJ42" s="745"/>
      <c r="DK42" s="745"/>
      <c r="DL42" s="745"/>
      <c r="DM42" s="745"/>
      <c r="DN42" s="745"/>
      <c r="DO42" s="745"/>
      <c r="DP42" s="745"/>
      <c r="DQ42" s="745"/>
      <c r="DR42" s="745"/>
      <c r="DS42" s="745"/>
      <c r="DT42" s="745"/>
      <c r="DU42" s="745"/>
      <c r="DV42" s="745"/>
      <c r="DW42" s="745"/>
      <c r="DX42" s="745"/>
      <c r="DY42" s="745"/>
      <c r="DZ42" s="745"/>
      <c r="EA42" s="745"/>
      <c r="EB42" s="745"/>
      <c r="EC42" s="745"/>
      <c r="ED42" s="745"/>
      <c r="EE42" s="745"/>
      <c r="EF42" s="745"/>
      <c r="EG42" s="745"/>
      <c r="EH42" s="745"/>
      <c r="EI42" s="745"/>
      <c r="EJ42" s="745"/>
      <c r="EK42" s="745"/>
      <c r="EL42" s="745"/>
      <c r="EM42" s="745"/>
      <c r="EN42" s="745"/>
      <c r="EO42" s="745"/>
      <c r="EP42" s="745"/>
      <c r="EQ42" s="745"/>
      <c r="ER42" s="745"/>
      <c r="ES42" s="745"/>
      <c r="ET42" s="745"/>
      <c r="EU42" s="745"/>
      <c r="EV42" s="745"/>
      <c r="EW42" s="745"/>
      <c r="EX42" s="745"/>
      <c r="EY42" s="745"/>
      <c r="EZ42" s="745"/>
      <c r="FA42" s="745"/>
      <c r="FB42" s="745"/>
      <c r="FC42" s="745"/>
      <c r="FD42" s="745"/>
      <c r="FE42" s="745"/>
    </row>
    <row r="43" spans="1:161" s="57" customFormat="1" ht="15" customHeight="1" thickBot="1">
      <c r="A43" s="1478"/>
      <c r="B43" s="1561" t="s">
        <v>9</v>
      </c>
      <c r="C43" s="1562"/>
      <c r="D43" s="1562"/>
      <c r="E43" s="1562"/>
      <c r="F43" s="1562"/>
      <c r="G43" s="1562"/>
      <c r="H43" s="1562"/>
      <c r="I43" s="1562"/>
      <c r="J43" s="1562"/>
      <c r="K43" s="1562"/>
      <c r="L43" s="1562"/>
      <c r="M43" s="1562"/>
      <c r="N43" s="125">
        <f>사업수지표!AL23</f>
        <v>917079323.74999988</v>
      </c>
      <c r="O43" s="560"/>
      <c r="P43" s="124">
        <f>SUM(P23,P39:P40)</f>
        <v>0</v>
      </c>
      <c r="Q43" s="124"/>
      <c r="R43" s="124"/>
      <c r="S43" s="124"/>
      <c r="T43" s="124"/>
      <c r="U43" s="124"/>
      <c r="V43" s="124"/>
      <c r="W43" s="124"/>
      <c r="X43" s="124">
        <f t="shared" ref="X43:Y43" si="132">SUM(X23,X39:X40)</f>
        <v>0</v>
      </c>
      <c r="Y43" s="124">
        <f t="shared" si="132"/>
        <v>0</v>
      </c>
      <c r="Z43" s="124"/>
      <c r="AA43" s="124">
        <f>SUM(AA23,AA39,AA42)</f>
        <v>18190066.785</v>
      </c>
      <c r="AB43" s="124">
        <f t="shared" ref="AB43:AG43" si="133">SUM(AB23,AB39,AB42)</f>
        <v>9095033.3925000001</v>
      </c>
      <c r="AC43" s="124">
        <f t="shared" si="133"/>
        <v>4547516.69625</v>
      </c>
      <c r="AD43" s="124">
        <f t="shared" si="133"/>
        <v>4547516.69625</v>
      </c>
      <c r="AE43" s="124">
        <f t="shared" si="133"/>
        <v>9095033.3925000001</v>
      </c>
      <c r="AF43" s="124">
        <f t="shared" si="133"/>
        <v>2728510.0177499996</v>
      </c>
      <c r="AG43" s="124">
        <f t="shared" si="133"/>
        <v>49560840.337250002</v>
      </c>
      <c r="AH43" s="124">
        <f t="shared" ref="AH43:AI43" si="134">SUM(AH23,AH39,AH42)</f>
        <v>7110146.7139999997</v>
      </c>
      <c r="AI43" s="124">
        <f t="shared" si="134"/>
        <v>5332610.0354999993</v>
      </c>
      <c r="AJ43" s="124">
        <f t="shared" ref="AJ43" si="135">SUM(AJ23,AJ39,AJ42)</f>
        <v>8887683.3925000001</v>
      </c>
      <c r="AK43" s="124">
        <f t="shared" ref="AK43" si="136">SUM(AK23,AK39,AK42)</f>
        <v>8887683.3925000001</v>
      </c>
      <c r="AL43" s="124">
        <f t="shared" ref="AL43" si="137">SUM(AL23,AL39,AL42)</f>
        <v>5332610.0354999993</v>
      </c>
      <c r="AM43" s="124">
        <f t="shared" ref="AM43" si="138">SUM(AM23,AM39,AM42)</f>
        <v>73039210.497000024</v>
      </c>
      <c r="AN43" s="124">
        <f t="shared" ref="AN43" si="139">SUM(AN23,AN39,AN42)</f>
        <v>10582280.070999999</v>
      </c>
      <c r="AO43" s="124">
        <f t="shared" ref="AO43" si="140">SUM(AO23,AO39,AO42)</f>
        <v>10582280.070999999</v>
      </c>
      <c r="AP43" s="124">
        <f t="shared" ref="AP43" si="141">SUM(AP23,AP39,AP42)</f>
        <v>7936710.0532499989</v>
      </c>
      <c r="AQ43" s="124">
        <f t="shared" ref="AQ43" si="142">SUM(AQ23,AQ39,AQ42)</f>
        <v>8088229.7432499994</v>
      </c>
      <c r="AR43" s="124">
        <f t="shared" ref="AR43" si="143">SUM(AR23,AR39,AR42)</f>
        <v>2683449.9402499995</v>
      </c>
      <c r="AS43" s="124">
        <f t="shared" ref="AS43" si="144">SUM(AS23,AS39,AS42)</f>
        <v>84278583.829750031</v>
      </c>
      <c r="AT43" s="124">
        <f t="shared" ref="AT43" si="145">SUM(AT23,AT39,AT42)</f>
        <v>3551483.2794999997</v>
      </c>
      <c r="AU43" s="124">
        <f t="shared" ref="AU43" si="146">SUM(AU23,AU39,AU42)</f>
        <v>3551483.2794999997</v>
      </c>
      <c r="AV43" s="124">
        <f t="shared" ref="AV43" si="147">SUM(AV23,AV39,AV42)</f>
        <v>3892402.5819999999</v>
      </c>
      <c r="AW43" s="124">
        <f t="shared" ref="AW43" si="148">SUM(AW23,AW39,AW42)</f>
        <v>3589363.202</v>
      </c>
      <c r="AX43" s="124">
        <f t="shared" ref="AX43" si="149">SUM(AX23,AX39,AX42)</f>
        <v>3589363.202</v>
      </c>
      <c r="AY43" s="124">
        <f t="shared" ref="AY43" si="150">SUM(AY23,AY39,AY42)</f>
        <v>86086820.275750026</v>
      </c>
      <c r="AZ43" s="124">
        <f t="shared" ref="AZ43" si="151">SUM(AZ23,AZ39,AZ42)</f>
        <v>75759.845000000016</v>
      </c>
      <c r="BA43" s="124">
        <f t="shared" ref="BA43" si="152">SUM(BA23,BA39,BA42)</f>
        <v>643958.6825</v>
      </c>
      <c r="BB43" s="124">
        <f t="shared" ref="BB43" si="153">SUM(BB23,BB39,BB42)</f>
        <v>113639.76750000002</v>
      </c>
      <c r="BC43" s="124">
        <f t="shared" ref="BC43" si="154">SUM(BC23,BC39,BC42)</f>
        <v>113639.76750000002</v>
      </c>
      <c r="BD43" s="124">
        <f t="shared" ref="BD43" si="155">SUM(BD23,BD39,BD42)</f>
        <v>113639.76750000002</v>
      </c>
      <c r="BE43" s="124">
        <f t="shared" ref="BE43" si="156">SUM(BE23,BE39,BE42)</f>
        <v>86617139.190750033</v>
      </c>
      <c r="BF43" s="124">
        <f t="shared" ref="BF43" si="157">SUM(BF23,BF39,BF42)</f>
        <v>151519.69000000003</v>
      </c>
      <c r="BG43" s="124">
        <f t="shared" ref="BG43" si="158">SUM(BG23,BG39,BG42)</f>
        <v>0</v>
      </c>
      <c r="BH43" s="124">
        <f t="shared" ref="BH43" si="159">SUM(BH23,BH39,BH42)</f>
        <v>151519.69000000003</v>
      </c>
      <c r="BI43" s="124">
        <f t="shared" ref="BI43" si="160">SUM(BI23,BI39,BI42)</f>
        <v>92810602.41050005</v>
      </c>
      <c r="BJ43" s="124">
        <f t="shared" ref="BJ43" si="161">SUM(BJ23,BJ39,BJ42)</f>
        <v>0</v>
      </c>
      <c r="BK43" s="124">
        <f t="shared" ref="BK43" si="162">SUM(BK23,BK39,BK42)</f>
        <v>0</v>
      </c>
      <c r="BL43" s="124">
        <f t="shared" ref="BL43" si="163">SUM(BL23,BL39,BL42)</f>
        <v>150760497.01249999</v>
      </c>
      <c r="BM43" s="124">
        <f t="shared" ref="BM43" si="164">SUM(BM23,BM39,BM42)</f>
        <v>150760497.01249999</v>
      </c>
      <c r="BN43" s="124">
        <f t="shared" ref="BN43" si="165">SUM(BN23,BN39,BN42)</f>
        <v>0</v>
      </c>
      <c r="BO43" s="124">
        <f t="shared" ref="BO43" si="166">SUM(BO23,BO39,BO42)</f>
        <v>0</v>
      </c>
      <c r="BP43" s="124">
        <f t="shared" ref="BP43" si="167">SUM(BP23,BP39,BP42)</f>
        <v>0</v>
      </c>
      <c r="BQ43" s="124">
        <f t="shared" ref="BQ43" si="168">SUM(BQ23,BQ39,BQ42)</f>
        <v>0</v>
      </c>
      <c r="BR43" s="124">
        <f t="shared" ref="BR43" si="169">SUM(BR23,BR39,BR42)</f>
        <v>0</v>
      </c>
      <c r="BS43" s="124">
        <f t="shared" ref="BS43" si="170">SUM(BS23,BS39,BS42)</f>
        <v>0</v>
      </c>
      <c r="BT43" s="124">
        <f t="shared" ref="BT43" si="171">SUM(BT23,BT39,BT42)</f>
        <v>0</v>
      </c>
      <c r="BU43" s="124">
        <f t="shared" ref="BU43" si="172">SUM(BU23,BU39,BU42)</f>
        <v>0</v>
      </c>
      <c r="BV43" s="124">
        <f t="shared" ref="BV43" si="173">SUM(BV23,BV39,BV42)</f>
        <v>0</v>
      </c>
      <c r="BW43" s="124">
        <f t="shared" ref="BW43" si="174">SUM(BW23,BW39,BW42)</f>
        <v>0</v>
      </c>
      <c r="BX43" s="124">
        <f t="shared" ref="BX43" si="175">SUM(BX23,BX39,BX42)</f>
        <v>0</v>
      </c>
      <c r="BY43" s="513">
        <f>SUM(P43:BX43)</f>
        <v>917079323.75000024</v>
      </c>
      <c r="BZ43" s="113">
        <f>BY43-N43</f>
        <v>0</v>
      </c>
      <c r="CA43" s="71">
        <f>BY43/N43</f>
        <v>1.0000000000000004</v>
      </c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</row>
    <row r="44" spans="1:161" s="53" customFormat="1" ht="15" customHeight="1">
      <c r="A44" s="1625" t="s">
        <v>47</v>
      </c>
      <c r="B44" s="1563" t="s">
        <v>35</v>
      </c>
      <c r="C44" s="1564"/>
      <c r="D44" s="1569" t="str">
        <f>사업수지표!G24</f>
        <v>채권매입비용</v>
      </c>
      <c r="E44" s="1570"/>
      <c r="F44" s="1570"/>
      <c r="G44" s="1570"/>
      <c r="H44" s="1570"/>
      <c r="I44" s="1570"/>
      <c r="J44" s="1570"/>
      <c r="K44" s="1570"/>
      <c r="L44" s="1570"/>
      <c r="M44" s="1571"/>
      <c r="N44" s="98">
        <f>사업수지표!Z24</f>
        <v>96000000</v>
      </c>
      <c r="O44" s="563">
        <f>사업수지표!AR24</f>
        <v>0</v>
      </c>
      <c r="P44" s="137">
        <f>N44</f>
        <v>96000000</v>
      </c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518"/>
      <c r="BY44" s="514">
        <f t="shared" ref="BY44:BY51" si="176">SUM(O44:BQ44)</f>
        <v>96000000</v>
      </c>
      <c r="BZ44" s="113">
        <f>BY44-N44</f>
        <v>0</v>
      </c>
      <c r="CA44" s="71"/>
    </row>
    <row r="45" spans="1:161" s="53" customFormat="1" ht="15" customHeight="1">
      <c r="A45" s="1626"/>
      <c r="B45" s="1565"/>
      <c r="C45" s="1566"/>
      <c r="D45" s="1466" t="str">
        <f>사업수지표!G25</f>
        <v>토지비(공동주택)</v>
      </c>
      <c r="E45" s="1467"/>
      <c r="F45" s="1467"/>
      <c r="G45" s="1467"/>
      <c r="H45" s="1467"/>
      <c r="I45" s="1467"/>
      <c r="J45" s="1467"/>
      <c r="K45" s="1467"/>
      <c r="L45" s="1467"/>
      <c r="M45" s="1468"/>
      <c r="N45" s="138">
        <f>사업수지표!AL25</f>
        <v>13969158</v>
      </c>
      <c r="O45" s="564">
        <f>사업수지표!AR25</f>
        <v>0</v>
      </c>
      <c r="P45" s="494">
        <f>N45</f>
        <v>13969158</v>
      </c>
      <c r="Q45" s="494"/>
      <c r="R45" s="494"/>
      <c r="S45" s="494"/>
      <c r="T45" s="494"/>
      <c r="U45" s="494"/>
      <c r="V45" s="494"/>
      <c r="W45" s="494"/>
      <c r="X45" s="494"/>
      <c r="Y45" s="494"/>
      <c r="Z45" s="494"/>
      <c r="AA45" s="494"/>
      <c r="AB45" s="494"/>
      <c r="AC45" s="494"/>
      <c r="AD45" s="494"/>
      <c r="AE45" s="494"/>
      <c r="AF45" s="494"/>
      <c r="AG45" s="494"/>
      <c r="AH45" s="494"/>
      <c r="AI45" s="494"/>
      <c r="AJ45" s="494"/>
      <c r="AK45" s="494"/>
      <c r="AL45" s="494"/>
      <c r="AM45" s="494"/>
      <c r="AN45" s="494"/>
      <c r="AO45" s="494"/>
      <c r="AP45" s="494"/>
      <c r="AQ45" s="494"/>
      <c r="AR45" s="494"/>
      <c r="AS45" s="494"/>
      <c r="AT45" s="494"/>
      <c r="AU45" s="494"/>
      <c r="AV45" s="494"/>
      <c r="AW45" s="494"/>
      <c r="AX45" s="494"/>
      <c r="AY45" s="494"/>
      <c r="AZ45" s="494"/>
      <c r="BA45" s="494"/>
      <c r="BB45" s="494"/>
      <c r="BC45" s="494"/>
      <c r="BD45" s="494"/>
      <c r="BE45" s="494"/>
      <c r="BF45" s="494"/>
      <c r="BG45" s="494"/>
      <c r="BH45" s="494"/>
      <c r="BI45" s="494"/>
      <c r="BJ45" s="494"/>
      <c r="BK45" s="494"/>
      <c r="BL45" s="494"/>
      <c r="BM45" s="494"/>
      <c r="BN45" s="494"/>
      <c r="BO45" s="494"/>
      <c r="BP45" s="494"/>
      <c r="BQ45" s="494"/>
      <c r="BR45" s="494"/>
      <c r="BS45" s="494"/>
      <c r="BT45" s="494"/>
      <c r="BU45" s="494"/>
      <c r="BV45" s="494"/>
      <c r="BW45" s="494"/>
      <c r="BX45" s="519"/>
      <c r="BY45" s="514">
        <f t="shared" si="176"/>
        <v>13969158</v>
      </c>
      <c r="BZ45" s="113">
        <f>BY45-N45</f>
        <v>0</v>
      </c>
      <c r="CA45" s="71"/>
    </row>
    <row r="46" spans="1:161" s="53" customFormat="1" ht="11.25">
      <c r="A46" s="1626"/>
      <c r="B46" s="1565"/>
      <c r="C46" s="1566"/>
      <c r="D46" s="1466" t="str">
        <f>사업수지표!G26</f>
        <v>토지비(기반시설부지)</v>
      </c>
      <c r="E46" s="1467"/>
      <c r="F46" s="1467"/>
      <c r="G46" s="1467"/>
      <c r="H46" s="1467"/>
      <c r="I46" s="1467"/>
      <c r="J46" s="1467"/>
      <c r="K46" s="1467"/>
      <c r="L46" s="1467"/>
      <c r="M46" s="1468"/>
      <c r="N46" s="138">
        <f>사업수지표!AL26</f>
        <v>11960903</v>
      </c>
      <c r="O46" s="564"/>
      <c r="P46" s="494">
        <f>N46</f>
        <v>11960903</v>
      </c>
      <c r="Q46" s="494"/>
      <c r="R46" s="494"/>
      <c r="S46" s="494"/>
      <c r="T46" s="494"/>
      <c r="U46" s="494"/>
      <c r="V46" s="494"/>
      <c r="W46" s="494"/>
      <c r="X46" s="494"/>
      <c r="Y46" s="494"/>
      <c r="Z46" s="494"/>
      <c r="AA46" s="494"/>
      <c r="AB46" s="494"/>
      <c r="AC46" s="494"/>
      <c r="AD46" s="494"/>
      <c r="AE46" s="494"/>
      <c r="AF46" s="494"/>
      <c r="AG46" s="494"/>
      <c r="AH46" s="494"/>
      <c r="AI46" s="494"/>
      <c r="AJ46" s="494"/>
      <c r="AK46" s="494"/>
      <c r="AL46" s="494"/>
      <c r="AM46" s="494"/>
      <c r="AN46" s="494"/>
      <c r="AO46" s="494"/>
      <c r="AP46" s="494"/>
      <c r="AQ46" s="494"/>
      <c r="AR46" s="494"/>
      <c r="AS46" s="494"/>
      <c r="AT46" s="494"/>
      <c r="AU46" s="494"/>
      <c r="AV46" s="494"/>
      <c r="AW46" s="494"/>
      <c r="AX46" s="494"/>
      <c r="AY46" s="494"/>
      <c r="AZ46" s="494"/>
      <c r="BA46" s="494"/>
      <c r="BB46" s="494"/>
      <c r="BC46" s="494"/>
      <c r="BD46" s="494"/>
      <c r="BE46" s="494"/>
      <c r="BF46" s="494"/>
      <c r="BG46" s="494"/>
      <c r="BH46" s="494"/>
      <c r="BI46" s="494"/>
      <c r="BJ46" s="494"/>
      <c r="BK46" s="494"/>
      <c r="BL46" s="494"/>
      <c r="BM46" s="494"/>
      <c r="BN46" s="494"/>
      <c r="BO46" s="494"/>
      <c r="BP46" s="494"/>
      <c r="BQ46" s="494"/>
      <c r="BR46" s="494"/>
      <c r="BS46" s="494"/>
      <c r="BT46" s="494"/>
      <c r="BU46" s="494"/>
      <c r="BV46" s="494"/>
      <c r="BW46" s="494"/>
      <c r="BX46" s="519"/>
      <c r="BY46" s="514">
        <f t="shared" si="176"/>
        <v>11960903</v>
      </c>
      <c r="BZ46" s="113"/>
      <c r="CA46" s="71"/>
    </row>
    <row r="47" spans="1:161" s="53" customFormat="1" ht="15" customHeight="1">
      <c r="A47" s="1626"/>
      <c r="B47" s="1565"/>
      <c r="C47" s="1566"/>
      <c r="D47" s="1466" t="str">
        <f>사업수지표!G27</f>
        <v>토지비(211,222-2번지)</v>
      </c>
      <c r="E47" s="1467"/>
      <c r="F47" s="1467"/>
      <c r="G47" s="1467"/>
      <c r="H47" s="1467"/>
      <c r="I47" s="1467"/>
      <c r="J47" s="1467"/>
      <c r="K47" s="1467"/>
      <c r="L47" s="1467"/>
      <c r="M47" s="1468"/>
      <c r="N47" s="138">
        <f>사업수지표!AL27</f>
        <v>7470960</v>
      </c>
      <c r="O47" s="564"/>
      <c r="P47" s="494">
        <f>N47</f>
        <v>7470960</v>
      </c>
      <c r="Q47" s="494"/>
      <c r="R47" s="494"/>
      <c r="S47" s="494"/>
      <c r="T47" s="494"/>
      <c r="U47" s="494"/>
      <c r="V47" s="494"/>
      <c r="W47" s="494"/>
      <c r="X47" s="494"/>
      <c r="Y47" s="494"/>
      <c r="Z47" s="494"/>
      <c r="AA47" s="494"/>
      <c r="AB47" s="494"/>
      <c r="AC47" s="494"/>
      <c r="AD47" s="494"/>
      <c r="AE47" s="494"/>
      <c r="AF47" s="494"/>
      <c r="AG47" s="494"/>
      <c r="AH47" s="494"/>
      <c r="AI47" s="494"/>
      <c r="AJ47" s="494"/>
      <c r="AK47" s="494"/>
      <c r="AL47" s="494"/>
      <c r="AM47" s="494"/>
      <c r="AN47" s="494"/>
      <c r="AO47" s="494"/>
      <c r="AP47" s="494"/>
      <c r="AQ47" s="494"/>
      <c r="AR47" s="494"/>
      <c r="AS47" s="494"/>
      <c r="AT47" s="494"/>
      <c r="AU47" s="494"/>
      <c r="AV47" s="494"/>
      <c r="AW47" s="494"/>
      <c r="AX47" s="494"/>
      <c r="AY47" s="494"/>
      <c r="AZ47" s="494"/>
      <c r="BA47" s="494"/>
      <c r="BB47" s="494"/>
      <c r="BC47" s="494"/>
      <c r="BD47" s="494"/>
      <c r="BE47" s="494"/>
      <c r="BF47" s="494"/>
      <c r="BG47" s="494"/>
      <c r="BH47" s="494"/>
      <c r="BI47" s="494"/>
      <c r="BJ47" s="494"/>
      <c r="BK47" s="494"/>
      <c r="BL47" s="494"/>
      <c r="BM47" s="494"/>
      <c r="BN47" s="494"/>
      <c r="BO47" s="494"/>
      <c r="BP47" s="494"/>
      <c r="BQ47" s="494"/>
      <c r="BR47" s="494"/>
      <c r="BS47" s="494"/>
      <c r="BT47" s="494"/>
      <c r="BU47" s="494"/>
      <c r="BV47" s="494"/>
      <c r="BW47" s="494"/>
      <c r="BX47" s="519"/>
      <c r="BY47" s="514">
        <f t="shared" si="176"/>
        <v>7470960</v>
      </c>
      <c r="BZ47" s="113"/>
      <c r="CA47" s="71"/>
    </row>
    <row r="48" spans="1:161" s="53" customFormat="1" ht="15" customHeight="1">
      <c r="A48" s="1627"/>
      <c r="B48" s="1493"/>
      <c r="C48" s="1567"/>
      <c r="D48" s="1466" t="str">
        <f>사업수지표!G28</f>
        <v>취등록세</v>
      </c>
      <c r="E48" s="1467"/>
      <c r="F48" s="1467"/>
      <c r="G48" s="1467"/>
      <c r="H48" s="1467"/>
      <c r="I48" s="1467"/>
      <c r="J48" s="1467"/>
      <c r="K48" s="1467"/>
      <c r="L48" s="1467"/>
      <c r="M48" s="1468"/>
      <c r="N48" s="79">
        <f>사업수지표!AL28</f>
        <v>1603249.0080000001</v>
      </c>
      <c r="O48" s="564">
        <f>사업수지표!AR28</f>
        <v>0</v>
      </c>
      <c r="P48" s="494">
        <f>사업수지표!AS28</f>
        <v>1603249.0080000001</v>
      </c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4"/>
      <c r="AQ48" s="494"/>
      <c r="AR48" s="494"/>
      <c r="AS48" s="494"/>
      <c r="AT48" s="494"/>
      <c r="AU48" s="494"/>
      <c r="AV48" s="494"/>
      <c r="AW48" s="494"/>
      <c r="AX48" s="494"/>
      <c r="AY48" s="494"/>
      <c r="AZ48" s="494"/>
      <c r="BA48" s="494"/>
      <c r="BB48" s="494"/>
      <c r="BC48" s="494"/>
      <c r="BD48" s="494"/>
      <c r="BE48" s="494"/>
      <c r="BF48" s="494"/>
      <c r="BG48" s="494"/>
      <c r="BH48" s="494"/>
      <c r="BI48" s="494"/>
      <c r="BJ48" s="494"/>
      <c r="BK48" s="494"/>
      <c r="BL48" s="494"/>
      <c r="BM48" s="494"/>
      <c r="BN48" s="494"/>
      <c r="BO48" s="494"/>
      <c r="BP48" s="494"/>
      <c r="BQ48" s="494"/>
      <c r="BR48" s="494"/>
      <c r="BS48" s="494"/>
      <c r="BT48" s="494"/>
      <c r="BU48" s="494"/>
      <c r="BV48" s="494"/>
      <c r="BW48" s="494"/>
      <c r="BX48" s="519"/>
      <c r="BY48" s="514">
        <f t="shared" si="176"/>
        <v>1603249.0080000001</v>
      </c>
      <c r="BZ48" s="113">
        <f>BY48-N48</f>
        <v>0</v>
      </c>
      <c r="CA48" s="71"/>
    </row>
    <row r="49" spans="1:147" s="53" customFormat="1" ht="15" customHeight="1">
      <c r="A49" s="1627"/>
      <c r="B49" s="1493"/>
      <c r="C49" s="1568"/>
      <c r="D49" s="1466" t="str">
        <f>사업수지표!G29</f>
        <v>명도 및 보상비</v>
      </c>
      <c r="E49" s="1467"/>
      <c r="F49" s="1467"/>
      <c r="G49" s="1467"/>
      <c r="H49" s="1467"/>
      <c r="I49" s="1467"/>
      <c r="J49" s="1467"/>
      <c r="K49" s="1467"/>
      <c r="L49" s="1467"/>
      <c r="M49" s="1468"/>
      <c r="N49" s="79">
        <f>사업수지표!AL29</f>
        <v>3882030.63</v>
      </c>
      <c r="O49" s="564">
        <f>사업수지표!AR29</f>
        <v>0</v>
      </c>
      <c r="P49" s="494">
        <f>N49</f>
        <v>3882030.63</v>
      </c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  <c r="AO49" s="494"/>
      <c r="AP49" s="494"/>
      <c r="AQ49" s="494"/>
      <c r="AR49" s="494"/>
      <c r="AS49" s="494"/>
      <c r="AT49" s="494"/>
      <c r="AU49" s="494"/>
      <c r="AV49" s="494"/>
      <c r="AW49" s="494"/>
      <c r="AX49" s="494"/>
      <c r="AY49" s="494"/>
      <c r="AZ49" s="494"/>
      <c r="BA49" s="494"/>
      <c r="BB49" s="494"/>
      <c r="BC49" s="494"/>
      <c r="BD49" s="494"/>
      <c r="BE49" s="494"/>
      <c r="BF49" s="494"/>
      <c r="BG49" s="494"/>
      <c r="BH49" s="494"/>
      <c r="BI49" s="494"/>
      <c r="BJ49" s="494"/>
      <c r="BK49" s="494"/>
      <c r="BL49" s="494"/>
      <c r="BM49" s="494"/>
      <c r="BN49" s="494"/>
      <c r="BO49" s="494"/>
      <c r="BP49" s="494"/>
      <c r="BQ49" s="494"/>
      <c r="BR49" s="494"/>
      <c r="BS49" s="494"/>
      <c r="BT49" s="494"/>
      <c r="BU49" s="494"/>
      <c r="BV49" s="494"/>
      <c r="BW49" s="494"/>
      <c r="BX49" s="519"/>
      <c r="BY49" s="514">
        <f t="shared" si="176"/>
        <v>3882030.63</v>
      </c>
      <c r="BZ49" s="113">
        <f>BY49-N49</f>
        <v>0</v>
      </c>
      <c r="CA49" s="71"/>
    </row>
    <row r="50" spans="1:147" s="53" customFormat="1" ht="15" customHeight="1">
      <c r="A50" s="1627"/>
      <c r="B50" s="1493"/>
      <c r="C50" s="1568"/>
      <c r="D50" s="1466" t="str">
        <f>사업수지표!G31</f>
        <v>인허가 비용</v>
      </c>
      <c r="E50" s="1467"/>
      <c r="F50" s="1467"/>
      <c r="G50" s="1467"/>
      <c r="H50" s="1467"/>
      <c r="I50" s="1467"/>
      <c r="J50" s="1467"/>
      <c r="K50" s="1467"/>
      <c r="L50" s="1467"/>
      <c r="M50" s="1468"/>
      <c r="N50" s="79">
        <f>사업수지표!Z31</f>
        <v>5444723</v>
      </c>
      <c r="O50" s="561">
        <f>사업수지표!AR31</f>
        <v>5444723</v>
      </c>
      <c r="P50" s="494"/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494"/>
      <c r="AD50" s="494"/>
      <c r="AE50" s="494"/>
      <c r="AF50" s="494"/>
      <c r="AG50" s="494"/>
      <c r="AH50" s="494"/>
      <c r="AI50" s="494"/>
      <c r="AJ50" s="494"/>
      <c r="AK50" s="494"/>
      <c r="AL50" s="494"/>
      <c r="AM50" s="494"/>
      <c r="AN50" s="494"/>
      <c r="AO50" s="494"/>
      <c r="AP50" s="494"/>
      <c r="AQ50" s="494"/>
      <c r="AR50" s="494"/>
      <c r="AS50" s="494"/>
      <c r="AT50" s="494"/>
      <c r="AU50" s="494"/>
      <c r="AV50" s="494"/>
      <c r="AW50" s="494"/>
      <c r="AX50" s="494"/>
      <c r="AY50" s="494"/>
      <c r="AZ50" s="494"/>
      <c r="BA50" s="494"/>
      <c r="BB50" s="494"/>
      <c r="BC50" s="494"/>
      <c r="BD50" s="494"/>
      <c r="BE50" s="494"/>
      <c r="BF50" s="494"/>
      <c r="BG50" s="494"/>
      <c r="BH50" s="494"/>
      <c r="BI50" s="494"/>
      <c r="BJ50" s="494"/>
      <c r="BK50" s="494"/>
      <c r="BL50" s="494"/>
      <c r="BM50" s="494"/>
      <c r="BN50" s="494"/>
      <c r="BO50" s="494"/>
      <c r="BP50" s="494"/>
      <c r="BQ50" s="494"/>
      <c r="BR50" s="494"/>
      <c r="BS50" s="494"/>
      <c r="BT50" s="494"/>
      <c r="BU50" s="494"/>
      <c r="BV50" s="494"/>
      <c r="BW50" s="494"/>
      <c r="BX50" s="519"/>
      <c r="BY50" s="514">
        <f t="shared" si="176"/>
        <v>5444723</v>
      </c>
      <c r="BZ50" s="113"/>
      <c r="CA50" s="71"/>
    </row>
    <row r="51" spans="1:147" s="53" customFormat="1" ht="15" customHeight="1">
      <c r="A51" s="1627"/>
      <c r="B51" s="1493"/>
      <c r="C51" s="1568"/>
      <c r="D51" s="1466" t="str">
        <f>사업수지표!G30</f>
        <v>주식근질권해제비용</v>
      </c>
      <c r="E51" s="1467"/>
      <c r="F51" s="1467"/>
      <c r="G51" s="1467"/>
      <c r="H51" s="1467"/>
      <c r="I51" s="1467"/>
      <c r="J51" s="1467"/>
      <c r="K51" s="1467"/>
      <c r="L51" s="1467"/>
      <c r="M51" s="1468"/>
      <c r="N51" s="79">
        <f>사업수지표!AS30</f>
        <v>5000000</v>
      </c>
      <c r="O51" s="561"/>
      <c r="P51" s="494">
        <f>N51</f>
        <v>5000000</v>
      </c>
      <c r="Q51" s="494"/>
      <c r="R51" s="494"/>
      <c r="S51" s="494"/>
      <c r="T51" s="494"/>
      <c r="U51" s="494"/>
      <c r="V51" s="494"/>
      <c r="W51" s="494"/>
      <c r="X51" s="494"/>
      <c r="Y51" s="494"/>
      <c r="Z51" s="494"/>
      <c r="AA51" s="494"/>
      <c r="AB51" s="494"/>
      <c r="AC51" s="494"/>
      <c r="AD51" s="494"/>
      <c r="AE51" s="494"/>
      <c r="AF51" s="494"/>
      <c r="AG51" s="494"/>
      <c r="AH51" s="494"/>
      <c r="AI51" s="494"/>
      <c r="AJ51" s="494"/>
      <c r="AK51" s="494"/>
      <c r="AL51" s="494"/>
      <c r="AM51" s="494"/>
      <c r="AN51" s="494"/>
      <c r="AO51" s="494"/>
      <c r="AP51" s="494"/>
      <c r="AQ51" s="494"/>
      <c r="AR51" s="494"/>
      <c r="AS51" s="494"/>
      <c r="AT51" s="494"/>
      <c r="AU51" s="494"/>
      <c r="AV51" s="494"/>
      <c r="AW51" s="494"/>
      <c r="AX51" s="494"/>
      <c r="AY51" s="494"/>
      <c r="AZ51" s="494"/>
      <c r="BA51" s="494"/>
      <c r="BB51" s="494"/>
      <c r="BC51" s="494"/>
      <c r="BD51" s="494"/>
      <c r="BE51" s="494"/>
      <c r="BF51" s="494"/>
      <c r="BG51" s="494"/>
      <c r="BH51" s="494"/>
      <c r="BI51" s="494"/>
      <c r="BJ51" s="494"/>
      <c r="BK51" s="494"/>
      <c r="BL51" s="494"/>
      <c r="BM51" s="494"/>
      <c r="BN51" s="494"/>
      <c r="BO51" s="494"/>
      <c r="BP51" s="494"/>
      <c r="BQ51" s="494"/>
      <c r="BR51" s="494"/>
      <c r="BS51" s="494"/>
      <c r="BT51" s="494"/>
      <c r="BU51" s="494"/>
      <c r="BV51" s="494"/>
      <c r="BW51" s="494"/>
      <c r="BX51" s="519"/>
      <c r="BY51" s="514">
        <f t="shared" si="176"/>
        <v>5000000</v>
      </c>
      <c r="BZ51" s="113"/>
      <c r="CA51" s="71"/>
    </row>
    <row r="52" spans="1:147" s="746" customFormat="1" ht="15" customHeight="1">
      <c r="A52" s="1627"/>
      <c r="B52" s="1493"/>
      <c r="C52" s="1568"/>
      <c r="D52" s="1490" t="s">
        <v>141</v>
      </c>
      <c r="E52" s="1490"/>
      <c r="F52" s="1490"/>
      <c r="G52" s="1490"/>
      <c r="H52" s="1490"/>
      <c r="I52" s="1490"/>
      <c r="J52" s="1490"/>
      <c r="K52" s="1490"/>
      <c r="L52" s="1490"/>
      <c r="M52" s="1491"/>
      <c r="N52" s="747">
        <f>SUM(N44:N51)</f>
        <v>145331023.63800001</v>
      </c>
      <c r="O52" s="748">
        <f>SUM(O44:O50)</f>
        <v>5444723</v>
      </c>
      <c r="P52" s="748">
        <f>SUM(P44:P51)</f>
        <v>139886300.63800001</v>
      </c>
      <c r="Q52" s="748"/>
      <c r="R52" s="748"/>
      <c r="S52" s="748"/>
      <c r="T52" s="748"/>
      <c r="U52" s="748"/>
      <c r="V52" s="748"/>
      <c r="W52" s="748"/>
      <c r="X52" s="748">
        <f t="shared" ref="X52:BX52" si="177">SUM(X44:X49)</f>
        <v>0</v>
      </c>
      <c r="Y52" s="748">
        <f>SUM(Y44:Y51)</f>
        <v>0</v>
      </c>
      <c r="Z52" s="748">
        <f t="shared" ref="Z52:BP52" si="178">SUM(Z44:Z51)</f>
        <v>0</v>
      </c>
      <c r="AA52" s="748">
        <f t="shared" si="178"/>
        <v>0</v>
      </c>
      <c r="AB52" s="748">
        <f t="shared" si="178"/>
        <v>0</v>
      </c>
      <c r="AC52" s="748">
        <f t="shared" si="178"/>
        <v>0</v>
      </c>
      <c r="AD52" s="748">
        <f t="shared" si="178"/>
        <v>0</v>
      </c>
      <c r="AE52" s="748">
        <f t="shared" si="178"/>
        <v>0</v>
      </c>
      <c r="AF52" s="748">
        <f t="shared" si="178"/>
        <v>0</v>
      </c>
      <c r="AG52" s="748">
        <f t="shared" si="178"/>
        <v>0</v>
      </c>
      <c r="AH52" s="748">
        <f t="shared" si="178"/>
        <v>0</v>
      </c>
      <c r="AI52" s="748">
        <f t="shared" si="178"/>
        <v>0</v>
      </c>
      <c r="AJ52" s="748">
        <f t="shared" si="178"/>
        <v>0</v>
      </c>
      <c r="AK52" s="748">
        <f t="shared" si="178"/>
        <v>0</v>
      </c>
      <c r="AL52" s="748">
        <f t="shared" si="178"/>
        <v>0</v>
      </c>
      <c r="AM52" s="748">
        <f t="shared" si="178"/>
        <v>0</v>
      </c>
      <c r="AN52" s="748">
        <f t="shared" si="178"/>
        <v>0</v>
      </c>
      <c r="AO52" s="748">
        <f t="shared" si="178"/>
        <v>0</v>
      </c>
      <c r="AP52" s="748">
        <f t="shared" si="178"/>
        <v>0</v>
      </c>
      <c r="AQ52" s="748">
        <f t="shared" si="178"/>
        <v>0</v>
      </c>
      <c r="AR52" s="748">
        <f t="shared" si="178"/>
        <v>0</v>
      </c>
      <c r="AS52" s="748">
        <f t="shared" si="178"/>
        <v>0</v>
      </c>
      <c r="AT52" s="748">
        <f t="shared" si="178"/>
        <v>0</v>
      </c>
      <c r="AU52" s="748">
        <f t="shared" si="178"/>
        <v>0</v>
      </c>
      <c r="AV52" s="748">
        <f t="shared" si="178"/>
        <v>0</v>
      </c>
      <c r="AW52" s="748">
        <f t="shared" si="178"/>
        <v>0</v>
      </c>
      <c r="AX52" s="748">
        <f t="shared" si="178"/>
        <v>0</v>
      </c>
      <c r="AY52" s="748">
        <f t="shared" si="178"/>
        <v>0</v>
      </c>
      <c r="AZ52" s="748">
        <f t="shared" si="178"/>
        <v>0</v>
      </c>
      <c r="BA52" s="748">
        <f t="shared" si="178"/>
        <v>0</v>
      </c>
      <c r="BB52" s="748">
        <f t="shared" si="178"/>
        <v>0</v>
      </c>
      <c r="BC52" s="748">
        <f t="shared" si="178"/>
        <v>0</v>
      </c>
      <c r="BD52" s="748">
        <f t="shared" si="178"/>
        <v>0</v>
      </c>
      <c r="BE52" s="748">
        <f t="shared" si="178"/>
        <v>0</v>
      </c>
      <c r="BF52" s="748">
        <f t="shared" si="178"/>
        <v>0</v>
      </c>
      <c r="BG52" s="748">
        <f t="shared" si="178"/>
        <v>0</v>
      </c>
      <c r="BH52" s="748">
        <f t="shared" si="178"/>
        <v>0</v>
      </c>
      <c r="BI52" s="748">
        <f t="shared" si="178"/>
        <v>0</v>
      </c>
      <c r="BJ52" s="748">
        <f t="shared" si="178"/>
        <v>0</v>
      </c>
      <c r="BK52" s="748">
        <f t="shared" si="178"/>
        <v>0</v>
      </c>
      <c r="BL52" s="748">
        <f t="shared" si="178"/>
        <v>0</v>
      </c>
      <c r="BM52" s="748">
        <f t="shared" si="178"/>
        <v>0</v>
      </c>
      <c r="BN52" s="748">
        <f t="shared" si="178"/>
        <v>0</v>
      </c>
      <c r="BO52" s="748">
        <f t="shared" si="178"/>
        <v>0</v>
      </c>
      <c r="BP52" s="748">
        <f t="shared" si="178"/>
        <v>0</v>
      </c>
      <c r="BQ52" s="748">
        <f t="shared" si="177"/>
        <v>0</v>
      </c>
      <c r="BR52" s="748">
        <f t="shared" si="177"/>
        <v>0</v>
      </c>
      <c r="BS52" s="748">
        <f t="shared" si="177"/>
        <v>0</v>
      </c>
      <c r="BT52" s="748">
        <f t="shared" si="177"/>
        <v>0</v>
      </c>
      <c r="BU52" s="748">
        <f t="shared" si="177"/>
        <v>0</v>
      </c>
      <c r="BV52" s="748">
        <f t="shared" si="177"/>
        <v>0</v>
      </c>
      <c r="BW52" s="748">
        <f t="shared" si="177"/>
        <v>0</v>
      </c>
      <c r="BX52" s="749">
        <f t="shared" si="177"/>
        <v>0</v>
      </c>
      <c r="BY52" s="750">
        <f>SUM(BY44:BY51)</f>
        <v>145331023.63800001</v>
      </c>
      <c r="BZ52" s="743">
        <f t="shared" ref="BZ52:BZ61" si="179">BY52-N52</f>
        <v>0</v>
      </c>
      <c r="CA52" s="744" t="b">
        <f>BY52=SUM(O52:BX52)</f>
        <v>1</v>
      </c>
      <c r="CB52" s="745"/>
      <c r="CC52" s="745"/>
      <c r="CD52" s="745"/>
      <c r="CE52" s="745"/>
      <c r="CF52" s="745"/>
      <c r="CG52" s="745"/>
      <c r="CH52" s="745"/>
      <c r="CI52" s="745"/>
      <c r="CJ52" s="745"/>
      <c r="CK52" s="745"/>
      <c r="CL52" s="745"/>
      <c r="CM52" s="745"/>
      <c r="CN52" s="745"/>
      <c r="CO52" s="745"/>
      <c r="CP52" s="745"/>
      <c r="CQ52" s="745"/>
      <c r="CR52" s="745"/>
      <c r="CS52" s="745"/>
      <c r="CT52" s="745"/>
      <c r="CU52" s="745"/>
      <c r="CV52" s="745"/>
      <c r="CW52" s="745"/>
      <c r="CX52" s="745"/>
      <c r="CY52" s="745"/>
      <c r="CZ52" s="745"/>
      <c r="DA52" s="745"/>
      <c r="DB52" s="745"/>
      <c r="DC52" s="745"/>
      <c r="DD52" s="745"/>
      <c r="DE52" s="745"/>
      <c r="DF52" s="745"/>
      <c r="DG52" s="745"/>
      <c r="DH52" s="745"/>
      <c r="DI52" s="745"/>
      <c r="DJ52" s="745"/>
      <c r="DK52" s="745"/>
      <c r="DL52" s="745"/>
      <c r="DM52" s="745"/>
      <c r="DN52" s="745"/>
      <c r="DO52" s="745"/>
      <c r="DP52" s="745"/>
      <c r="DQ52" s="745"/>
      <c r="DR52" s="745"/>
      <c r="DS52" s="745"/>
      <c r="DT52" s="745"/>
      <c r="DU52" s="745"/>
      <c r="DV52" s="745"/>
      <c r="DW52" s="745"/>
      <c r="DX52" s="745"/>
      <c r="DY52" s="745"/>
      <c r="DZ52" s="745"/>
      <c r="EA52" s="745"/>
      <c r="EB52" s="745"/>
      <c r="EC52" s="745"/>
      <c r="ED52" s="745"/>
      <c r="EE52" s="745"/>
      <c r="EF52" s="745"/>
      <c r="EG52" s="745"/>
      <c r="EH52" s="745"/>
      <c r="EI52" s="745"/>
      <c r="EJ52" s="745"/>
      <c r="EK52" s="745"/>
      <c r="EL52" s="745"/>
      <c r="EM52" s="745"/>
      <c r="EN52" s="745"/>
      <c r="EO52" s="745"/>
      <c r="EP52" s="745"/>
      <c r="EQ52" s="745"/>
    </row>
    <row r="53" spans="1:147" s="57" customFormat="1" ht="15" customHeight="1">
      <c r="A53" s="1627"/>
      <c r="B53" s="1492" t="s">
        <v>36</v>
      </c>
      <c r="C53" s="1492"/>
      <c r="D53" s="1466" t="str">
        <f>사업수지표!G33</f>
        <v>직접공사비(본공사)</v>
      </c>
      <c r="E53" s="1479"/>
      <c r="F53" s="1479"/>
      <c r="G53" s="1479"/>
      <c r="H53" s="1479"/>
      <c r="I53" s="1479"/>
      <c r="J53" s="1479"/>
      <c r="K53" s="1479"/>
      <c r="L53" s="1479"/>
      <c r="M53" s="1480"/>
      <c r="N53" s="79">
        <f>+사업수지표!AL33</f>
        <v>440399821.29997587</v>
      </c>
      <c r="O53" s="564">
        <v>0</v>
      </c>
      <c r="P53" s="494"/>
      <c r="Q53" s="494"/>
      <c r="R53" s="494"/>
      <c r="S53" s="494"/>
      <c r="T53" s="494"/>
      <c r="U53" s="494"/>
      <c r="V53" s="494"/>
      <c r="W53" s="494"/>
      <c r="X53" s="494"/>
      <c r="Y53" s="494"/>
      <c r="Z53" s="494"/>
      <c r="AA53" s="494">
        <f t="shared" ref="AA53:AG53" si="180">AA138</f>
        <v>3805054.4560317914</v>
      </c>
      <c r="AB53" s="494">
        <f t="shared" si="180"/>
        <v>3805054.4560317914</v>
      </c>
      <c r="AC53" s="494">
        <f t="shared" si="180"/>
        <v>4597774.1343717473</v>
      </c>
      <c r="AD53" s="494">
        <f t="shared" si="180"/>
        <v>4597774.1343717473</v>
      </c>
      <c r="AE53" s="494">
        <f t="shared" si="180"/>
        <v>5390493.8127117045</v>
      </c>
      <c r="AF53" s="494">
        <f t="shared" si="180"/>
        <v>5390493.8127117045</v>
      </c>
      <c r="AG53" s="494">
        <f t="shared" si="180"/>
        <v>7372293.0085615953</v>
      </c>
      <c r="AH53" s="494">
        <f t="shared" ref="AH53:BK53" si="181">AH138</f>
        <v>7372293.0085615953</v>
      </c>
      <c r="AI53" s="494">
        <f t="shared" si="181"/>
        <v>8561372.5260715298</v>
      </c>
      <c r="AJ53" s="494">
        <f t="shared" si="181"/>
        <v>8561372.5260715298</v>
      </c>
      <c r="AK53" s="494">
        <f t="shared" si="181"/>
        <v>9750452.0435814653</v>
      </c>
      <c r="AL53" s="494">
        <f t="shared" si="181"/>
        <v>9750452.0435814653</v>
      </c>
      <c r="AM53" s="494">
        <f t="shared" si="181"/>
        <v>10543171.721921422</v>
      </c>
      <c r="AN53" s="494">
        <f t="shared" si="181"/>
        <v>10543171.721921422</v>
      </c>
      <c r="AO53" s="494">
        <f t="shared" si="181"/>
        <v>11335891.400261376</v>
      </c>
      <c r="AP53" s="494">
        <f t="shared" si="181"/>
        <v>11335891.400261376</v>
      </c>
      <c r="AQ53" s="494">
        <f t="shared" si="181"/>
        <v>11335891.400261376</v>
      </c>
      <c r="AR53" s="494">
        <f t="shared" si="181"/>
        <v>11335891.400261376</v>
      </c>
      <c r="AS53" s="494">
        <f t="shared" si="181"/>
        <v>11335891.400261376</v>
      </c>
      <c r="AT53" s="494">
        <f t="shared" si="181"/>
        <v>11335891.400261376</v>
      </c>
      <c r="AU53" s="494">
        <f t="shared" si="181"/>
        <v>12128611.078601334</v>
      </c>
      <c r="AV53" s="494">
        <f t="shared" si="181"/>
        <v>12128611.078601334</v>
      </c>
      <c r="AW53" s="494">
        <f t="shared" si="181"/>
        <v>12128611.078601334</v>
      </c>
      <c r="AX53" s="494">
        <f t="shared" si="181"/>
        <v>12128611.078601334</v>
      </c>
      <c r="AY53" s="494">
        <f t="shared" si="181"/>
        <v>12921330.756941292</v>
      </c>
      <c r="AZ53" s="494">
        <f t="shared" si="181"/>
        <v>12921330.756941292</v>
      </c>
      <c r="BA53" s="494">
        <f>BA138</f>
        <v>13714050.435281247</v>
      </c>
      <c r="BB53" s="494">
        <f t="shared" si="181"/>
        <v>13714050.435281247</v>
      </c>
      <c r="BC53" s="494">
        <f t="shared" si="181"/>
        <v>14506770.113621207</v>
      </c>
      <c r="BD53" s="494">
        <f t="shared" si="181"/>
        <v>14506770.113621207</v>
      </c>
      <c r="BE53" s="494">
        <f t="shared" si="181"/>
        <v>14506770.113621207</v>
      </c>
      <c r="BF53" s="494">
        <f t="shared" si="181"/>
        <v>14506770.113621207</v>
      </c>
      <c r="BG53" s="494">
        <f t="shared" si="181"/>
        <v>13714050.435281247</v>
      </c>
      <c r="BH53" s="494">
        <f t="shared" si="181"/>
        <v>13714050.435281247</v>
      </c>
      <c r="BI53" s="494">
        <f t="shared" si="181"/>
        <v>13714050.435281247</v>
      </c>
      <c r="BJ53" s="494">
        <f t="shared" si="181"/>
        <v>13714050.435281247</v>
      </c>
      <c r="BK53" s="494">
        <f t="shared" si="181"/>
        <v>13634778.46744738</v>
      </c>
      <c r="BL53" s="494">
        <f>BL138</f>
        <v>0</v>
      </c>
      <c r="BM53" s="494">
        <f t="shared" ref="BM53" si="182">BM137</f>
        <v>0</v>
      </c>
      <c r="BN53" s="494">
        <f>N53*10%</f>
        <v>44039982.129997589</v>
      </c>
      <c r="BO53" s="494"/>
      <c r="BP53" s="494"/>
      <c r="BQ53" s="494">
        <f>BQ139</f>
        <v>0</v>
      </c>
      <c r="BR53" s="494">
        <f t="shared" ref="BR53:BW53" si="183">BR138</f>
        <v>0</v>
      </c>
      <c r="BS53" s="494">
        <f t="shared" si="183"/>
        <v>0</v>
      </c>
      <c r="BT53" s="494">
        <f t="shared" si="183"/>
        <v>0</v>
      </c>
      <c r="BU53" s="494">
        <f t="shared" si="183"/>
        <v>0</v>
      </c>
      <c r="BV53" s="494">
        <f t="shared" si="183"/>
        <v>0</v>
      </c>
      <c r="BW53" s="494">
        <f t="shared" si="183"/>
        <v>0</v>
      </c>
      <c r="BX53" s="494">
        <f>BX139</f>
        <v>0</v>
      </c>
      <c r="BY53" s="514">
        <f>SUM(O53:BQ53)</f>
        <v>440399821.29997623</v>
      </c>
      <c r="BZ53" s="113">
        <f t="shared" si="179"/>
        <v>0</v>
      </c>
      <c r="CA53" s="71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</row>
    <row r="54" spans="1:147" s="57" customFormat="1" ht="15" hidden="1" customHeight="1">
      <c r="A54" s="1627"/>
      <c r="B54" s="1492"/>
      <c r="C54" s="1492"/>
      <c r="D54" s="1466" t="str">
        <f>사업수지표!G34</f>
        <v>기타공사비(본공사)</v>
      </c>
      <c r="E54" s="1479"/>
      <c r="F54" s="1479"/>
      <c r="G54" s="1479"/>
      <c r="H54" s="1479"/>
      <c r="I54" s="1479"/>
      <c r="J54" s="1479"/>
      <c r="K54" s="1479"/>
      <c r="L54" s="1479"/>
      <c r="M54" s="1480"/>
      <c r="N54" s="79">
        <f>사업수지표!AL34</f>
        <v>0</v>
      </c>
      <c r="O54" s="564">
        <f>사업수지표!AR34</f>
        <v>0</v>
      </c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4"/>
      <c r="AB54" s="494"/>
      <c r="AC54" s="494"/>
      <c r="AD54" s="494"/>
      <c r="AE54" s="494"/>
      <c r="AF54" s="494"/>
      <c r="AG54" s="494"/>
      <c r="AH54" s="494"/>
      <c r="AI54" s="494"/>
      <c r="AJ54" s="494"/>
      <c r="AK54" s="494"/>
      <c r="AL54" s="494"/>
      <c r="AM54" s="494"/>
      <c r="AN54" s="494"/>
      <c r="AO54" s="494"/>
      <c r="AP54" s="494"/>
      <c r="AQ54" s="494"/>
      <c r="AR54" s="494"/>
      <c r="AS54" s="494"/>
      <c r="AT54" s="494"/>
      <c r="AU54" s="494"/>
      <c r="AV54" s="494"/>
      <c r="AW54" s="494"/>
      <c r="AX54" s="494"/>
      <c r="AY54" s="494"/>
      <c r="AZ54" s="494"/>
      <c r="BA54" s="494"/>
      <c r="BB54" s="494"/>
      <c r="BC54" s="494"/>
      <c r="BD54" s="494"/>
      <c r="BE54" s="494"/>
      <c r="BF54" s="494"/>
      <c r="BG54" s="494"/>
      <c r="BH54" s="494"/>
      <c r="BI54" s="494"/>
      <c r="BJ54" s="494"/>
      <c r="BK54" s="494"/>
      <c r="BL54" s="494"/>
      <c r="BM54" s="494"/>
      <c r="BN54" s="494"/>
      <c r="BO54" s="494"/>
      <c r="BP54" s="494"/>
      <c r="BQ54" s="494"/>
      <c r="BR54" s="494"/>
      <c r="BS54" s="494"/>
      <c r="BT54" s="494"/>
      <c r="BU54" s="494"/>
      <c r="BV54" s="494"/>
      <c r="BW54" s="494"/>
      <c r="BX54" s="519"/>
      <c r="BY54" s="514">
        <f>SUM(O54:BQ54)</f>
        <v>0</v>
      </c>
      <c r="BZ54" s="113">
        <f t="shared" si="179"/>
        <v>0</v>
      </c>
      <c r="CA54" s="71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</row>
    <row r="55" spans="1:147" s="57" customFormat="1" ht="15" customHeight="1">
      <c r="A55" s="1627"/>
      <c r="B55" s="1492"/>
      <c r="C55" s="1492"/>
      <c r="D55" s="1466" t="str">
        <f>사업수지표!G35</f>
        <v>각종인입비</v>
      </c>
      <c r="E55" s="1479"/>
      <c r="F55" s="1479"/>
      <c r="G55" s="1479"/>
      <c r="H55" s="1479"/>
      <c r="I55" s="1479"/>
      <c r="J55" s="1479"/>
      <c r="K55" s="1479"/>
      <c r="L55" s="1479"/>
      <c r="M55" s="1480"/>
      <c r="N55" s="79">
        <f>+사업수지표!AL35</f>
        <v>2965293.2397000003</v>
      </c>
      <c r="O55" s="564">
        <v>0</v>
      </c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4"/>
      <c r="AB55" s="494"/>
      <c r="AC55" s="494"/>
      <c r="AD55" s="494"/>
      <c r="AE55" s="494"/>
      <c r="AF55" s="494"/>
      <c r="AG55" s="494"/>
      <c r="AH55" s="494"/>
      <c r="AI55" s="516"/>
      <c r="AJ55" s="516"/>
      <c r="AK55" s="516"/>
      <c r="AL55" s="516"/>
      <c r="AM55" s="516"/>
      <c r="AN55" s="516"/>
      <c r="AO55" s="516"/>
      <c r="AP55" s="516"/>
      <c r="AQ55" s="516"/>
      <c r="AR55" s="516"/>
      <c r="AS55" s="516"/>
      <c r="AT55" s="516"/>
      <c r="AU55" s="516"/>
      <c r="AV55" s="516"/>
      <c r="AW55" s="516"/>
      <c r="AX55" s="516"/>
      <c r="AY55" s="516"/>
      <c r="AZ55" s="516"/>
      <c r="BA55" s="516"/>
      <c r="BB55" s="516"/>
      <c r="BC55" s="516"/>
      <c r="BD55" s="516"/>
      <c r="BE55" s="516"/>
      <c r="BF55" s="516"/>
      <c r="BG55" s="516"/>
      <c r="BH55" s="516"/>
      <c r="BI55" s="516"/>
      <c r="BJ55" s="516">
        <f>$N$55/2</f>
        <v>1482646.6198500001</v>
      </c>
      <c r="BK55" s="516">
        <v>1482647</v>
      </c>
      <c r="BL55" s="516"/>
      <c r="BM55" s="516"/>
      <c r="BN55" s="516"/>
      <c r="BO55" s="516"/>
      <c r="BP55" s="516"/>
      <c r="BQ55" s="516"/>
      <c r="BR55" s="516"/>
      <c r="BS55" s="516"/>
      <c r="BT55" s="516"/>
      <c r="BU55" s="516"/>
      <c r="BV55" s="516"/>
      <c r="BW55" s="516"/>
      <c r="BX55" s="520"/>
      <c r="BY55" s="514">
        <f>SUM(O55:BQ55)</f>
        <v>2965293.6198500004</v>
      </c>
      <c r="BZ55" s="113">
        <f t="shared" si="179"/>
        <v>0.38015000009909272</v>
      </c>
      <c r="CA55" s="71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</row>
    <row r="56" spans="1:147" s="53" customFormat="1" ht="15" customHeight="1">
      <c r="A56" s="1627"/>
      <c r="B56" s="1492"/>
      <c r="C56" s="1492"/>
      <c r="D56" s="1466" t="str">
        <f>사업수지표!G36</f>
        <v>조건부이행공사비</v>
      </c>
      <c r="E56" s="1479"/>
      <c r="F56" s="1479"/>
      <c r="G56" s="1479"/>
      <c r="H56" s="1479"/>
      <c r="I56" s="1479"/>
      <c r="J56" s="1479"/>
      <c r="K56" s="1479"/>
      <c r="L56" s="1479"/>
      <c r="M56" s="1480"/>
      <c r="N56" s="79">
        <f>+사업수지표!AL36</f>
        <v>7042054.7999999998</v>
      </c>
      <c r="O56" s="564">
        <v>0</v>
      </c>
      <c r="P56" s="494"/>
      <c r="Q56" s="494"/>
      <c r="R56" s="494"/>
      <c r="S56" s="494"/>
      <c r="T56" s="494"/>
      <c r="U56" s="494"/>
      <c r="V56" s="494"/>
      <c r="W56" s="494"/>
      <c r="X56" s="494"/>
      <c r="Y56" s="494"/>
      <c r="Z56" s="494"/>
      <c r="AA56" s="494"/>
      <c r="AB56" s="494"/>
      <c r="AC56" s="494"/>
      <c r="AD56" s="494"/>
      <c r="AE56" s="494"/>
      <c r="AF56" s="494"/>
      <c r="AG56" s="494"/>
      <c r="AH56" s="494">
        <f>N56*20%</f>
        <v>1408410.96</v>
      </c>
      <c r="AI56" s="494"/>
      <c r="AJ56" s="494"/>
      <c r="AK56" s="494"/>
      <c r="AL56" s="516"/>
      <c r="AM56" s="494">
        <f>N56*20%</f>
        <v>1408410.96</v>
      </c>
      <c r="AN56" s="494"/>
      <c r="AO56" s="494"/>
      <c r="AP56" s="494"/>
      <c r="AQ56" s="494">
        <f>N56*20%</f>
        <v>1408410.96</v>
      </c>
      <c r="AR56" s="494"/>
      <c r="AS56" s="494"/>
      <c r="AT56" s="494"/>
      <c r="AU56" s="494"/>
      <c r="AV56" s="494">
        <f>$N$56/5</f>
        <v>1408410.96</v>
      </c>
      <c r="AW56" s="494"/>
      <c r="AX56" s="494"/>
      <c r="AY56" s="494"/>
      <c r="AZ56" s="494">
        <f>$N$56/5</f>
        <v>1408410.96</v>
      </c>
      <c r="BA56" s="494"/>
      <c r="BB56" s="494"/>
      <c r="BC56" s="494"/>
      <c r="BD56" s="494"/>
      <c r="BE56" s="494"/>
      <c r="BF56" s="494"/>
      <c r="BG56" s="494"/>
      <c r="BH56" s="494"/>
      <c r="BI56" s="494"/>
      <c r="BJ56" s="494"/>
      <c r="BK56" s="494"/>
      <c r="BL56" s="494"/>
      <c r="BM56" s="494"/>
      <c r="BN56" s="494"/>
      <c r="BO56" s="494"/>
      <c r="BP56" s="494"/>
      <c r="BQ56" s="494"/>
      <c r="BR56" s="494"/>
      <c r="BS56" s="494"/>
      <c r="BT56" s="494"/>
      <c r="BU56" s="494"/>
      <c r="BV56" s="494"/>
      <c r="BW56" s="494"/>
      <c r="BX56" s="519"/>
      <c r="BY56" s="514">
        <f>SUM(O56:BQ56)</f>
        <v>7042054.7999999998</v>
      </c>
      <c r="BZ56" s="113">
        <f t="shared" si="179"/>
        <v>0</v>
      </c>
      <c r="CA56" s="71"/>
    </row>
    <row r="57" spans="1:147" s="53" customFormat="1" ht="15" customHeight="1">
      <c r="A57" s="1627"/>
      <c r="B57" s="1492"/>
      <c r="C57" s="1493"/>
      <c r="D57" s="1466" t="str">
        <f>사업수지표!G37</f>
        <v>예술장식품비</v>
      </c>
      <c r="E57" s="1479"/>
      <c r="F57" s="1479"/>
      <c r="G57" s="1479"/>
      <c r="H57" s="1479"/>
      <c r="I57" s="1479"/>
      <c r="J57" s="1479"/>
      <c r="K57" s="1479"/>
      <c r="L57" s="1479"/>
      <c r="M57" s="1480"/>
      <c r="N57" s="79">
        <f>+사업수지표!AL37</f>
        <v>754147.96386957506</v>
      </c>
      <c r="O57" s="564">
        <f>사업수지표!AR37</f>
        <v>0</v>
      </c>
      <c r="P57" s="494">
        <f>사업수지표!$AS$37/2</f>
        <v>0</v>
      </c>
      <c r="Q57" s="494"/>
      <c r="R57" s="494"/>
      <c r="S57" s="494"/>
      <c r="T57" s="494"/>
      <c r="U57" s="494"/>
      <c r="V57" s="494"/>
      <c r="W57" s="494"/>
      <c r="X57" s="494">
        <f>사업수지표!$AS$37/2</f>
        <v>0</v>
      </c>
      <c r="Y57" s="494"/>
      <c r="Z57" s="494"/>
      <c r="AA57" s="494"/>
      <c r="AB57" s="494"/>
      <c r="AC57" s="494"/>
      <c r="AD57" s="494"/>
      <c r="AE57" s="494"/>
      <c r="AF57" s="494"/>
      <c r="AG57" s="494"/>
      <c r="AH57" s="494"/>
      <c r="AI57" s="494"/>
      <c r="AJ57" s="494"/>
      <c r="AK57" s="494"/>
      <c r="AL57" s="516"/>
      <c r="AM57" s="494"/>
      <c r="AN57" s="494"/>
      <c r="AO57" s="494"/>
      <c r="AP57" s="494"/>
      <c r="AQ57" s="494"/>
      <c r="AR57" s="494"/>
      <c r="AS57" s="494"/>
      <c r="AT57" s="494"/>
      <c r="AU57" s="494"/>
      <c r="AV57" s="494"/>
      <c r="AW57" s="494"/>
      <c r="AX57" s="494"/>
      <c r="AY57" s="494"/>
      <c r="AZ57" s="494"/>
      <c r="BA57" s="494"/>
      <c r="BB57" s="494"/>
      <c r="BC57" s="494"/>
      <c r="BD57" s="494"/>
      <c r="BE57" s="494"/>
      <c r="BF57" s="494"/>
      <c r="BG57" s="494">
        <f>N57*10%</f>
        <v>75414.796386957503</v>
      </c>
      <c r="BH57" s="494">
        <f>N57*80%</f>
        <v>603318.37109566003</v>
      </c>
      <c r="BI57" s="494"/>
      <c r="BJ57" s="494">
        <f>N57*10%</f>
        <v>75414.796386957503</v>
      </c>
      <c r="BK57" s="494"/>
      <c r="BL57" s="494"/>
      <c r="BM57" s="494"/>
      <c r="BN57" s="494"/>
      <c r="BO57" s="494"/>
      <c r="BP57" s="516"/>
      <c r="BQ57" s="516"/>
      <c r="BR57" s="516"/>
      <c r="BS57" s="494"/>
      <c r="BT57" s="494"/>
      <c r="BU57" s="494"/>
      <c r="BV57" s="494"/>
      <c r="BW57" s="494"/>
      <c r="BX57" s="519"/>
      <c r="BY57" s="514">
        <f>SUM(O57:BQ57)</f>
        <v>754147.96386957506</v>
      </c>
      <c r="BZ57" s="113">
        <f t="shared" si="179"/>
        <v>0</v>
      </c>
      <c r="CA57" s="71"/>
    </row>
    <row r="58" spans="1:147" s="745" customFormat="1" ht="15" customHeight="1">
      <c r="A58" s="1627"/>
      <c r="B58" s="1492"/>
      <c r="C58" s="1493"/>
      <c r="D58" s="1634" t="s">
        <v>141</v>
      </c>
      <c r="E58" s="1634"/>
      <c r="F58" s="1634"/>
      <c r="G58" s="1634"/>
      <c r="H58" s="1634"/>
      <c r="I58" s="1634"/>
      <c r="J58" s="1634"/>
      <c r="K58" s="1634"/>
      <c r="L58" s="1634"/>
      <c r="M58" s="1635"/>
      <c r="N58" s="747">
        <f>SUM(N53:N57)</f>
        <v>451161317.30354548</v>
      </c>
      <c r="O58" s="748">
        <f>SUM(O53:O57)</f>
        <v>0</v>
      </c>
      <c r="P58" s="748">
        <f t="shared" ref="P58:BP58" si="184">SUM(P53:P57)</f>
        <v>0</v>
      </c>
      <c r="Q58" s="748">
        <f t="shared" si="184"/>
        <v>0</v>
      </c>
      <c r="R58" s="748">
        <f t="shared" si="184"/>
        <v>0</v>
      </c>
      <c r="S58" s="748">
        <f t="shared" si="184"/>
        <v>0</v>
      </c>
      <c r="T58" s="748">
        <f t="shared" si="184"/>
        <v>0</v>
      </c>
      <c r="U58" s="748">
        <f t="shared" si="184"/>
        <v>0</v>
      </c>
      <c r="V58" s="748">
        <f t="shared" si="184"/>
        <v>0</v>
      </c>
      <c r="W58" s="748">
        <f t="shared" si="184"/>
        <v>0</v>
      </c>
      <c r="X58" s="748">
        <f t="shared" si="184"/>
        <v>0</v>
      </c>
      <c r="Y58" s="748">
        <f t="shared" si="184"/>
        <v>0</v>
      </c>
      <c r="Z58" s="748">
        <f t="shared" si="184"/>
        <v>0</v>
      </c>
      <c r="AA58" s="748">
        <f t="shared" si="184"/>
        <v>3805054.4560317914</v>
      </c>
      <c r="AB58" s="748">
        <f t="shared" si="184"/>
        <v>3805054.4560317914</v>
      </c>
      <c r="AC58" s="748">
        <f t="shared" si="184"/>
        <v>4597774.1343717473</v>
      </c>
      <c r="AD58" s="748">
        <f t="shared" si="184"/>
        <v>4597774.1343717473</v>
      </c>
      <c r="AE58" s="748">
        <f t="shared" si="184"/>
        <v>5390493.8127117045</v>
      </c>
      <c r="AF58" s="748">
        <f t="shared" si="184"/>
        <v>5390493.8127117045</v>
      </c>
      <c r="AG58" s="748">
        <f t="shared" si="184"/>
        <v>7372293.0085615953</v>
      </c>
      <c r="AH58" s="748">
        <f t="shared" si="184"/>
        <v>8780703.9685615953</v>
      </c>
      <c r="AI58" s="748">
        <f t="shared" si="184"/>
        <v>8561372.5260715298</v>
      </c>
      <c r="AJ58" s="748">
        <f t="shared" si="184"/>
        <v>8561372.5260715298</v>
      </c>
      <c r="AK58" s="748">
        <f t="shared" si="184"/>
        <v>9750452.0435814653</v>
      </c>
      <c r="AL58" s="748">
        <f t="shared" si="184"/>
        <v>9750452.0435814653</v>
      </c>
      <c r="AM58" s="748">
        <f t="shared" si="184"/>
        <v>11951582.681921422</v>
      </c>
      <c r="AN58" s="748">
        <f t="shared" si="184"/>
        <v>10543171.721921422</v>
      </c>
      <c r="AO58" s="748">
        <f t="shared" si="184"/>
        <v>11335891.400261376</v>
      </c>
      <c r="AP58" s="748">
        <f t="shared" si="184"/>
        <v>11335891.400261376</v>
      </c>
      <c r="AQ58" s="748">
        <f t="shared" si="184"/>
        <v>12744302.360261377</v>
      </c>
      <c r="AR58" s="748">
        <f t="shared" si="184"/>
        <v>11335891.400261376</v>
      </c>
      <c r="AS58" s="748">
        <f t="shared" si="184"/>
        <v>11335891.400261376</v>
      </c>
      <c r="AT58" s="748">
        <f t="shared" si="184"/>
        <v>11335891.400261376</v>
      </c>
      <c r="AU58" s="748">
        <f t="shared" si="184"/>
        <v>12128611.078601334</v>
      </c>
      <c r="AV58" s="748">
        <f t="shared" si="184"/>
        <v>13537022.038601335</v>
      </c>
      <c r="AW58" s="748">
        <f t="shared" si="184"/>
        <v>12128611.078601334</v>
      </c>
      <c r="AX58" s="748">
        <f t="shared" si="184"/>
        <v>12128611.078601334</v>
      </c>
      <c r="AY58" s="748">
        <f t="shared" si="184"/>
        <v>12921330.756941292</v>
      </c>
      <c r="AZ58" s="748">
        <f t="shared" si="184"/>
        <v>14329741.716941293</v>
      </c>
      <c r="BA58" s="748">
        <f t="shared" si="184"/>
        <v>13714050.435281247</v>
      </c>
      <c r="BB58" s="748">
        <f t="shared" si="184"/>
        <v>13714050.435281247</v>
      </c>
      <c r="BC58" s="748">
        <f t="shared" si="184"/>
        <v>14506770.113621207</v>
      </c>
      <c r="BD58" s="748">
        <f t="shared" si="184"/>
        <v>14506770.113621207</v>
      </c>
      <c r="BE58" s="748">
        <f t="shared" si="184"/>
        <v>14506770.113621207</v>
      </c>
      <c r="BF58" s="748">
        <f t="shared" si="184"/>
        <v>14506770.113621207</v>
      </c>
      <c r="BG58" s="748">
        <f t="shared" si="184"/>
        <v>13789465.231668204</v>
      </c>
      <c r="BH58" s="748">
        <f t="shared" si="184"/>
        <v>14317368.806376906</v>
      </c>
      <c r="BI58" s="748">
        <f t="shared" si="184"/>
        <v>13714050.435281247</v>
      </c>
      <c r="BJ58" s="748">
        <f t="shared" si="184"/>
        <v>15272111.851518204</v>
      </c>
      <c r="BK58" s="748">
        <f t="shared" si="184"/>
        <v>15117425.46744738</v>
      </c>
      <c r="BL58" s="748">
        <f t="shared" si="184"/>
        <v>0</v>
      </c>
      <c r="BM58" s="748">
        <f t="shared" si="184"/>
        <v>0</v>
      </c>
      <c r="BN58" s="748">
        <f t="shared" si="184"/>
        <v>44039982.129997589</v>
      </c>
      <c r="BO58" s="748">
        <f t="shared" si="184"/>
        <v>0</v>
      </c>
      <c r="BP58" s="748">
        <f t="shared" si="184"/>
        <v>0</v>
      </c>
      <c r="BQ58" s="748">
        <f t="shared" ref="BQ58:BX58" si="185">SUM(BQ53:BQ57)</f>
        <v>0</v>
      </c>
      <c r="BR58" s="748">
        <f t="shared" si="185"/>
        <v>0</v>
      </c>
      <c r="BS58" s="748">
        <f t="shared" si="185"/>
        <v>0</v>
      </c>
      <c r="BT58" s="748">
        <f t="shared" si="185"/>
        <v>0</v>
      </c>
      <c r="BU58" s="748">
        <f t="shared" si="185"/>
        <v>0</v>
      </c>
      <c r="BV58" s="748">
        <f t="shared" si="185"/>
        <v>0</v>
      </c>
      <c r="BW58" s="748">
        <f t="shared" si="185"/>
        <v>0</v>
      </c>
      <c r="BX58" s="749">
        <f t="shared" si="185"/>
        <v>0</v>
      </c>
      <c r="BY58" s="751">
        <f>SUM(BY53:BY57)</f>
        <v>451161317.68369579</v>
      </c>
      <c r="BZ58" s="743">
        <f t="shared" si="179"/>
        <v>0.38015031814575195</v>
      </c>
      <c r="CA58" s="752">
        <f>SUM(P58:BX58)-BY58</f>
        <v>0</v>
      </c>
    </row>
    <row r="59" spans="1:147" s="53" customFormat="1" ht="15" customHeight="1">
      <c r="A59" s="1627"/>
      <c r="B59" s="1493" t="s">
        <v>56</v>
      </c>
      <c r="C59" s="1567"/>
      <c r="D59" s="1466" t="str">
        <f>사업수지표!G39</f>
        <v>설계비</v>
      </c>
      <c r="E59" s="1479"/>
      <c r="F59" s="1479"/>
      <c r="G59" s="1479"/>
      <c r="H59" s="1479"/>
      <c r="I59" s="1479"/>
      <c r="J59" s="1479"/>
      <c r="K59" s="1479"/>
      <c r="L59" s="1479"/>
      <c r="M59" s="1480"/>
      <c r="N59" s="79">
        <f>+사업수지표!AL39</f>
        <v>4804800</v>
      </c>
      <c r="O59" s="564">
        <f>사업수지표!AR39</f>
        <v>480480</v>
      </c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494"/>
      <c r="AJ59" s="494"/>
      <c r="AK59" s="494"/>
      <c r="AL59" s="136">
        <v>480480</v>
      </c>
      <c r="AM59" s="494"/>
      <c r="AN59" s="494"/>
      <c r="AO59" s="494"/>
      <c r="AP59" s="494"/>
      <c r="AQ59" s="494">
        <v>240240</v>
      </c>
      <c r="AR59" s="494"/>
      <c r="AS59" s="494"/>
      <c r="AT59" s="494"/>
      <c r="AU59" s="494"/>
      <c r="AV59" s="494">
        <v>240240</v>
      </c>
      <c r="AW59" s="494"/>
      <c r="AX59" s="494"/>
      <c r="AY59" s="494"/>
      <c r="AZ59" s="494"/>
      <c r="BA59" s="494">
        <v>480480</v>
      </c>
      <c r="BB59" s="494"/>
      <c r="BC59" s="494"/>
      <c r="BD59" s="494"/>
      <c r="BE59" s="494">
        <v>960960</v>
      </c>
      <c r="BF59" s="494"/>
      <c r="BG59" s="494"/>
      <c r="BH59" s="494"/>
      <c r="BI59" s="494">
        <v>1441440</v>
      </c>
      <c r="BJ59" s="136"/>
      <c r="BK59" s="494"/>
      <c r="BL59" s="494">
        <v>480480</v>
      </c>
      <c r="BM59" s="494"/>
      <c r="BN59" s="494"/>
      <c r="BO59" s="494"/>
      <c r="BP59" s="494"/>
      <c r="BQ59" s="136"/>
      <c r="BR59" s="136"/>
      <c r="BS59" s="494"/>
      <c r="BT59" s="494"/>
      <c r="BU59" s="494"/>
      <c r="BV59" s="494"/>
      <c r="BW59" s="494"/>
      <c r="BX59" s="519"/>
      <c r="BY59" s="514">
        <f>SUM(O59:BQ59)</f>
        <v>4804800</v>
      </c>
      <c r="BZ59" s="113">
        <f t="shared" si="179"/>
        <v>0</v>
      </c>
      <c r="CA59" s="71"/>
    </row>
    <row r="60" spans="1:147" s="53" customFormat="1" ht="15" customHeight="1">
      <c r="A60" s="1627"/>
      <c r="B60" s="1493"/>
      <c r="C60" s="1567"/>
      <c r="D60" s="1466" t="str">
        <f>사업수지표!G40</f>
        <v>감리비</v>
      </c>
      <c r="E60" s="1479"/>
      <c r="F60" s="1479"/>
      <c r="G60" s="1479"/>
      <c r="H60" s="1479"/>
      <c r="I60" s="1479"/>
      <c r="J60" s="1479"/>
      <c r="K60" s="1479"/>
      <c r="L60" s="1479"/>
      <c r="M60" s="1480"/>
      <c r="N60" s="79">
        <f>+사업수지표!AL40</f>
        <v>10872741.878900001</v>
      </c>
      <c r="O60" s="564">
        <f>사업수지표!AR40</f>
        <v>0</v>
      </c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>
        <f>N60*0.1</f>
        <v>1087274.1878900002</v>
      </c>
      <c r="AA60" s="494"/>
      <c r="AB60" s="494"/>
      <c r="AC60" s="494"/>
      <c r="AD60" s="494"/>
      <c r="AE60" s="494"/>
      <c r="AF60" s="494"/>
      <c r="AG60" s="494"/>
      <c r="AH60" s="494"/>
      <c r="AI60" s="494">
        <f>(N60*0.8)/10</f>
        <v>869819.35031200014</v>
      </c>
      <c r="AJ60" s="494"/>
      <c r="AK60" s="494"/>
      <c r="AL60" s="494">
        <f>(N60*0.8)/10</f>
        <v>869819.35031200014</v>
      </c>
      <c r="AM60" s="494"/>
      <c r="AN60" s="494"/>
      <c r="AO60" s="494">
        <f>(N60*0.8)/10</f>
        <v>869819.35031200014</v>
      </c>
      <c r="AP60" s="494"/>
      <c r="AQ60" s="494"/>
      <c r="AR60" s="494">
        <f>(N60*0.8)/10</f>
        <v>869819.35031200014</v>
      </c>
      <c r="AS60" s="494"/>
      <c r="AT60" s="494"/>
      <c r="AU60" s="494">
        <f>(N60*0.8)/10</f>
        <v>869819.35031200014</v>
      </c>
      <c r="AV60" s="494"/>
      <c r="AW60" s="494"/>
      <c r="AX60" s="494">
        <f>(N60*0.8)/10</f>
        <v>869819.35031200014</v>
      </c>
      <c r="AY60" s="494"/>
      <c r="AZ60" s="494"/>
      <c r="BA60" s="494">
        <f>(N60*0.8)/10</f>
        <v>869819.35031200014</v>
      </c>
      <c r="BB60" s="494"/>
      <c r="BC60" s="494"/>
      <c r="BD60" s="494">
        <f>(N60*0.8)/10</f>
        <v>869819.35031200014</v>
      </c>
      <c r="BE60" s="494"/>
      <c r="BF60" s="494"/>
      <c r="BG60" s="494">
        <f>(N60*0.8)/10</f>
        <v>869819.35031200014</v>
      </c>
      <c r="BH60" s="494"/>
      <c r="BI60" s="494"/>
      <c r="BJ60" s="494">
        <f>(N60*0.8)/10</f>
        <v>869819.35031200014</v>
      </c>
      <c r="BK60" s="494"/>
      <c r="BL60" s="494"/>
      <c r="BM60" s="494">
        <f>N60*0.1</f>
        <v>1087274.1878900002</v>
      </c>
      <c r="BN60" s="494"/>
      <c r="BO60" s="494"/>
      <c r="BP60" s="494"/>
      <c r="BQ60" s="494"/>
      <c r="BR60" s="494"/>
      <c r="BS60" s="494"/>
      <c r="BT60" s="494"/>
      <c r="BU60" s="494"/>
      <c r="BV60" s="494"/>
      <c r="BW60" s="494"/>
      <c r="BX60" s="519"/>
      <c r="BY60" s="514">
        <f>SUM(O60:BQ60)</f>
        <v>10872741.878900003</v>
      </c>
      <c r="BZ60" s="113">
        <f t="shared" si="179"/>
        <v>0</v>
      </c>
      <c r="CA60" s="71"/>
    </row>
    <row r="61" spans="1:147" s="53" customFormat="1" ht="15" hidden="1" customHeight="1">
      <c r="A61" s="1627"/>
      <c r="B61" s="1493"/>
      <c r="C61" s="1568"/>
      <c r="D61" s="1466" t="str">
        <f>사업수지표!G41</f>
        <v>미매입 토지 용역비</v>
      </c>
      <c r="E61" s="1479"/>
      <c r="F61" s="1479"/>
      <c r="G61" s="1479"/>
      <c r="H61" s="1479"/>
      <c r="I61" s="1479"/>
      <c r="J61" s="1479"/>
      <c r="K61" s="1479"/>
      <c r="L61" s="1479"/>
      <c r="M61" s="1480"/>
      <c r="N61" s="79">
        <f>+사업수지표!AL41</f>
        <v>0</v>
      </c>
      <c r="O61" s="564">
        <f>사업수지표!AR41</f>
        <v>0</v>
      </c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4"/>
      <c r="AB61" s="494"/>
      <c r="AC61" s="494"/>
      <c r="AD61" s="494"/>
      <c r="AE61" s="494"/>
      <c r="AF61" s="494"/>
      <c r="AG61" s="494"/>
      <c r="AH61" s="494"/>
      <c r="AI61" s="494"/>
      <c r="AJ61" s="494"/>
      <c r="AK61" s="494"/>
      <c r="AL61" s="494"/>
      <c r="AM61" s="494"/>
      <c r="AN61" s="494"/>
      <c r="AO61" s="494"/>
      <c r="AP61" s="494"/>
      <c r="AQ61" s="494"/>
      <c r="AR61" s="494"/>
      <c r="AS61" s="494"/>
      <c r="AT61" s="494"/>
      <c r="AU61" s="494"/>
      <c r="AV61" s="494"/>
      <c r="AW61" s="494"/>
      <c r="AX61" s="494"/>
      <c r="AY61" s="494"/>
      <c r="AZ61" s="494"/>
      <c r="BA61" s="494"/>
      <c r="BB61" s="494"/>
      <c r="BC61" s="494"/>
      <c r="BD61" s="494"/>
      <c r="BE61" s="494"/>
      <c r="BF61" s="494"/>
      <c r="BG61" s="494"/>
      <c r="BH61" s="494"/>
      <c r="BI61" s="494"/>
      <c r="BJ61" s="494"/>
      <c r="BK61" s="494"/>
      <c r="BL61" s="494"/>
      <c r="BM61" s="494"/>
      <c r="BN61" s="494"/>
      <c r="BO61" s="494"/>
      <c r="BP61" s="494"/>
      <c r="BQ61" s="494"/>
      <c r="BR61" s="494"/>
      <c r="BS61" s="494"/>
      <c r="BT61" s="494"/>
      <c r="BU61" s="494"/>
      <c r="BV61" s="494"/>
      <c r="BW61" s="494"/>
      <c r="BX61" s="519"/>
      <c r="BY61" s="514">
        <f>SUM(O61:BQ61)</f>
        <v>0</v>
      </c>
      <c r="BZ61" s="113">
        <f t="shared" si="179"/>
        <v>0</v>
      </c>
      <c r="CA61" s="71"/>
    </row>
    <row r="62" spans="1:147" s="53" customFormat="1" ht="15" hidden="1" customHeight="1">
      <c r="A62" s="1627"/>
      <c r="B62" s="1493"/>
      <c r="C62" s="1568"/>
      <c r="D62" s="1466"/>
      <c r="E62" s="1479"/>
      <c r="F62" s="1479"/>
      <c r="G62" s="1479"/>
      <c r="H62" s="1479"/>
      <c r="I62" s="1479"/>
      <c r="J62" s="1479"/>
      <c r="K62" s="1479"/>
      <c r="L62" s="1479"/>
      <c r="M62" s="1480"/>
      <c r="N62" s="79"/>
      <c r="O62" s="561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4"/>
      <c r="AB62" s="494"/>
      <c r="AC62" s="494"/>
      <c r="AD62" s="494"/>
      <c r="AE62" s="494"/>
      <c r="AF62" s="494"/>
      <c r="AG62" s="494"/>
      <c r="AH62" s="494"/>
      <c r="AI62" s="494"/>
      <c r="AJ62" s="494"/>
      <c r="AK62" s="494"/>
      <c r="AL62" s="494"/>
      <c r="AM62" s="494"/>
      <c r="AN62" s="494"/>
      <c r="AO62" s="494"/>
      <c r="AP62" s="494"/>
      <c r="AQ62" s="494"/>
      <c r="AR62" s="494"/>
      <c r="AS62" s="494"/>
      <c r="AT62" s="494"/>
      <c r="AU62" s="494"/>
      <c r="AV62" s="494"/>
      <c r="AW62" s="494"/>
      <c r="AX62" s="494"/>
      <c r="AY62" s="494"/>
      <c r="AZ62" s="494"/>
      <c r="BA62" s="494"/>
      <c r="BB62" s="494"/>
      <c r="BC62" s="494"/>
      <c r="BD62" s="494"/>
      <c r="BE62" s="494"/>
      <c r="BF62" s="494"/>
      <c r="BG62" s="494"/>
      <c r="BH62" s="494"/>
      <c r="BI62" s="494"/>
      <c r="BJ62" s="494"/>
      <c r="BK62" s="494"/>
      <c r="BL62" s="494"/>
      <c r="BM62" s="494"/>
      <c r="BN62" s="494"/>
      <c r="BO62" s="494"/>
      <c r="BP62" s="494"/>
      <c r="BQ62" s="494"/>
      <c r="BR62" s="494"/>
      <c r="BS62" s="494"/>
      <c r="BT62" s="494"/>
      <c r="BU62" s="494"/>
      <c r="BV62" s="494"/>
      <c r="BW62" s="494"/>
      <c r="BX62" s="519"/>
      <c r="BY62" s="514">
        <f>SUM(O62:BQ62)</f>
        <v>0</v>
      </c>
      <c r="BZ62" s="113"/>
      <c r="CA62" s="71"/>
    </row>
    <row r="63" spans="1:147" s="53" customFormat="1" ht="15" customHeight="1">
      <c r="A63" s="1627"/>
      <c r="B63" s="1493"/>
      <c r="C63" s="1568"/>
      <c r="D63" s="1466" t="str">
        <f>사업수지표!G42</f>
        <v>지구단위 용역비</v>
      </c>
      <c r="E63" s="1479"/>
      <c r="F63" s="1479"/>
      <c r="G63" s="1479"/>
      <c r="H63" s="1479"/>
      <c r="I63" s="1479"/>
      <c r="J63" s="1479"/>
      <c r="K63" s="1479"/>
      <c r="L63" s="1479"/>
      <c r="M63" s="1480"/>
      <c r="N63" s="79">
        <f>+사업수지표!AL42</f>
        <v>1925000</v>
      </c>
      <c r="O63" s="494">
        <f>사업수지표!AR42</f>
        <v>660000</v>
      </c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4">
        <v>632500</v>
      </c>
      <c r="AB63" s="494">
        <v>632500</v>
      </c>
      <c r="AC63" s="494"/>
      <c r="AD63" s="494"/>
      <c r="AE63" s="494"/>
      <c r="AF63" s="494"/>
      <c r="AG63" s="494"/>
      <c r="AH63" s="494"/>
      <c r="AI63" s="494"/>
      <c r="AJ63" s="494"/>
      <c r="AK63" s="494"/>
      <c r="AL63" s="494"/>
      <c r="AM63" s="494"/>
      <c r="AN63" s="494"/>
      <c r="AO63" s="494"/>
      <c r="AP63" s="494"/>
      <c r="AQ63" s="494"/>
      <c r="AR63" s="494"/>
      <c r="AS63" s="494"/>
      <c r="AT63" s="494"/>
      <c r="AU63" s="494"/>
      <c r="AV63" s="494"/>
      <c r="AW63" s="494"/>
      <c r="AX63" s="494"/>
      <c r="AY63" s="494"/>
      <c r="AZ63" s="494"/>
      <c r="BA63" s="494"/>
      <c r="BB63" s="494"/>
      <c r="BC63" s="494"/>
      <c r="BD63" s="494"/>
      <c r="BE63" s="494"/>
      <c r="BF63" s="494"/>
      <c r="BG63" s="494"/>
      <c r="BH63" s="494"/>
      <c r="BI63" s="494"/>
      <c r="BJ63" s="494"/>
      <c r="BK63" s="494"/>
      <c r="BL63" s="494"/>
      <c r="BM63" s="494"/>
      <c r="BN63" s="494"/>
      <c r="BO63" s="494"/>
      <c r="BP63" s="494"/>
      <c r="BQ63" s="494"/>
      <c r="BR63" s="494"/>
      <c r="BS63" s="494"/>
      <c r="BT63" s="494"/>
      <c r="BU63" s="494"/>
      <c r="BV63" s="494"/>
      <c r="BW63" s="494"/>
      <c r="BX63" s="519"/>
      <c r="BY63" s="514">
        <f>SUM(O63:BQ63)</f>
        <v>1925000</v>
      </c>
      <c r="BZ63" s="113">
        <f t="shared" ref="BZ63:BZ84" si="186">BY63-N63</f>
        <v>0</v>
      </c>
      <c r="CA63" s="71"/>
    </row>
    <row r="64" spans="1:147" s="746" customFormat="1" ht="15" customHeight="1">
      <c r="A64" s="1627"/>
      <c r="B64" s="1493"/>
      <c r="C64" s="1568"/>
      <c r="D64" s="1491" t="s">
        <v>141</v>
      </c>
      <c r="E64" s="1559"/>
      <c r="F64" s="1559"/>
      <c r="G64" s="1559"/>
      <c r="H64" s="1559"/>
      <c r="I64" s="1559"/>
      <c r="J64" s="1559"/>
      <c r="K64" s="1559"/>
      <c r="L64" s="1559"/>
      <c r="M64" s="1559"/>
      <c r="N64" s="747">
        <f t="shared" ref="N64:BK64" si="187">SUM(N59:N63)</f>
        <v>17602541.878899999</v>
      </c>
      <c r="O64" s="748">
        <f t="shared" si="187"/>
        <v>1140480</v>
      </c>
      <c r="P64" s="748">
        <f t="shared" si="187"/>
        <v>0</v>
      </c>
      <c r="Q64" s="748"/>
      <c r="R64" s="748"/>
      <c r="S64" s="748"/>
      <c r="T64" s="748"/>
      <c r="U64" s="748"/>
      <c r="V64" s="748"/>
      <c r="W64" s="748"/>
      <c r="X64" s="748">
        <f t="shared" si="187"/>
        <v>0</v>
      </c>
      <c r="Y64" s="748">
        <f t="shared" si="187"/>
        <v>0</v>
      </c>
      <c r="Z64" s="748">
        <f t="shared" si="187"/>
        <v>1087274.1878900002</v>
      </c>
      <c r="AA64" s="748">
        <f t="shared" si="187"/>
        <v>632500</v>
      </c>
      <c r="AB64" s="748">
        <f t="shared" si="187"/>
        <v>632500</v>
      </c>
      <c r="AC64" s="748">
        <f t="shared" si="187"/>
        <v>0</v>
      </c>
      <c r="AD64" s="748">
        <f t="shared" si="187"/>
        <v>0</v>
      </c>
      <c r="AE64" s="748">
        <f t="shared" si="187"/>
        <v>0</v>
      </c>
      <c r="AF64" s="748">
        <f t="shared" si="187"/>
        <v>0</v>
      </c>
      <c r="AG64" s="748">
        <f t="shared" si="187"/>
        <v>0</v>
      </c>
      <c r="AH64" s="748">
        <f t="shared" si="187"/>
        <v>0</v>
      </c>
      <c r="AI64" s="748">
        <f t="shared" si="187"/>
        <v>869819.35031200014</v>
      </c>
      <c r="AJ64" s="748">
        <f t="shared" si="187"/>
        <v>0</v>
      </c>
      <c r="AK64" s="748">
        <f t="shared" si="187"/>
        <v>0</v>
      </c>
      <c r="AL64" s="748">
        <f t="shared" si="187"/>
        <v>1350299.3503120001</v>
      </c>
      <c r="AM64" s="748">
        <f t="shared" si="187"/>
        <v>0</v>
      </c>
      <c r="AN64" s="748">
        <f t="shared" si="187"/>
        <v>0</v>
      </c>
      <c r="AO64" s="748">
        <f t="shared" si="187"/>
        <v>869819.35031200014</v>
      </c>
      <c r="AP64" s="748">
        <f t="shared" si="187"/>
        <v>0</v>
      </c>
      <c r="AQ64" s="748">
        <f t="shared" si="187"/>
        <v>240240</v>
      </c>
      <c r="AR64" s="748">
        <f t="shared" si="187"/>
        <v>869819.35031200014</v>
      </c>
      <c r="AS64" s="748">
        <f t="shared" si="187"/>
        <v>0</v>
      </c>
      <c r="AT64" s="748">
        <f t="shared" si="187"/>
        <v>0</v>
      </c>
      <c r="AU64" s="748">
        <f t="shared" si="187"/>
        <v>869819.35031200014</v>
      </c>
      <c r="AV64" s="748">
        <f t="shared" si="187"/>
        <v>240240</v>
      </c>
      <c r="AW64" s="748">
        <f t="shared" si="187"/>
        <v>0</v>
      </c>
      <c r="AX64" s="748">
        <f t="shared" si="187"/>
        <v>869819.35031200014</v>
      </c>
      <c r="AY64" s="748">
        <f t="shared" si="187"/>
        <v>0</v>
      </c>
      <c r="AZ64" s="748">
        <f t="shared" si="187"/>
        <v>0</v>
      </c>
      <c r="BA64" s="748">
        <f t="shared" si="187"/>
        <v>1350299.3503120001</v>
      </c>
      <c r="BB64" s="748">
        <f t="shared" si="187"/>
        <v>0</v>
      </c>
      <c r="BC64" s="748">
        <f t="shared" si="187"/>
        <v>0</v>
      </c>
      <c r="BD64" s="748">
        <f t="shared" si="187"/>
        <v>869819.35031200014</v>
      </c>
      <c r="BE64" s="748">
        <f t="shared" si="187"/>
        <v>960960</v>
      </c>
      <c r="BF64" s="748">
        <f t="shared" si="187"/>
        <v>0</v>
      </c>
      <c r="BG64" s="748">
        <f t="shared" si="187"/>
        <v>869819.35031200014</v>
      </c>
      <c r="BH64" s="748">
        <f t="shared" si="187"/>
        <v>0</v>
      </c>
      <c r="BI64" s="748">
        <f t="shared" si="187"/>
        <v>1441440</v>
      </c>
      <c r="BJ64" s="748">
        <f t="shared" si="187"/>
        <v>869819.35031200014</v>
      </c>
      <c r="BK64" s="748">
        <f t="shared" si="187"/>
        <v>0</v>
      </c>
      <c r="BL64" s="748">
        <f>SUM(BL59:BL61)</f>
        <v>480480</v>
      </c>
      <c r="BM64" s="748">
        <f>SUM(BM59:BM61)</f>
        <v>1087274.1878900002</v>
      </c>
      <c r="BN64" s="748">
        <f>SUM(BN59:BN61)</f>
        <v>0</v>
      </c>
      <c r="BO64" s="748">
        <f>SUM(BO59:BO61)</f>
        <v>0</v>
      </c>
      <c r="BP64" s="748">
        <f>SUM(BP59:BP61)</f>
        <v>0</v>
      </c>
      <c r="BQ64" s="748">
        <f t="shared" ref="BQ64:BX64" si="188">SUM(BQ59:BQ61)</f>
        <v>0</v>
      </c>
      <c r="BR64" s="748">
        <f t="shared" si="188"/>
        <v>0</v>
      </c>
      <c r="BS64" s="748">
        <f t="shared" si="188"/>
        <v>0</v>
      </c>
      <c r="BT64" s="748">
        <f t="shared" si="188"/>
        <v>0</v>
      </c>
      <c r="BU64" s="748">
        <f t="shared" si="188"/>
        <v>0</v>
      </c>
      <c r="BV64" s="748">
        <f t="shared" si="188"/>
        <v>0</v>
      </c>
      <c r="BW64" s="748">
        <f t="shared" si="188"/>
        <v>0</v>
      </c>
      <c r="BX64" s="748">
        <f t="shared" si="188"/>
        <v>0</v>
      </c>
      <c r="BY64" s="750">
        <f>SUM(BY59:BY63)</f>
        <v>17602541.878900003</v>
      </c>
      <c r="BZ64" s="743">
        <f t="shared" si="186"/>
        <v>0</v>
      </c>
      <c r="CA64" s="752">
        <f>SUM(O64:BX64)-BY64</f>
        <v>0</v>
      </c>
      <c r="CB64" s="745"/>
      <c r="CC64" s="745"/>
      <c r="CD64" s="745"/>
      <c r="CE64" s="745"/>
      <c r="CF64" s="745"/>
      <c r="CG64" s="745"/>
      <c r="CH64" s="745"/>
      <c r="CI64" s="745"/>
      <c r="CJ64" s="745"/>
      <c r="CK64" s="745"/>
      <c r="CL64" s="745"/>
      <c r="CM64" s="745"/>
      <c r="CN64" s="745"/>
      <c r="CO64" s="745"/>
      <c r="CP64" s="745"/>
      <c r="CQ64" s="745"/>
      <c r="CR64" s="745"/>
      <c r="CS64" s="745"/>
      <c r="CT64" s="745"/>
      <c r="CU64" s="745"/>
      <c r="CV64" s="745"/>
      <c r="CW64" s="745"/>
      <c r="CX64" s="745"/>
      <c r="CY64" s="745"/>
      <c r="CZ64" s="745"/>
      <c r="DA64" s="745"/>
      <c r="DB64" s="745"/>
      <c r="DC64" s="745"/>
      <c r="DD64" s="745"/>
      <c r="DE64" s="745"/>
      <c r="DF64" s="745"/>
      <c r="DG64" s="745"/>
      <c r="DH64" s="745"/>
      <c r="DI64" s="745"/>
      <c r="DJ64" s="745"/>
      <c r="DK64" s="745"/>
      <c r="DL64" s="745"/>
      <c r="DM64" s="745"/>
      <c r="DN64" s="745"/>
      <c r="DO64" s="745"/>
      <c r="DP64" s="745"/>
      <c r="DQ64" s="745"/>
      <c r="DR64" s="745"/>
      <c r="DS64" s="745"/>
      <c r="DT64" s="745"/>
      <c r="DU64" s="745"/>
      <c r="DV64" s="745"/>
      <c r="DW64" s="745"/>
      <c r="DX64" s="745"/>
      <c r="DY64" s="745"/>
      <c r="DZ64" s="745"/>
      <c r="EA64" s="745"/>
      <c r="EB64" s="745"/>
      <c r="EC64" s="745"/>
      <c r="ED64" s="745"/>
      <c r="EE64" s="745"/>
      <c r="EF64" s="745"/>
      <c r="EG64" s="745"/>
      <c r="EH64" s="745"/>
      <c r="EI64" s="745"/>
      <c r="EJ64" s="745"/>
      <c r="EK64" s="745"/>
      <c r="EL64" s="745"/>
      <c r="EM64" s="745"/>
      <c r="EN64" s="745"/>
      <c r="EO64" s="745"/>
      <c r="EP64" s="745"/>
      <c r="EQ64" s="745"/>
    </row>
    <row r="65" spans="1:147" s="53" customFormat="1" ht="15" customHeight="1">
      <c r="A65" s="1627"/>
      <c r="B65" s="1492" t="s">
        <v>10</v>
      </c>
      <c r="C65" s="1492"/>
      <c r="D65" s="1481" t="str">
        <f>사업수지표!G44</f>
        <v>M/H부지임차비</v>
      </c>
      <c r="E65" s="1482"/>
      <c r="F65" s="1482"/>
      <c r="G65" s="1482"/>
      <c r="H65" s="1482"/>
      <c r="I65" s="1482"/>
      <c r="J65" s="1482"/>
      <c r="K65" s="1482"/>
      <c r="L65" s="1482"/>
      <c r="M65" s="1482"/>
      <c r="N65" s="79">
        <f>사업수지표!AL44</f>
        <v>792000</v>
      </c>
      <c r="O65" s="564">
        <f>사업수지표!AR44</f>
        <v>0</v>
      </c>
      <c r="P65" s="494">
        <v>0</v>
      </c>
      <c r="Q65" s="494"/>
      <c r="R65" s="494"/>
      <c r="S65" s="494"/>
      <c r="T65" s="494"/>
      <c r="U65" s="494"/>
      <c r="V65" s="494"/>
      <c r="W65" s="494"/>
      <c r="X65" s="494">
        <f t="shared" ref="X65:AU65" si="189">$N$65/24</f>
        <v>33000</v>
      </c>
      <c r="Y65" s="494">
        <f t="shared" si="189"/>
        <v>33000</v>
      </c>
      <c r="Z65" s="494">
        <f t="shared" si="189"/>
        <v>33000</v>
      </c>
      <c r="AA65" s="494">
        <f t="shared" si="189"/>
        <v>33000</v>
      </c>
      <c r="AB65" s="494">
        <f t="shared" si="189"/>
        <v>33000</v>
      </c>
      <c r="AC65" s="494">
        <f t="shared" si="189"/>
        <v>33000</v>
      </c>
      <c r="AD65" s="494">
        <f t="shared" si="189"/>
        <v>33000</v>
      </c>
      <c r="AE65" s="494">
        <f t="shared" si="189"/>
        <v>33000</v>
      </c>
      <c r="AF65" s="494">
        <f t="shared" si="189"/>
        <v>33000</v>
      </c>
      <c r="AG65" s="494">
        <f t="shared" si="189"/>
        <v>33000</v>
      </c>
      <c r="AH65" s="494">
        <f t="shared" si="189"/>
        <v>33000</v>
      </c>
      <c r="AI65" s="494">
        <f t="shared" si="189"/>
        <v>33000</v>
      </c>
      <c r="AJ65" s="494">
        <f t="shared" si="189"/>
        <v>33000</v>
      </c>
      <c r="AK65" s="494">
        <f t="shared" si="189"/>
        <v>33000</v>
      </c>
      <c r="AL65" s="494">
        <f t="shared" si="189"/>
        <v>33000</v>
      </c>
      <c r="AM65" s="494">
        <f t="shared" si="189"/>
        <v>33000</v>
      </c>
      <c r="AN65" s="494">
        <f t="shared" si="189"/>
        <v>33000</v>
      </c>
      <c r="AO65" s="494">
        <f t="shared" si="189"/>
        <v>33000</v>
      </c>
      <c r="AP65" s="494">
        <f t="shared" si="189"/>
        <v>33000</v>
      </c>
      <c r="AQ65" s="494">
        <f t="shared" si="189"/>
        <v>33000</v>
      </c>
      <c r="AR65" s="494">
        <f t="shared" si="189"/>
        <v>33000</v>
      </c>
      <c r="AS65" s="494">
        <f t="shared" si="189"/>
        <v>33000</v>
      </c>
      <c r="AT65" s="494">
        <f t="shared" si="189"/>
        <v>33000</v>
      </c>
      <c r="AU65" s="494">
        <f t="shared" si="189"/>
        <v>33000</v>
      </c>
      <c r="AV65" s="494"/>
      <c r="AW65" s="494"/>
      <c r="AX65" s="494"/>
      <c r="AY65" s="494"/>
      <c r="AZ65" s="494"/>
      <c r="BA65" s="494"/>
      <c r="BB65" s="494"/>
      <c r="BC65" s="494"/>
      <c r="BD65" s="494"/>
      <c r="BE65" s="494"/>
      <c r="BF65" s="494"/>
      <c r="BG65" s="494"/>
      <c r="BH65" s="494"/>
      <c r="BI65" s="494"/>
      <c r="BJ65" s="494"/>
      <c r="BK65" s="494"/>
      <c r="BL65" s="494"/>
      <c r="BM65" s="494"/>
      <c r="BN65" s="494"/>
      <c r="BO65" s="494"/>
      <c r="BP65" s="494"/>
      <c r="BQ65" s="494"/>
      <c r="BR65" s="494"/>
      <c r="BS65" s="494"/>
      <c r="BT65" s="494"/>
      <c r="BU65" s="494"/>
      <c r="BV65" s="494"/>
      <c r="BW65" s="494"/>
      <c r="BX65" s="519"/>
      <c r="BY65" s="514">
        <f t="shared" ref="BY65:BY72" si="190">SUM(O65:BQ65)</f>
        <v>792000</v>
      </c>
      <c r="BZ65" s="113">
        <f t="shared" si="186"/>
        <v>0</v>
      </c>
      <c r="CA65" s="71"/>
    </row>
    <row r="66" spans="1:147" s="53" customFormat="1" ht="15" customHeight="1">
      <c r="A66" s="1627"/>
      <c r="B66" s="1492"/>
      <c r="C66" s="1492"/>
      <c r="D66" s="1481" t="str">
        <f>사업수지표!G45</f>
        <v>M/H건립비</v>
      </c>
      <c r="E66" s="1482"/>
      <c r="F66" s="1482"/>
      <c r="G66" s="1482"/>
      <c r="H66" s="1482"/>
      <c r="I66" s="1482"/>
      <c r="J66" s="1482"/>
      <c r="K66" s="1482"/>
      <c r="L66" s="1482"/>
      <c r="M66" s="1482"/>
      <c r="N66" s="79">
        <f>사업수지표!AL45</f>
        <v>1815000</v>
      </c>
      <c r="O66" s="564">
        <f>사업수지표!AR45</f>
        <v>0</v>
      </c>
      <c r="P66" s="494"/>
      <c r="Q66" s="494"/>
      <c r="R66" s="494"/>
      <c r="S66" s="494"/>
      <c r="T66" s="494"/>
      <c r="U66" s="494"/>
      <c r="V66" s="494"/>
      <c r="W66" s="494"/>
      <c r="X66" s="494">
        <f>N66/3</f>
        <v>605000</v>
      </c>
      <c r="Y66" s="494">
        <f>N66/3</f>
        <v>605000</v>
      </c>
      <c r="Z66" s="494">
        <f>N66/3</f>
        <v>605000</v>
      </c>
      <c r="AA66" s="494"/>
      <c r="AB66" s="494"/>
      <c r="AC66" s="494"/>
      <c r="AD66" s="494"/>
      <c r="AE66" s="494"/>
      <c r="AF66" s="494"/>
      <c r="AG66" s="494"/>
      <c r="AH66" s="494"/>
      <c r="AI66" s="494"/>
      <c r="AJ66" s="136"/>
      <c r="AK66" s="494"/>
      <c r="AL66" s="494"/>
      <c r="AM66" s="136"/>
      <c r="AN66" s="494"/>
      <c r="AO66" s="494"/>
      <c r="AP66" s="494"/>
      <c r="AQ66" s="494"/>
      <c r="AR66" s="494"/>
      <c r="AS66" s="494"/>
      <c r="AT66" s="494"/>
      <c r="AU66" s="494"/>
      <c r="AV66" s="494"/>
      <c r="AW66" s="494"/>
      <c r="AX66" s="494"/>
      <c r="AY66" s="494"/>
      <c r="AZ66" s="494"/>
      <c r="BA66" s="494"/>
      <c r="BB66" s="494"/>
      <c r="BC66" s="494"/>
      <c r="BD66" s="494"/>
      <c r="BE66" s="494"/>
      <c r="BF66" s="494"/>
      <c r="BG66" s="494"/>
      <c r="BH66" s="494"/>
      <c r="BI66" s="494"/>
      <c r="BJ66" s="494"/>
      <c r="BK66" s="494"/>
      <c r="BL66" s="494"/>
      <c r="BM66" s="494"/>
      <c r="BN66" s="494"/>
      <c r="BO66" s="494"/>
      <c r="BP66" s="494"/>
      <c r="BQ66" s="494"/>
      <c r="BR66" s="494"/>
      <c r="BS66" s="494"/>
      <c r="BT66" s="494"/>
      <c r="BU66" s="494"/>
      <c r="BV66" s="494"/>
      <c r="BW66" s="494"/>
      <c r="BX66" s="519"/>
      <c r="BY66" s="514">
        <f t="shared" si="190"/>
        <v>1815000</v>
      </c>
      <c r="BZ66" s="113">
        <f t="shared" si="186"/>
        <v>0</v>
      </c>
      <c r="CA66" s="71"/>
    </row>
    <row r="67" spans="1:147" s="53" customFormat="1" ht="15" customHeight="1">
      <c r="A67" s="1627"/>
      <c r="B67" s="1492"/>
      <c r="C67" s="1493"/>
      <c r="D67" s="1481" t="str">
        <f>사업수지표!G46</f>
        <v>M/H운영비</v>
      </c>
      <c r="E67" s="1482"/>
      <c r="F67" s="1482"/>
      <c r="G67" s="1482"/>
      <c r="H67" s="1482"/>
      <c r="I67" s="1482"/>
      <c r="J67" s="1482"/>
      <c r="K67" s="1482"/>
      <c r="L67" s="1482"/>
      <c r="M67" s="1482"/>
      <c r="N67" s="79">
        <f>사업수지표!AL46</f>
        <v>693000</v>
      </c>
      <c r="O67" s="564">
        <f>사업수지표!AR46</f>
        <v>0</v>
      </c>
      <c r="P67" s="494">
        <f>사업수지표!AR46</f>
        <v>0</v>
      </c>
      <c r="Q67" s="494"/>
      <c r="R67" s="494"/>
      <c r="S67" s="494"/>
      <c r="T67" s="494"/>
      <c r="U67" s="494"/>
      <c r="V67" s="494"/>
      <c r="W67" s="494"/>
      <c r="X67" s="494">
        <v>0</v>
      </c>
      <c r="Y67" s="494"/>
      <c r="Z67" s="494"/>
      <c r="AA67" s="494">
        <f>$N$67/21</f>
        <v>33000</v>
      </c>
      <c r="AB67" s="494">
        <f t="shared" ref="AB67:AU67" si="191">$N$67/21</f>
        <v>33000</v>
      </c>
      <c r="AC67" s="494">
        <f t="shared" si="191"/>
        <v>33000</v>
      </c>
      <c r="AD67" s="494">
        <f t="shared" si="191"/>
        <v>33000</v>
      </c>
      <c r="AE67" s="494">
        <f t="shared" si="191"/>
        <v>33000</v>
      </c>
      <c r="AF67" s="494">
        <f t="shared" si="191"/>
        <v>33000</v>
      </c>
      <c r="AG67" s="494">
        <f t="shared" si="191"/>
        <v>33000</v>
      </c>
      <c r="AH67" s="494">
        <f t="shared" si="191"/>
        <v>33000</v>
      </c>
      <c r="AI67" s="494">
        <f t="shared" si="191"/>
        <v>33000</v>
      </c>
      <c r="AJ67" s="494">
        <f t="shared" si="191"/>
        <v>33000</v>
      </c>
      <c r="AK67" s="494">
        <f t="shared" si="191"/>
        <v>33000</v>
      </c>
      <c r="AL67" s="494">
        <f t="shared" si="191"/>
        <v>33000</v>
      </c>
      <c r="AM67" s="494">
        <f t="shared" si="191"/>
        <v>33000</v>
      </c>
      <c r="AN67" s="494">
        <f t="shared" si="191"/>
        <v>33000</v>
      </c>
      <c r="AO67" s="494">
        <f t="shared" si="191"/>
        <v>33000</v>
      </c>
      <c r="AP67" s="494">
        <f t="shared" si="191"/>
        <v>33000</v>
      </c>
      <c r="AQ67" s="494">
        <f t="shared" si="191"/>
        <v>33000</v>
      </c>
      <c r="AR67" s="494">
        <f t="shared" si="191"/>
        <v>33000</v>
      </c>
      <c r="AS67" s="494">
        <f t="shared" si="191"/>
        <v>33000</v>
      </c>
      <c r="AT67" s="494">
        <f t="shared" si="191"/>
        <v>33000</v>
      </c>
      <c r="AU67" s="494">
        <f t="shared" si="191"/>
        <v>33000</v>
      </c>
      <c r="AV67" s="494"/>
      <c r="AW67" s="494"/>
      <c r="AX67" s="494"/>
      <c r="AY67" s="494"/>
      <c r="AZ67" s="494"/>
      <c r="BA67" s="494"/>
      <c r="BB67" s="494"/>
      <c r="BC67" s="494"/>
      <c r="BD67" s="494"/>
      <c r="BE67" s="494"/>
      <c r="BF67" s="494"/>
      <c r="BG67" s="494"/>
      <c r="BH67" s="494"/>
      <c r="BI67" s="494"/>
      <c r="BJ67" s="494"/>
      <c r="BK67" s="494"/>
      <c r="BL67" s="494"/>
      <c r="BM67" s="494"/>
      <c r="BN67" s="494"/>
      <c r="BO67" s="494"/>
      <c r="BP67" s="494"/>
      <c r="BQ67" s="494"/>
      <c r="BR67" s="494"/>
      <c r="BS67" s="494"/>
      <c r="BT67" s="494"/>
      <c r="BU67" s="494"/>
      <c r="BV67" s="494"/>
      <c r="BW67" s="494"/>
      <c r="BX67" s="519"/>
      <c r="BY67" s="514">
        <f t="shared" si="190"/>
        <v>693000</v>
      </c>
      <c r="BZ67" s="113">
        <f t="shared" si="186"/>
        <v>0</v>
      </c>
      <c r="CA67" s="71"/>
    </row>
    <row r="68" spans="1:147" s="53" customFormat="1" ht="15" customHeight="1">
      <c r="A68" s="1627"/>
      <c r="B68" s="1492"/>
      <c r="C68" s="1493"/>
      <c r="D68" s="1481" t="str">
        <f>사업수지표!G47</f>
        <v>광고홍보비</v>
      </c>
      <c r="E68" s="1482"/>
      <c r="F68" s="1482"/>
      <c r="G68" s="1482"/>
      <c r="H68" s="1482"/>
      <c r="I68" s="1482"/>
      <c r="J68" s="1482"/>
      <c r="K68" s="1482"/>
      <c r="L68" s="1482"/>
      <c r="M68" s="1482"/>
      <c r="N68" s="79">
        <f>사업수지표!AL47</f>
        <v>10039288.44325</v>
      </c>
      <c r="O68" s="564">
        <f>사업수지표!AR47</f>
        <v>0</v>
      </c>
      <c r="P68" s="494">
        <v>0</v>
      </c>
      <c r="Q68" s="494"/>
      <c r="R68" s="494"/>
      <c r="S68" s="494"/>
      <c r="T68" s="494"/>
      <c r="U68" s="494"/>
      <c r="V68" s="494"/>
      <c r="W68" s="494"/>
      <c r="X68" s="494">
        <f>N68*5%</f>
        <v>501964.42216250004</v>
      </c>
      <c r="Y68" s="494">
        <f>N68*2.5%</f>
        <v>250982.21108125002</v>
      </c>
      <c r="Z68" s="494">
        <f>N68*2.5%</f>
        <v>250982.21108125002</v>
      </c>
      <c r="AA68" s="494">
        <f>N68*30%</f>
        <v>3011786.5329749999</v>
      </c>
      <c r="AB68" s="494"/>
      <c r="AC68" s="494"/>
      <c r="AD68" s="494"/>
      <c r="AE68" s="494"/>
      <c r="AF68" s="494"/>
      <c r="AG68" s="494"/>
      <c r="AH68" s="494"/>
      <c r="AI68" s="494"/>
      <c r="AJ68" s="494"/>
      <c r="AK68" s="494"/>
      <c r="AL68" s="494">
        <f>N68*10%</f>
        <v>1003928.8443250001</v>
      </c>
      <c r="AM68" s="494"/>
      <c r="AN68" s="494"/>
      <c r="AO68" s="494"/>
      <c r="AP68" s="494"/>
      <c r="AQ68" s="494">
        <f>N68*10%</f>
        <v>1003928.8443250001</v>
      </c>
      <c r="AR68" s="494"/>
      <c r="AS68" s="494"/>
      <c r="AT68" s="494"/>
      <c r="AU68" s="494"/>
      <c r="AV68" s="494">
        <f>N68*10%</f>
        <v>1003928.8443250001</v>
      </c>
      <c r="AW68" s="494"/>
      <c r="AX68" s="494"/>
      <c r="AY68" s="494"/>
      <c r="AZ68" s="494"/>
      <c r="BA68" s="494">
        <f>N68*10%</f>
        <v>1003928.8443250001</v>
      </c>
      <c r="BB68" s="494"/>
      <c r="BC68" s="494"/>
      <c r="BD68" s="494"/>
      <c r="BE68" s="494">
        <f>N68*10%</f>
        <v>1003928.8443250001</v>
      </c>
      <c r="BF68" s="494"/>
      <c r="BG68" s="494"/>
      <c r="BH68" s="494"/>
      <c r="BI68" s="494">
        <f>N68*10%</f>
        <v>1003928.8443250001</v>
      </c>
      <c r="BJ68" s="494"/>
      <c r="BK68" s="494"/>
      <c r="BL68" s="494"/>
      <c r="BM68" s="494"/>
      <c r="BN68" s="494"/>
      <c r="BO68" s="494"/>
      <c r="BP68" s="494"/>
      <c r="BQ68" s="494"/>
      <c r="BR68" s="494"/>
      <c r="BS68" s="494"/>
      <c r="BT68" s="494"/>
      <c r="BU68" s="494"/>
      <c r="BV68" s="494"/>
      <c r="BW68" s="494"/>
      <c r="BX68" s="519"/>
      <c r="BY68" s="514">
        <f t="shared" si="190"/>
        <v>10039288.443250002</v>
      </c>
      <c r="BZ68" s="113">
        <f t="shared" si="186"/>
        <v>0</v>
      </c>
      <c r="CA68" s="71"/>
    </row>
    <row r="69" spans="1:147" s="53" customFormat="1" ht="15" customHeight="1">
      <c r="A69" s="1627"/>
      <c r="B69" s="1492"/>
      <c r="C69" s="1493"/>
      <c r="D69" s="1481" t="str">
        <f>사업수지표!G48</f>
        <v>분양보증 수수료</v>
      </c>
      <c r="E69" s="1482"/>
      <c r="F69" s="1482"/>
      <c r="G69" s="1482"/>
      <c r="H69" s="1482"/>
      <c r="I69" s="1482"/>
      <c r="J69" s="1482"/>
      <c r="K69" s="1482"/>
      <c r="L69" s="1482"/>
      <c r="M69" s="1482"/>
      <c r="N69" s="79">
        <f>사업수지표!AL48</f>
        <v>3747010.5810958329</v>
      </c>
      <c r="O69" s="564">
        <f>사업수지표!AR48</f>
        <v>0</v>
      </c>
      <c r="P69" s="494">
        <f>사업수지표!AR48</f>
        <v>0</v>
      </c>
      <c r="Q69" s="494"/>
      <c r="R69" s="494"/>
      <c r="S69" s="494"/>
      <c r="T69" s="494"/>
      <c r="U69" s="494"/>
      <c r="V69" s="494"/>
      <c r="W69" s="494"/>
      <c r="X69" s="494">
        <v>0</v>
      </c>
      <c r="Y69" s="494"/>
      <c r="Z69" s="494"/>
      <c r="AA69" s="494">
        <f>$N$69</f>
        <v>3747010.5810958329</v>
      </c>
      <c r="AB69" s="494"/>
      <c r="AC69" s="494"/>
      <c r="AD69" s="494"/>
      <c r="AE69" s="494"/>
      <c r="AF69" s="494"/>
      <c r="AG69" s="494"/>
      <c r="AH69" s="494"/>
      <c r="AI69" s="494"/>
      <c r="AJ69" s="136"/>
      <c r="AK69" s="494"/>
      <c r="AL69" s="494"/>
      <c r="AM69" s="136"/>
      <c r="AN69" s="494"/>
      <c r="AO69" s="494"/>
      <c r="AP69" s="494"/>
      <c r="AQ69" s="494"/>
      <c r="AR69" s="494"/>
      <c r="AS69" s="494"/>
      <c r="AT69" s="494"/>
      <c r="AU69" s="494"/>
      <c r="AV69" s="494"/>
      <c r="AW69" s="494"/>
      <c r="AX69" s="494"/>
      <c r="AY69" s="494"/>
      <c r="AZ69" s="494"/>
      <c r="BA69" s="494"/>
      <c r="BB69" s="494"/>
      <c r="BC69" s="494"/>
      <c r="BD69" s="494"/>
      <c r="BE69" s="494"/>
      <c r="BF69" s="494"/>
      <c r="BG69" s="494"/>
      <c r="BH69" s="494"/>
      <c r="BI69" s="494"/>
      <c r="BJ69" s="494"/>
      <c r="BK69" s="494"/>
      <c r="BL69" s="494"/>
      <c r="BM69" s="494"/>
      <c r="BN69" s="494"/>
      <c r="BO69" s="494"/>
      <c r="BP69" s="494"/>
      <c r="BQ69" s="494"/>
      <c r="BR69" s="494"/>
      <c r="BS69" s="494"/>
      <c r="BT69" s="494"/>
      <c r="BU69" s="494"/>
      <c r="BV69" s="494"/>
      <c r="BW69" s="494"/>
      <c r="BX69" s="519"/>
      <c r="BY69" s="514">
        <f t="shared" si="190"/>
        <v>3747010.5810958329</v>
      </c>
      <c r="BZ69" s="113">
        <f t="shared" si="186"/>
        <v>0</v>
      </c>
      <c r="CA69" s="71"/>
    </row>
    <row r="70" spans="1:147" s="53" customFormat="1" ht="15" customHeight="1">
      <c r="A70" s="1627"/>
      <c r="B70" s="1492"/>
      <c r="C70" s="1493"/>
      <c r="D70" s="1481" t="str">
        <f>사업수지표!G49</f>
        <v>분양수수료(공동주택)</v>
      </c>
      <c r="E70" s="1482"/>
      <c r="F70" s="1482"/>
      <c r="G70" s="1482"/>
      <c r="H70" s="1482"/>
      <c r="I70" s="1482"/>
      <c r="J70" s="1482"/>
      <c r="K70" s="1482"/>
      <c r="L70" s="1482"/>
      <c r="M70" s="1482"/>
      <c r="N70" s="79">
        <f>사업수지표!AL49</f>
        <v>10367500</v>
      </c>
      <c r="O70" s="564">
        <f>사업수지표!AR49</f>
        <v>0</v>
      </c>
      <c r="P70" s="494">
        <f>사업수지표!AR49</f>
        <v>0</v>
      </c>
      <c r="Q70" s="494"/>
      <c r="R70" s="494"/>
      <c r="S70" s="494"/>
      <c r="T70" s="494"/>
      <c r="U70" s="494"/>
      <c r="V70" s="494"/>
      <c r="W70" s="494"/>
      <c r="X70" s="494">
        <v>0</v>
      </c>
      <c r="Y70" s="494"/>
      <c r="Z70" s="494"/>
      <c r="AA70" s="494"/>
      <c r="AB70" s="494"/>
      <c r="AC70" s="494"/>
      <c r="AD70" s="494"/>
      <c r="AE70" s="494"/>
      <c r="AF70" s="494"/>
      <c r="AG70" s="494"/>
      <c r="AH70" s="494">
        <f>$N$70*AH10</f>
        <v>6116825.0000000009</v>
      </c>
      <c r="AI70" s="494">
        <f>$N$70*AI9</f>
        <v>311025</v>
      </c>
      <c r="AJ70" s="494">
        <f t="shared" ref="AJ70:BS70" si="192">$N$70*AJ9</f>
        <v>518375</v>
      </c>
      <c r="AK70" s="494">
        <f t="shared" si="192"/>
        <v>518375</v>
      </c>
      <c r="AL70" s="494">
        <f t="shared" si="192"/>
        <v>311025</v>
      </c>
      <c r="AM70" s="494">
        <f t="shared" si="192"/>
        <v>311025</v>
      </c>
      <c r="AN70" s="494">
        <f t="shared" si="192"/>
        <v>414700</v>
      </c>
      <c r="AO70" s="494">
        <f t="shared" si="192"/>
        <v>414700</v>
      </c>
      <c r="AP70" s="494">
        <f t="shared" si="192"/>
        <v>311025</v>
      </c>
      <c r="AQ70" s="494">
        <f t="shared" si="192"/>
        <v>311025</v>
      </c>
      <c r="AR70" s="494">
        <f t="shared" si="192"/>
        <v>103675</v>
      </c>
      <c r="AS70" s="494">
        <f t="shared" si="192"/>
        <v>103675</v>
      </c>
      <c r="AT70" s="494">
        <f t="shared" si="192"/>
        <v>103675</v>
      </c>
      <c r="AU70" s="494">
        <f t="shared" si="192"/>
        <v>103675</v>
      </c>
      <c r="AV70" s="494">
        <f t="shared" si="192"/>
        <v>103675</v>
      </c>
      <c r="AW70" s="494">
        <f t="shared" si="192"/>
        <v>103675</v>
      </c>
      <c r="AX70" s="494">
        <f t="shared" si="192"/>
        <v>103675</v>
      </c>
      <c r="AY70" s="494">
        <f t="shared" si="192"/>
        <v>0</v>
      </c>
      <c r="AZ70" s="494">
        <f t="shared" si="192"/>
        <v>0</v>
      </c>
      <c r="BA70" s="494">
        <f t="shared" si="192"/>
        <v>0</v>
      </c>
      <c r="BB70" s="494">
        <f t="shared" si="192"/>
        <v>0</v>
      </c>
      <c r="BC70" s="494">
        <f t="shared" si="192"/>
        <v>0</v>
      </c>
      <c r="BD70" s="494">
        <f t="shared" si="192"/>
        <v>0</v>
      </c>
      <c r="BE70" s="494">
        <f t="shared" si="192"/>
        <v>0</v>
      </c>
      <c r="BF70" s="494">
        <f t="shared" si="192"/>
        <v>0</v>
      </c>
      <c r="BG70" s="494">
        <f t="shared" si="192"/>
        <v>0</v>
      </c>
      <c r="BH70" s="494">
        <f t="shared" si="192"/>
        <v>0</v>
      </c>
      <c r="BI70" s="494">
        <f t="shared" si="192"/>
        <v>103675</v>
      </c>
      <c r="BJ70" s="494">
        <f t="shared" si="192"/>
        <v>0</v>
      </c>
      <c r="BK70" s="494">
        <f t="shared" si="192"/>
        <v>0</v>
      </c>
      <c r="BL70" s="494">
        <f t="shared" si="192"/>
        <v>0</v>
      </c>
      <c r="BM70" s="494">
        <f t="shared" si="192"/>
        <v>0</v>
      </c>
      <c r="BN70" s="494">
        <f t="shared" ref="BN70" si="193">$N$70*BN9</f>
        <v>0</v>
      </c>
      <c r="BO70" s="494">
        <f t="shared" si="192"/>
        <v>0</v>
      </c>
      <c r="BP70" s="494">
        <f t="shared" si="192"/>
        <v>0</v>
      </c>
      <c r="BQ70" s="494">
        <f t="shared" si="192"/>
        <v>0</v>
      </c>
      <c r="BR70" s="494">
        <f t="shared" si="192"/>
        <v>0</v>
      </c>
      <c r="BS70" s="494">
        <f t="shared" si="192"/>
        <v>0</v>
      </c>
      <c r="BT70" s="494"/>
      <c r="BU70" s="494"/>
      <c r="BV70" s="494"/>
      <c r="BW70" s="494"/>
      <c r="BX70" s="519"/>
      <c r="BY70" s="514">
        <f t="shared" si="190"/>
        <v>10367500</v>
      </c>
      <c r="BZ70" s="113">
        <f t="shared" si="186"/>
        <v>0</v>
      </c>
      <c r="CA70" s="71"/>
    </row>
    <row r="71" spans="1:147" s="53" customFormat="1" ht="15" customHeight="1">
      <c r="A71" s="1627"/>
      <c r="B71" s="1492"/>
      <c r="C71" s="1493"/>
      <c r="D71" s="1481" t="str">
        <f>사업수지표!G50</f>
        <v>분양수수료(근생)</v>
      </c>
      <c r="E71" s="1482"/>
      <c r="F71" s="1482"/>
      <c r="G71" s="1482"/>
      <c r="H71" s="1482"/>
      <c r="I71" s="1482"/>
      <c r="J71" s="1482"/>
      <c r="K71" s="1482"/>
      <c r="L71" s="1482"/>
      <c r="M71" s="1482"/>
      <c r="N71" s="79">
        <f>사업수지표!AL50</f>
        <v>609773.69199999992</v>
      </c>
      <c r="O71" s="564">
        <f>사업수지표!AR50</f>
        <v>0</v>
      </c>
      <c r="P71" s="494">
        <f>사업수지표!AR50</f>
        <v>0</v>
      </c>
      <c r="Q71" s="494"/>
      <c r="R71" s="494"/>
      <c r="S71" s="494"/>
      <c r="T71" s="494"/>
      <c r="U71" s="494"/>
      <c r="V71" s="494"/>
      <c r="W71" s="494"/>
      <c r="X71" s="494">
        <v>0</v>
      </c>
      <c r="Y71" s="494">
        <f t="shared" ref="Y71:AT71" si="194">$N$71*Y13</f>
        <v>0</v>
      </c>
      <c r="Z71" s="494"/>
      <c r="AA71" s="494"/>
      <c r="AB71" s="494"/>
      <c r="AC71" s="494"/>
      <c r="AD71" s="494"/>
      <c r="AE71" s="494"/>
      <c r="AF71" s="494"/>
      <c r="AG71" s="494"/>
      <c r="AH71" s="494">
        <f t="shared" si="194"/>
        <v>0</v>
      </c>
      <c r="AI71" s="494">
        <f t="shared" si="194"/>
        <v>0</v>
      </c>
      <c r="AJ71" s="494">
        <f t="shared" si="194"/>
        <v>0</v>
      </c>
      <c r="AK71" s="494">
        <f t="shared" si="194"/>
        <v>0</v>
      </c>
      <c r="AL71" s="494">
        <f t="shared" si="194"/>
        <v>0</v>
      </c>
      <c r="AM71" s="494">
        <f t="shared" si="194"/>
        <v>0</v>
      </c>
      <c r="AN71" s="494">
        <f t="shared" si="194"/>
        <v>0</v>
      </c>
      <c r="AO71" s="494">
        <f t="shared" si="194"/>
        <v>0</v>
      </c>
      <c r="AP71" s="494">
        <f t="shared" si="194"/>
        <v>0</v>
      </c>
      <c r="AQ71" s="494">
        <f t="shared" si="194"/>
        <v>121954.73839999999</v>
      </c>
      <c r="AR71" s="494">
        <f t="shared" si="194"/>
        <v>30488.684599999997</v>
      </c>
      <c r="AS71" s="494">
        <f t="shared" si="194"/>
        <v>30488.684599999997</v>
      </c>
      <c r="AT71" s="494">
        <f t="shared" si="194"/>
        <v>30488.684599999997</v>
      </c>
      <c r="AU71" s="494">
        <f>$N$71*AU13</f>
        <v>30488.684599999997</v>
      </c>
      <c r="AV71" s="494">
        <f t="shared" ref="AV71:BM71" si="195">$N$71*AV13</f>
        <v>30488.684599999997</v>
      </c>
      <c r="AW71" s="494">
        <f t="shared" si="195"/>
        <v>30488.684599999997</v>
      </c>
      <c r="AX71" s="494">
        <f t="shared" si="195"/>
        <v>30488.684599999997</v>
      </c>
      <c r="AY71" s="494">
        <f t="shared" si="195"/>
        <v>60977.369199999994</v>
      </c>
      <c r="AZ71" s="494">
        <f t="shared" si="195"/>
        <v>30488.684599999997</v>
      </c>
      <c r="BA71" s="494">
        <f t="shared" si="195"/>
        <v>30488.684599999997</v>
      </c>
      <c r="BB71" s="494">
        <f t="shared" si="195"/>
        <v>30488.684599999997</v>
      </c>
      <c r="BC71" s="494">
        <f t="shared" si="195"/>
        <v>30488.684599999997</v>
      </c>
      <c r="BD71" s="494">
        <f t="shared" si="195"/>
        <v>30488.684599999997</v>
      </c>
      <c r="BE71" s="494">
        <f t="shared" si="195"/>
        <v>0</v>
      </c>
      <c r="BF71" s="494">
        <f t="shared" si="195"/>
        <v>30488.684599999997</v>
      </c>
      <c r="BG71" s="494">
        <f t="shared" si="195"/>
        <v>0</v>
      </c>
      <c r="BH71" s="494">
        <f t="shared" si="195"/>
        <v>30488.684599999997</v>
      </c>
      <c r="BI71" s="494">
        <f t="shared" si="195"/>
        <v>0</v>
      </c>
      <c r="BJ71" s="494">
        <f t="shared" si="195"/>
        <v>0</v>
      </c>
      <c r="BK71" s="494">
        <f t="shared" si="195"/>
        <v>0</v>
      </c>
      <c r="BL71" s="494">
        <f t="shared" si="195"/>
        <v>0</v>
      </c>
      <c r="BM71" s="494">
        <f t="shared" si="195"/>
        <v>0</v>
      </c>
      <c r="BN71" s="494">
        <f t="shared" ref="BN71" si="196">$N$71*BN13</f>
        <v>0</v>
      </c>
      <c r="BO71" s="494">
        <f>$N$71*BO13</f>
        <v>0</v>
      </c>
      <c r="BP71" s="494">
        <f>$N$71*BP13</f>
        <v>0</v>
      </c>
      <c r="BQ71" s="494">
        <f>$N$71*BQ13</f>
        <v>0</v>
      </c>
      <c r="BR71" s="494">
        <f>$N$71*BR13</f>
        <v>0</v>
      </c>
      <c r="BS71" s="494"/>
      <c r="BT71" s="494"/>
      <c r="BU71" s="494"/>
      <c r="BV71" s="494"/>
      <c r="BW71" s="494"/>
      <c r="BX71" s="519"/>
      <c r="BY71" s="514">
        <f t="shared" si="190"/>
        <v>609773.69199999992</v>
      </c>
      <c r="BZ71" s="113">
        <f t="shared" si="186"/>
        <v>0</v>
      </c>
      <c r="CA71" s="71"/>
    </row>
    <row r="72" spans="1:147" s="53" customFormat="1" ht="15" customHeight="1">
      <c r="A72" s="1627"/>
      <c r="B72" s="1492"/>
      <c r="C72" s="1493"/>
      <c r="D72" s="1481" t="str">
        <f>사업수지표!G51</f>
        <v>분양촉진비</v>
      </c>
      <c r="E72" s="1482"/>
      <c r="F72" s="1482"/>
      <c r="G72" s="1482"/>
      <c r="H72" s="1482"/>
      <c r="I72" s="1482"/>
      <c r="J72" s="1482"/>
      <c r="K72" s="1482"/>
      <c r="L72" s="1482"/>
      <c r="M72" s="1482"/>
      <c r="N72" s="79">
        <f>사업수지표!AL51</f>
        <v>6220500</v>
      </c>
      <c r="O72" s="564">
        <f>사업수지표!AR51</f>
        <v>0</v>
      </c>
      <c r="P72" s="494"/>
      <c r="Q72" s="494"/>
      <c r="R72" s="494"/>
      <c r="S72" s="494"/>
      <c r="T72" s="494"/>
      <c r="U72" s="494"/>
      <c r="V72" s="494"/>
      <c r="W72" s="494"/>
      <c r="X72" s="494"/>
      <c r="Y72" s="494"/>
      <c r="Z72" s="494"/>
      <c r="AA72" s="494"/>
      <c r="AB72" s="494"/>
      <c r="AC72" s="494"/>
      <c r="AD72" s="494"/>
      <c r="AE72" s="494"/>
      <c r="AF72" s="494"/>
      <c r="AG72" s="494"/>
      <c r="AH72" s="494"/>
      <c r="AI72" s="494"/>
      <c r="AJ72" s="494"/>
      <c r="AK72" s="494"/>
      <c r="AL72" s="494"/>
      <c r="AM72" s="494"/>
      <c r="AN72" s="494"/>
      <c r="AO72" s="494"/>
      <c r="AP72" s="494">
        <f>N72*40%</f>
        <v>2488200</v>
      </c>
      <c r="AQ72" s="494"/>
      <c r="AR72" s="494"/>
      <c r="AS72" s="494"/>
      <c r="AT72" s="494"/>
      <c r="AU72" s="494"/>
      <c r="AV72" s="494">
        <f>N72*30%</f>
        <v>1866150</v>
      </c>
      <c r="AW72" s="494"/>
      <c r="AX72" s="494"/>
      <c r="AY72" s="494"/>
      <c r="AZ72" s="494"/>
      <c r="BA72" s="494">
        <f>N72*30%</f>
        <v>1866150</v>
      </c>
      <c r="BB72" s="494"/>
      <c r="BC72" s="494"/>
      <c r="BD72" s="494"/>
      <c r="BE72" s="494"/>
      <c r="BF72" s="494"/>
      <c r="BG72" s="494"/>
      <c r="BH72" s="494"/>
      <c r="BI72" s="494"/>
      <c r="BJ72" s="494"/>
      <c r="BK72" s="494"/>
      <c r="BL72" s="494"/>
      <c r="BM72" s="494"/>
      <c r="BN72" s="494"/>
      <c r="BO72" s="494"/>
      <c r="BP72" s="494"/>
      <c r="BQ72" s="494"/>
      <c r="BR72" s="494"/>
      <c r="BS72" s="494"/>
      <c r="BT72" s="494"/>
      <c r="BU72" s="494"/>
      <c r="BV72" s="494"/>
      <c r="BW72" s="494"/>
      <c r="BX72" s="519"/>
      <c r="BY72" s="514">
        <f t="shared" si="190"/>
        <v>6220500</v>
      </c>
      <c r="BZ72" s="113">
        <f t="shared" si="186"/>
        <v>0</v>
      </c>
      <c r="CA72" s="71"/>
    </row>
    <row r="73" spans="1:147" s="746" customFormat="1" ht="15" customHeight="1">
      <c r="A73" s="1627"/>
      <c r="B73" s="1492"/>
      <c r="C73" s="1493"/>
      <c r="D73" s="1491" t="s">
        <v>141</v>
      </c>
      <c r="E73" s="1559"/>
      <c r="F73" s="1559"/>
      <c r="G73" s="1559"/>
      <c r="H73" s="1559"/>
      <c r="I73" s="1559"/>
      <c r="J73" s="1559"/>
      <c r="K73" s="1559"/>
      <c r="L73" s="1559"/>
      <c r="M73" s="1559"/>
      <c r="N73" s="753">
        <f>SUM(N65:N72)</f>
        <v>34284072.716345832</v>
      </c>
      <c r="O73" s="748">
        <f>SUM(O65:O72)</f>
        <v>0</v>
      </c>
      <c r="P73" s="748">
        <f t="shared" ref="P73:BQ73" si="197">SUM(P65:P72)</f>
        <v>0</v>
      </c>
      <c r="Q73" s="748">
        <f t="shared" si="197"/>
        <v>0</v>
      </c>
      <c r="R73" s="748">
        <f t="shared" si="197"/>
        <v>0</v>
      </c>
      <c r="S73" s="748">
        <f t="shared" si="197"/>
        <v>0</v>
      </c>
      <c r="T73" s="748">
        <f t="shared" si="197"/>
        <v>0</v>
      </c>
      <c r="U73" s="748">
        <f t="shared" si="197"/>
        <v>0</v>
      </c>
      <c r="V73" s="748">
        <f t="shared" si="197"/>
        <v>0</v>
      </c>
      <c r="W73" s="748">
        <f t="shared" si="197"/>
        <v>0</v>
      </c>
      <c r="X73" s="748">
        <f t="shared" si="197"/>
        <v>1139964.4221625</v>
      </c>
      <c r="Y73" s="748">
        <f t="shared" si="197"/>
        <v>888982.21108124999</v>
      </c>
      <c r="Z73" s="748">
        <f t="shared" si="197"/>
        <v>888982.21108124999</v>
      </c>
      <c r="AA73" s="748">
        <f>SUM(AA65:AA72)</f>
        <v>6824797.1140708327</v>
      </c>
      <c r="AB73" s="748">
        <f t="shared" ref="AB73:AH73" si="198">SUM(AB65:AB72)</f>
        <v>66000</v>
      </c>
      <c r="AC73" s="748">
        <f t="shared" si="198"/>
        <v>66000</v>
      </c>
      <c r="AD73" s="748">
        <f t="shared" si="198"/>
        <v>66000</v>
      </c>
      <c r="AE73" s="748">
        <f t="shared" si="198"/>
        <v>66000</v>
      </c>
      <c r="AF73" s="748">
        <f t="shared" si="198"/>
        <v>66000</v>
      </c>
      <c r="AG73" s="748">
        <f t="shared" si="198"/>
        <v>66000</v>
      </c>
      <c r="AH73" s="748">
        <f t="shared" si="198"/>
        <v>6182825.0000000009</v>
      </c>
      <c r="AI73" s="748">
        <f t="shared" si="197"/>
        <v>377025</v>
      </c>
      <c r="AJ73" s="748">
        <f t="shared" si="197"/>
        <v>584375</v>
      </c>
      <c r="AK73" s="748">
        <f t="shared" si="197"/>
        <v>584375</v>
      </c>
      <c r="AL73" s="748">
        <f t="shared" si="197"/>
        <v>1380953.844325</v>
      </c>
      <c r="AM73" s="748">
        <f t="shared" si="197"/>
        <v>377025</v>
      </c>
      <c r="AN73" s="748">
        <f t="shared" si="197"/>
        <v>480700</v>
      </c>
      <c r="AO73" s="748">
        <f t="shared" si="197"/>
        <v>480700</v>
      </c>
      <c r="AP73" s="748">
        <f t="shared" si="197"/>
        <v>2865225</v>
      </c>
      <c r="AQ73" s="748">
        <f t="shared" si="197"/>
        <v>1502908.5827249999</v>
      </c>
      <c r="AR73" s="748">
        <f t="shared" si="197"/>
        <v>200163.68460000001</v>
      </c>
      <c r="AS73" s="748">
        <f t="shared" si="197"/>
        <v>200163.68460000001</v>
      </c>
      <c r="AT73" s="748">
        <f t="shared" si="197"/>
        <v>200163.68460000001</v>
      </c>
      <c r="AU73" s="748">
        <f t="shared" si="197"/>
        <v>200163.68460000001</v>
      </c>
      <c r="AV73" s="748">
        <f t="shared" si="197"/>
        <v>3004242.5289249998</v>
      </c>
      <c r="AW73" s="748">
        <f t="shared" si="197"/>
        <v>134163.68460000001</v>
      </c>
      <c r="AX73" s="748">
        <f t="shared" si="197"/>
        <v>134163.68460000001</v>
      </c>
      <c r="AY73" s="748">
        <f t="shared" si="197"/>
        <v>60977.369199999994</v>
      </c>
      <c r="AZ73" s="748">
        <f t="shared" si="197"/>
        <v>30488.684599999997</v>
      </c>
      <c r="BA73" s="748">
        <f t="shared" si="197"/>
        <v>2900567.5289250002</v>
      </c>
      <c r="BB73" s="748">
        <f t="shared" si="197"/>
        <v>30488.684599999997</v>
      </c>
      <c r="BC73" s="748">
        <f t="shared" si="197"/>
        <v>30488.684599999997</v>
      </c>
      <c r="BD73" s="748">
        <f t="shared" si="197"/>
        <v>30488.684599999997</v>
      </c>
      <c r="BE73" s="748">
        <f t="shared" si="197"/>
        <v>1003928.8443250001</v>
      </c>
      <c r="BF73" s="748">
        <f t="shared" si="197"/>
        <v>30488.684599999997</v>
      </c>
      <c r="BG73" s="748">
        <f t="shared" si="197"/>
        <v>0</v>
      </c>
      <c r="BH73" s="748">
        <f t="shared" si="197"/>
        <v>30488.684599999997</v>
      </c>
      <c r="BI73" s="748">
        <f t="shared" si="197"/>
        <v>1107603.844325</v>
      </c>
      <c r="BJ73" s="748">
        <f t="shared" si="197"/>
        <v>0</v>
      </c>
      <c r="BK73" s="748">
        <f t="shared" si="197"/>
        <v>0</v>
      </c>
      <c r="BL73" s="748">
        <f t="shared" si="197"/>
        <v>0</v>
      </c>
      <c r="BM73" s="748">
        <f t="shared" si="197"/>
        <v>0</v>
      </c>
      <c r="BN73" s="748">
        <f t="shared" ref="BN73" si="199">SUM(BN65:BN72)</f>
        <v>0</v>
      </c>
      <c r="BO73" s="748">
        <f t="shared" si="197"/>
        <v>0</v>
      </c>
      <c r="BP73" s="748">
        <f t="shared" si="197"/>
        <v>0</v>
      </c>
      <c r="BQ73" s="748">
        <f t="shared" si="197"/>
        <v>0</v>
      </c>
      <c r="BR73" s="748">
        <f t="shared" ref="BR73" si="200">SUM(BR65:BR71)</f>
        <v>0</v>
      </c>
      <c r="BS73" s="748">
        <f t="shared" ref="BS73" si="201">SUM(BS65:BS71)</f>
        <v>0</v>
      </c>
      <c r="BT73" s="748">
        <f t="shared" ref="BT73" si="202">SUM(BT65:BT71)</f>
        <v>0</v>
      </c>
      <c r="BU73" s="748">
        <f t="shared" ref="BU73" si="203">SUM(BU65:BU71)</f>
        <v>0</v>
      </c>
      <c r="BV73" s="748">
        <f t="shared" ref="BV73" si="204">SUM(BV65:BV71)</f>
        <v>0</v>
      </c>
      <c r="BW73" s="748">
        <f t="shared" ref="BW73" si="205">SUM(BW65:BW71)</f>
        <v>0</v>
      </c>
      <c r="BX73" s="748">
        <f t="shared" ref="BX73" si="206">SUM(BX65:BX71)</f>
        <v>0</v>
      </c>
      <c r="BY73" s="750">
        <f>SUM(BY65:BY72)</f>
        <v>34284072.716345832</v>
      </c>
      <c r="BZ73" s="743">
        <f t="shared" si="186"/>
        <v>0</v>
      </c>
      <c r="CA73" s="752">
        <f>SUM(O73:BX73)-BY73</f>
        <v>0</v>
      </c>
      <c r="CB73" s="745"/>
      <c r="CC73" s="745"/>
      <c r="CD73" s="745"/>
      <c r="CE73" s="745"/>
      <c r="CF73" s="745"/>
      <c r="CG73" s="745"/>
      <c r="CH73" s="745"/>
      <c r="CI73" s="745"/>
      <c r="CJ73" s="745"/>
      <c r="CK73" s="745"/>
      <c r="CL73" s="745"/>
      <c r="CM73" s="745"/>
      <c r="CN73" s="745"/>
      <c r="CO73" s="745"/>
      <c r="CP73" s="745"/>
      <c r="CQ73" s="745"/>
      <c r="CR73" s="745"/>
      <c r="CS73" s="745"/>
      <c r="CT73" s="745"/>
      <c r="CU73" s="745"/>
      <c r="CV73" s="745"/>
      <c r="CW73" s="745"/>
      <c r="CX73" s="745"/>
      <c r="CY73" s="745"/>
      <c r="CZ73" s="745"/>
      <c r="DA73" s="745"/>
      <c r="DB73" s="745"/>
      <c r="DC73" s="745"/>
      <c r="DD73" s="745"/>
      <c r="DE73" s="745"/>
      <c r="DF73" s="745"/>
      <c r="DG73" s="745"/>
      <c r="DH73" s="745"/>
      <c r="DI73" s="745"/>
      <c r="DJ73" s="745"/>
      <c r="DK73" s="745"/>
      <c r="DL73" s="745"/>
      <c r="DM73" s="745"/>
      <c r="DN73" s="745"/>
      <c r="DO73" s="745"/>
      <c r="DP73" s="745"/>
      <c r="DQ73" s="745"/>
      <c r="DR73" s="745"/>
      <c r="DS73" s="745"/>
      <c r="DT73" s="745"/>
      <c r="DU73" s="745"/>
      <c r="DV73" s="745"/>
      <c r="DW73" s="745"/>
      <c r="DX73" s="745"/>
      <c r="DY73" s="745"/>
      <c r="DZ73" s="745"/>
      <c r="EA73" s="745"/>
      <c r="EB73" s="745"/>
      <c r="EC73" s="745"/>
      <c r="ED73" s="745"/>
      <c r="EE73" s="745"/>
      <c r="EF73" s="745"/>
      <c r="EG73" s="745"/>
      <c r="EH73" s="745"/>
      <c r="EI73" s="745"/>
      <c r="EJ73" s="745"/>
      <c r="EK73" s="745"/>
      <c r="EL73" s="745"/>
      <c r="EM73" s="745"/>
      <c r="EN73" s="745"/>
      <c r="EO73" s="745"/>
      <c r="EP73" s="745"/>
      <c r="EQ73" s="745"/>
    </row>
    <row r="74" spans="1:147" s="53" customFormat="1" ht="15" customHeight="1">
      <c r="A74" s="1627"/>
      <c r="B74" s="1492" t="s">
        <v>37</v>
      </c>
      <c r="C74" s="1492"/>
      <c r="D74" s="1466" t="str">
        <f>사업수지표!G53</f>
        <v>신탁보수</v>
      </c>
      <c r="E74" s="1479"/>
      <c r="F74" s="1479"/>
      <c r="G74" s="1479"/>
      <c r="H74" s="1479"/>
      <c r="I74" s="1479"/>
      <c r="J74" s="1479"/>
      <c r="K74" s="1479"/>
      <c r="L74" s="1479"/>
      <c r="M74" s="1480"/>
      <c r="N74" s="79">
        <f>사업수지표!AL53</f>
        <v>27379877.572499994</v>
      </c>
      <c r="O74" s="564">
        <f>사업수지표!AR53</f>
        <v>0</v>
      </c>
      <c r="P74" s="494">
        <f>사업수지표!AS53</f>
        <v>2737987.7572499998</v>
      </c>
      <c r="Q74" s="494"/>
      <c r="R74" s="494"/>
      <c r="S74" s="494"/>
      <c r="T74" s="494"/>
      <c r="U74" s="494"/>
      <c r="V74" s="494"/>
      <c r="W74" s="494"/>
      <c r="X74" s="494"/>
      <c r="Y74" s="494"/>
      <c r="Z74" s="494"/>
      <c r="AA74" s="494">
        <f>N74*10%</f>
        <v>2737987.7572499998</v>
      </c>
      <c r="AB74" s="494"/>
      <c r="AC74" s="494"/>
      <c r="AD74" s="494"/>
      <c r="AE74" s="494"/>
      <c r="AF74" s="494"/>
      <c r="AG74" s="494"/>
      <c r="AH74" s="494"/>
      <c r="AI74" s="494"/>
      <c r="AJ74" s="494"/>
      <c r="AK74" s="494"/>
      <c r="AL74" s="494">
        <f>N74*10%</f>
        <v>2737987.7572499998</v>
      </c>
      <c r="AM74" s="494"/>
      <c r="AN74" s="494"/>
      <c r="AO74" s="494"/>
      <c r="AP74" s="494"/>
      <c r="AQ74" s="494">
        <f>N74*10%</f>
        <v>2737987.7572499998</v>
      </c>
      <c r="AR74" s="494"/>
      <c r="AS74" s="494"/>
      <c r="AT74" s="494"/>
      <c r="AU74" s="494"/>
      <c r="AV74" s="494">
        <f>N74*10%</f>
        <v>2737987.7572499998</v>
      </c>
      <c r="AW74" s="494"/>
      <c r="AX74" s="494"/>
      <c r="AY74" s="494"/>
      <c r="AZ74" s="494"/>
      <c r="BA74" s="494">
        <f>N74*10%</f>
        <v>2737987.7572499998</v>
      </c>
      <c r="BB74" s="494"/>
      <c r="BC74" s="136"/>
      <c r="BD74" s="494"/>
      <c r="BE74" s="494">
        <f>N74*10%</f>
        <v>2737987.7572499998</v>
      </c>
      <c r="BF74" s="494"/>
      <c r="BG74" s="494"/>
      <c r="BH74" s="494"/>
      <c r="BI74" s="494">
        <f>N74*10%</f>
        <v>2737987.7572499998</v>
      </c>
      <c r="BJ74" s="494"/>
      <c r="BK74" s="494"/>
      <c r="BL74" s="494">
        <f>N74*10%</f>
        <v>2737987.7572499998</v>
      </c>
      <c r="BM74" s="494"/>
      <c r="BN74" s="494">
        <f>N74*10%</f>
        <v>2737987.7572499998</v>
      </c>
      <c r="BO74" s="494"/>
      <c r="BP74" s="494"/>
      <c r="BQ74" s="494"/>
      <c r="BR74" s="494"/>
      <c r="BS74" s="494"/>
      <c r="BT74" s="494"/>
      <c r="BU74" s="494"/>
      <c r="BV74" s="494"/>
      <c r="BW74" s="494"/>
      <c r="BX74" s="519"/>
      <c r="BY74" s="514">
        <f t="shared" ref="BY74:BY79" si="207">SUM(O74:BQ74)</f>
        <v>27379877.572499998</v>
      </c>
      <c r="BZ74" s="113">
        <f t="shared" si="186"/>
        <v>0</v>
      </c>
      <c r="CA74" s="71"/>
    </row>
    <row r="75" spans="1:147" s="53" customFormat="1" ht="15" hidden="1" customHeight="1">
      <c r="A75" s="1627"/>
      <c r="B75" s="1492"/>
      <c r="C75" s="1492"/>
      <c r="D75" s="1466">
        <f>사업수지표!G54</f>
        <v>0</v>
      </c>
      <c r="E75" s="1479"/>
      <c r="F75" s="1479"/>
      <c r="G75" s="1479"/>
      <c r="H75" s="1479"/>
      <c r="I75" s="1479"/>
      <c r="J75" s="1479"/>
      <c r="K75" s="1479"/>
      <c r="L75" s="1479"/>
      <c r="M75" s="1480"/>
      <c r="N75" s="79">
        <f>사업수지표!AL54</f>
        <v>0</v>
      </c>
      <c r="O75" s="564">
        <f>사업수지표!AR54</f>
        <v>0</v>
      </c>
      <c r="P75" s="494">
        <f>N75</f>
        <v>0</v>
      </c>
      <c r="Q75" s="494"/>
      <c r="R75" s="494"/>
      <c r="S75" s="494"/>
      <c r="T75" s="494"/>
      <c r="U75" s="494"/>
      <c r="V75" s="494"/>
      <c r="W75" s="494"/>
      <c r="X75" s="494"/>
      <c r="Y75" s="494"/>
      <c r="Z75" s="494"/>
      <c r="AA75" s="494"/>
      <c r="AB75" s="494"/>
      <c r="AC75" s="494"/>
      <c r="AD75" s="494"/>
      <c r="AE75" s="494"/>
      <c r="AF75" s="494"/>
      <c r="AG75" s="494"/>
      <c r="AH75" s="494"/>
      <c r="AI75" s="494"/>
      <c r="AJ75" s="494"/>
      <c r="AK75" s="494"/>
      <c r="AL75" s="494"/>
      <c r="AM75" s="494"/>
      <c r="AN75" s="494"/>
      <c r="AO75" s="494"/>
      <c r="AP75" s="494"/>
      <c r="AQ75" s="494"/>
      <c r="AR75" s="494"/>
      <c r="AS75" s="494"/>
      <c r="AT75" s="494"/>
      <c r="AU75" s="494"/>
      <c r="AV75" s="494"/>
      <c r="AW75" s="494"/>
      <c r="AX75" s="494"/>
      <c r="AY75" s="494"/>
      <c r="AZ75" s="494"/>
      <c r="BA75" s="494"/>
      <c r="BB75" s="494"/>
      <c r="BC75" s="494"/>
      <c r="BD75" s="494"/>
      <c r="BE75" s="494"/>
      <c r="BF75" s="494"/>
      <c r="BG75" s="494"/>
      <c r="BH75" s="494"/>
      <c r="BI75" s="494"/>
      <c r="BJ75" s="494"/>
      <c r="BK75" s="494"/>
      <c r="BL75" s="494"/>
      <c r="BM75" s="494"/>
      <c r="BN75" s="494"/>
      <c r="BO75" s="494"/>
      <c r="BP75" s="494"/>
      <c r="BQ75" s="494"/>
      <c r="BR75" s="494"/>
      <c r="BS75" s="494"/>
      <c r="BT75" s="494"/>
      <c r="BU75" s="494"/>
      <c r="BV75" s="494"/>
      <c r="BW75" s="494"/>
      <c r="BX75" s="519"/>
      <c r="BY75" s="514">
        <f t="shared" si="207"/>
        <v>0</v>
      </c>
      <c r="BZ75" s="113">
        <f t="shared" si="186"/>
        <v>0</v>
      </c>
      <c r="CA75" s="71"/>
    </row>
    <row r="76" spans="1:147" s="53" customFormat="1" ht="15" customHeight="1">
      <c r="A76" s="1627"/>
      <c r="B76" s="1492"/>
      <c r="C76" s="1492"/>
      <c r="D76" s="1466" t="str">
        <f>사업수지표!G55</f>
        <v>시행사운영비</v>
      </c>
      <c r="E76" s="1479"/>
      <c r="F76" s="1479"/>
      <c r="G76" s="1479"/>
      <c r="H76" s="1479"/>
      <c r="I76" s="1479"/>
      <c r="J76" s="1479"/>
      <c r="K76" s="1479"/>
      <c r="L76" s="1479"/>
      <c r="M76" s="1480"/>
      <c r="N76" s="79">
        <f>사업수지표!AL55</f>
        <v>1850000</v>
      </c>
      <c r="O76" s="564">
        <f>사업수지표!AR55</f>
        <v>0</v>
      </c>
      <c r="P76" s="494"/>
      <c r="Q76" s="494"/>
      <c r="R76" s="494"/>
      <c r="S76" s="494"/>
      <c r="T76" s="494"/>
      <c r="U76" s="494"/>
      <c r="V76" s="494"/>
      <c r="W76" s="494"/>
      <c r="X76" s="494"/>
      <c r="Y76" s="494"/>
      <c r="Z76" s="494"/>
      <c r="AA76" s="494">
        <f>사업수지표!$AW$55</f>
        <v>50000</v>
      </c>
      <c r="AB76" s="494">
        <f>사업수지표!$AW$55</f>
        <v>50000</v>
      </c>
      <c r="AC76" s="494">
        <f>사업수지표!$AW$55</f>
        <v>50000</v>
      </c>
      <c r="AD76" s="494">
        <f>사업수지표!$AW$55</f>
        <v>50000</v>
      </c>
      <c r="AE76" s="494">
        <f>사업수지표!$AW$55</f>
        <v>50000</v>
      </c>
      <c r="AF76" s="494">
        <f>사업수지표!$AW$55</f>
        <v>50000</v>
      </c>
      <c r="AG76" s="494">
        <f>사업수지표!$AW$55</f>
        <v>50000</v>
      </c>
      <c r="AH76" s="494">
        <f>사업수지표!$AW$55</f>
        <v>50000</v>
      </c>
      <c r="AI76" s="494">
        <f>사업수지표!$AW$55</f>
        <v>50000</v>
      </c>
      <c r="AJ76" s="494">
        <f>사업수지표!$AW$55</f>
        <v>50000</v>
      </c>
      <c r="AK76" s="494">
        <f>사업수지표!$AW$55</f>
        <v>50000</v>
      </c>
      <c r="AL76" s="494">
        <f>사업수지표!$AW$55</f>
        <v>50000</v>
      </c>
      <c r="AM76" s="494">
        <f>사업수지표!$AW$55</f>
        <v>50000</v>
      </c>
      <c r="AN76" s="494">
        <f>사업수지표!$AW$55</f>
        <v>50000</v>
      </c>
      <c r="AO76" s="494">
        <f>사업수지표!$AW$55</f>
        <v>50000</v>
      </c>
      <c r="AP76" s="494">
        <f>사업수지표!$AW$55</f>
        <v>50000</v>
      </c>
      <c r="AQ76" s="494">
        <f>사업수지표!$AW$55</f>
        <v>50000</v>
      </c>
      <c r="AR76" s="494">
        <f>사업수지표!$AW$55</f>
        <v>50000</v>
      </c>
      <c r="AS76" s="494">
        <f>사업수지표!$AW$55</f>
        <v>50000</v>
      </c>
      <c r="AT76" s="494">
        <f>사업수지표!$AW$55</f>
        <v>50000</v>
      </c>
      <c r="AU76" s="494">
        <f>사업수지표!$AW$55</f>
        <v>50000</v>
      </c>
      <c r="AV76" s="494">
        <f>사업수지표!$AW$55</f>
        <v>50000</v>
      </c>
      <c r="AW76" s="494">
        <f>사업수지표!$AW$55</f>
        <v>50000</v>
      </c>
      <c r="AX76" s="494">
        <f>사업수지표!$AW$55</f>
        <v>50000</v>
      </c>
      <c r="AY76" s="494">
        <f>사업수지표!$AW$55</f>
        <v>50000</v>
      </c>
      <c r="AZ76" s="494">
        <f>사업수지표!$AW$55</f>
        <v>50000</v>
      </c>
      <c r="BA76" s="494">
        <f>사업수지표!$AW$55</f>
        <v>50000</v>
      </c>
      <c r="BB76" s="494">
        <f>사업수지표!$AW$55</f>
        <v>50000</v>
      </c>
      <c r="BC76" s="494">
        <f>사업수지표!$AW$55</f>
        <v>50000</v>
      </c>
      <c r="BD76" s="494">
        <f>사업수지표!$AW$55</f>
        <v>50000</v>
      </c>
      <c r="BE76" s="494">
        <f>사업수지표!$AW$55</f>
        <v>50000</v>
      </c>
      <c r="BF76" s="494">
        <f>사업수지표!$AW$55</f>
        <v>50000</v>
      </c>
      <c r="BG76" s="494">
        <f>사업수지표!$AW$55</f>
        <v>50000</v>
      </c>
      <c r="BH76" s="494">
        <f>사업수지표!$AW$55</f>
        <v>50000</v>
      </c>
      <c r="BI76" s="494">
        <f>사업수지표!$AW$55</f>
        <v>50000</v>
      </c>
      <c r="BJ76" s="494">
        <f>사업수지표!$AW$55</f>
        <v>50000</v>
      </c>
      <c r="BK76" s="494">
        <f>사업수지표!$AW$55</f>
        <v>50000</v>
      </c>
      <c r="BL76" s="494"/>
      <c r="BM76" s="494"/>
      <c r="BN76" s="494"/>
      <c r="BO76" s="494"/>
      <c r="BP76" s="494"/>
      <c r="BQ76" s="494"/>
      <c r="BR76" s="494"/>
      <c r="BS76" s="494"/>
      <c r="BT76" s="494"/>
      <c r="BU76" s="494"/>
      <c r="BV76" s="494"/>
      <c r="BW76" s="494"/>
      <c r="BX76" s="519"/>
      <c r="BY76" s="514">
        <f t="shared" si="207"/>
        <v>1850000</v>
      </c>
      <c r="BZ76" s="113">
        <f t="shared" si="186"/>
        <v>0</v>
      </c>
      <c r="CA76" s="71"/>
    </row>
    <row r="77" spans="1:147" s="53" customFormat="1" ht="15" hidden="1" customHeight="1">
      <c r="A77" s="1627"/>
      <c r="B77" s="1492"/>
      <c r="C77" s="1492"/>
      <c r="D77" s="1466">
        <f>사업수지표!G56</f>
        <v>0</v>
      </c>
      <c r="E77" s="1479"/>
      <c r="F77" s="1479"/>
      <c r="G77" s="1479"/>
      <c r="H77" s="1479"/>
      <c r="I77" s="1479"/>
      <c r="J77" s="1479"/>
      <c r="K77" s="1479"/>
      <c r="L77" s="1479"/>
      <c r="M77" s="1480"/>
      <c r="N77" s="79">
        <f>사업수지표!AL56</f>
        <v>0</v>
      </c>
      <c r="O77" s="564">
        <f>사업수지표!AR56</f>
        <v>0</v>
      </c>
      <c r="P77" s="494">
        <f>사업수지표!AR56</f>
        <v>0</v>
      </c>
      <c r="Q77" s="494"/>
      <c r="R77" s="494"/>
      <c r="S77" s="494"/>
      <c r="T77" s="494"/>
      <c r="U77" s="494"/>
      <c r="V77" s="494"/>
      <c r="W77" s="494"/>
      <c r="X77" s="494">
        <v>0</v>
      </c>
      <c r="Y77" s="494"/>
      <c r="Z77" s="494"/>
      <c r="AA77" s="494"/>
      <c r="AB77" s="494"/>
      <c r="AC77" s="494"/>
      <c r="AD77" s="494"/>
      <c r="AE77" s="494"/>
      <c r="AF77" s="494"/>
      <c r="AG77" s="494"/>
      <c r="AH77" s="494"/>
      <c r="AI77" s="494"/>
      <c r="AJ77" s="494"/>
      <c r="AK77" s="494"/>
      <c r="AL77" s="494"/>
      <c r="AM77" s="494"/>
      <c r="AN77" s="494"/>
      <c r="AO77" s="494"/>
      <c r="AP77" s="494"/>
      <c r="AQ77" s="494"/>
      <c r="AR77" s="494"/>
      <c r="AS77" s="494"/>
      <c r="AT77" s="494"/>
      <c r="AU77" s="494"/>
      <c r="AV77" s="494"/>
      <c r="AW77" s="494"/>
      <c r="AX77" s="494"/>
      <c r="AY77" s="494"/>
      <c r="AZ77" s="494"/>
      <c r="BA77" s="494"/>
      <c r="BB77" s="494"/>
      <c r="BC77" s="494"/>
      <c r="BD77" s="494"/>
      <c r="BE77" s="494"/>
      <c r="BF77" s="494"/>
      <c r="BG77" s="494">
        <f>$N$77/3</f>
        <v>0</v>
      </c>
      <c r="BH77" s="494"/>
      <c r="BI77" s="494">
        <f>$N$77/3</f>
        <v>0</v>
      </c>
      <c r="BJ77" s="494"/>
      <c r="BK77" s="494">
        <f>$N$77/3</f>
        <v>0</v>
      </c>
      <c r="BL77" s="494"/>
      <c r="BM77" s="494"/>
      <c r="BN77" s="494"/>
      <c r="BO77" s="494"/>
      <c r="BP77" s="494"/>
      <c r="BQ77" s="494"/>
      <c r="BR77" s="494"/>
      <c r="BS77" s="494"/>
      <c r="BT77" s="494"/>
      <c r="BU77" s="494"/>
      <c r="BV77" s="494"/>
      <c r="BW77" s="494"/>
      <c r="BX77" s="519"/>
      <c r="BY77" s="514">
        <f t="shared" si="207"/>
        <v>0</v>
      </c>
      <c r="BZ77" s="113">
        <f t="shared" si="186"/>
        <v>0</v>
      </c>
      <c r="CA77" s="71"/>
    </row>
    <row r="78" spans="1:147" s="53" customFormat="1" ht="15" customHeight="1">
      <c r="A78" s="1627"/>
      <c r="B78" s="1492"/>
      <c r="C78" s="1492"/>
      <c r="D78" s="1466" t="str">
        <f>사업수지표!G57</f>
        <v>입주관리비</v>
      </c>
      <c r="E78" s="1479"/>
      <c r="F78" s="1479"/>
      <c r="G78" s="1479"/>
      <c r="H78" s="1479"/>
      <c r="I78" s="1479"/>
      <c r="J78" s="1479"/>
      <c r="K78" s="1479"/>
      <c r="L78" s="1479"/>
      <c r="M78" s="1480"/>
      <c r="N78" s="79">
        <f>사업수지표!AL57</f>
        <v>622050</v>
      </c>
      <c r="O78" s="564">
        <f>사업수지표!AR57</f>
        <v>0</v>
      </c>
      <c r="P78" s="494">
        <f>사업수지표!AR57</f>
        <v>0</v>
      </c>
      <c r="Q78" s="494"/>
      <c r="R78" s="494"/>
      <c r="S78" s="494"/>
      <c r="T78" s="494"/>
      <c r="U78" s="494"/>
      <c r="V78" s="494"/>
      <c r="W78" s="494"/>
      <c r="X78" s="494">
        <v>0</v>
      </c>
      <c r="Y78" s="494"/>
      <c r="Z78" s="494"/>
      <c r="AA78" s="494"/>
      <c r="AB78" s="494"/>
      <c r="AC78" s="494"/>
      <c r="AD78" s="494"/>
      <c r="AE78" s="494"/>
      <c r="AF78" s="494"/>
      <c r="AG78" s="494"/>
      <c r="AH78" s="494"/>
      <c r="AI78" s="494"/>
      <c r="AJ78" s="494"/>
      <c r="AK78" s="494"/>
      <c r="AL78" s="494"/>
      <c r="AM78" s="494"/>
      <c r="AN78" s="494"/>
      <c r="AO78" s="494"/>
      <c r="AP78" s="494"/>
      <c r="AQ78" s="494"/>
      <c r="AR78" s="494"/>
      <c r="AS78" s="494"/>
      <c r="AT78" s="494"/>
      <c r="AU78" s="494"/>
      <c r="AV78" s="494"/>
      <c r="AW78" s="494"/>
      <c r="AX78" s="494"/>
      <c r="AY78" s="494"/>
      <c r="AZ78" s="494"/>
      <c r="BA78" s="494"/>
      <c r="BB78" s="494"/>
      <c r="BC78" s="494"/>
      <c r="BD78" s="494"/>
      <c r="BE78" s="494"/>
      <c r="BF78" s="494"/>
      <c r="BG78" s="494"/>
      <c r="BH78" s="494"/>
      <c r="BI78" s="494"/>
      <c r="BJ78" s="494"/>
      <c r="BK78" s="494"/>
      <c r="BL78" s="494">
        <f>N78*50%</f>
        <v>311025</v>
      </c>
      <c r="BM78" s="494">
        <f>N78*50%</f>
        <v>311025</v>
      </c>
      <c r="BN78" s="494"/>
      <c r="BO78" s="494"/>
      <c r="BP78" s="494"/>
      <c r="BQ78" s="494"/>
      <c r="BR78" s="494"/>
      <c r="BS78" s="494"/>
      <c r="BT78" s="494"/>
      <c r="BU78" s="494"/>
      <c r="BV78" s="494"/>
      <c r="BW78" s="494"/>
      <c r="BX78" s="519"/>
      <c r="BY78" s="514">
        <f t="shared" si="207"/>
        <v>622050</v>
      </c>
      <c r="BZ78" s="113">
        <f t="shared" si="186"/>
        <v>0</v>
      </c>
      <c r="CA78" s="71"/>
    </row>
    <row r="79" spans="1:147" s="53" customFormat="1" ht="15" customHeight="1">
      <c r="A79" s="1627"/>
      <c r="B79" s="1492"/>
      <c r="C79" s="1493"/>
      <c r="D79" s="1466" t="str">
        <f>사업수지표!G58</f>
        <v>예비비</v>
      </c>
      <c r="E79" s="1479"/>
      <c r="F79" s="1479"/>
      <c r="G79" s="1479"/>
      <c r="H79" s="1479"/>
      <c r="I79" s="1479"/>
      <c r="J79" s="1479"/>
      <c r="K79" s="1479"/>
      <c r="L79" s="1479"/>
      <c r="M79" s="1480"/>
      <c r="N79" s="79">
        <f>사업수지표!AL58</f>
        <v>9126625.8574999999</v>
      </c>
      <c r="O79" s="564">
        <f>사업수지표!AR58</f>
        <v>0</v>
      </c>
      <c r="P79" s="494">
        <f>사업수지표!AR58</f>
        <v>0</v>
      </c>
      <c r="Q79" s="494"/>
      <c r="R79" s="494"/>
      <c r="S79" s="494"/>
      <c r="T79" s="494"/>
      <c r="U79" s="494"/>
      <c r="V79" s="494"/>
      <c r="W79" s="494"/>
      <c r="X79" s="494">
        <v>0</v>
      </c>
      <c r="Y79" s="494"/>
      <c r="Z79" s="494"/>
      <c r="AA79" s="494"/>
      <c r="AB79" s="494"/>
      <c r="AC79" s="494"/>
      <c r="AD79" s="494"/>
      <c r="AE79" s="494"/>
      <c r="AF79" s="494"/>
      <c r="AG79" s="494">
        <v>1200000</v>
      </c>
      <c r="AH79" s="494"/>
      <c r="AI79" s="494"/>
      <c r="AJ79" s="494"/>
      <c r="AK79" s="494"/>
      <c r="AL79" s="494"/>
      <c r="AM79" s="494">
        <v>1200000</v>
      </c>
      <c r="AN79" s="494"/>
      <c r="AO79" s="494"/>
      <c r="AP79" s="494"/>
      <c r="AQ79" s="494"/>
      <c r="AR79" s="494"/>
      <c r="AS79" s="494">
        <v>1200000</v>
      </c>
      <c r="AT79" s="494"/>
      <c r="AU79" s="494"/>
      <c r="AV79" s="494"/>
      <c r="AW79" s="494"/>
      <c r="AX79" s="494"/>
      <c r="AY79" s="494">
        <v>1200000</v>
      </c>
      <c r="AZ79" s="494"/>
      <c r="BA79" s="494"/>
      <c r="BB79" s="494"/>
      <c r="BC79" s="494"/>
      <c r="BD79" s="494"/>
      <c r="BE79" s="494">
        <v>1200000</v>
      </c>
      <c r="BF79" s="494"/>
      <c r="BG79" s="494"/>
      <c r="BH79" s="494"/>
      <c r="BI79" s="494">
        <v>1200000</v>
      </c>
      <c r="BJ79" s="494">
        <v>600000</v>
      </c>
      <c r="BK79" s="494">
        <v>600000</v>
      </c>
      <c r="BL79" s="494">
        <v>726626</v>
      </c>
      <c r="BM79" s="494"/>
      <c r="BN79" s="494"/>
      <c r="BO79" s="494"/>
      <c r="BP79" s="494"/>
      <c r="BQ79" s="494"/>
      <c r="BR79" s="494"/>
      <c r="BS79" s="494"/>
      <c r="BT79" s="494"/>
      <c r="BU79" s="494"/>
      <c r="BV79" s="494"/>
      <c r="BW79" s="494"/>
      <c r="BX79" s="519"/>
      <c r="BY79" s="514">
        <f t="shared" si="207"/>
        <v>9126626</v>
      </c>
      <c r="BZ79" s="113">
        <f t="shared" si="186"/>
        <v>0.14250000007450581</v>
      </c>
      <c r="CA79" s="71"/>
    </row>
    <row r="80" spans="1:147" s="746" customFormat="1" ht="15" customHeight="1">
      <c r="A80" s="1627"/>
      <c r="B80" s="1492"/>
      <c r="C80" s="1493"/>
      <c r="D80" s="1490" t="s">
        <v>141</v>
      </c>
      <c r="E80" s="1490"/>
      <c r="F80" s="1490"/>
      <c r="G80" s="1490"/>
      <c r="H80" s="1490"/>
      <c r="I80" s="1490"/>
      <c r="J80" s="1490"/>
      <c r="K80" s="1490"/>
      <c r="L80" s="1490"/>
      <c r="M80" s="1491"/>
      <c r="N80" s="747">
        <f>SUM(N74:N79)</f>
        <v>38978553.429999992</v>
      </c>
      <c r="O80" s="748">
        <f t="shared" ref="O80:BX80" si="208">SUM(O74:O79)</f>
        <v>0</v>
      </c>
      <c r="P80" s="748">
        <f t="shared" si="208"/>
        <v>2737987.7572499998</v>
      </c>
      <c r="Q80" s="748">
        <f t="shared" si="208"/>
        <v>0</v>
      </c>
      <c r="R80" s="748">
        <f t="shared" si="208"/>
        <v>0</v>
      </c>
      <c r="S80" s="748">
        <f t="shared" si="208"/>
        <v>0</v>
      </c>
      <c r="T80" s="748">
        <f t="shared" si="208"/>
        <v>0</v>
      </c>
      <c r="U80" s="748">
        <f t="shared" si="208"/>
        <v>0</v>
      </c>
      <c r="V80" s="748">
        <f t="shared" si="208"/>
        <v>0</v>
      </c>
      <c r="W80" s="748">
        <f t="shared" si="208"/>
        <v>0</v>
      </c>
      <c r="X80" s="748">
        <f t="shared" si="208"/>
        <v>0</v>
      </c>
      <c r="Y80" s="748">
        <f t="shared" si="208"/>
        <v>0</v>
      </c>
      <c r="Z80" s="748">
        <f t="shared" si="208"/>
        <v>0</v>
      </c>
      <c r="AA80" s="748">
        <f t="shared" si="208"/>
        <v>2787987.7572499998</v>
      </c>
      <c r="AB80" s="748">
        <f t="shared" si="208"/>
        <v>50000</v>
      </c>
      <c r="AC80" s="748">
        <f t="shared" si="208"/>
        <v>50000</v>
      </c>
      <c r="AD80" s="748">
        <f t="shared" si="208"/>
        <v>50000</v>
      </c>
      <c r="AE80" s="748">
        <f t="shared" si="208"/>
        <v>50000</v>
      </c>
      <c r="AF80" s="748">
        <f t="shared" si="208"/>
        <v>50000</v>
      </c>
      <c r="AG80" s="748">
        <f t="shared" si="208"/>
        <v>1250000</v>
      </c>
      <c r="AH80" s="748">
        <f t="shared" si="208"/>
        <v>50000</v>
      </c>
      <c r="AI80" s="748">
        <f t="shared" si="208"/>
        <v>50000</v>
      </c>
      <c r="AJ80" s="748">
        <f t="shared" si="208"/>
        <v>50000</v>
      </c>
      <c r="AK80" s="748">
        <f t="shared" si="208"/>
        <v>50000</v>
      </c>
      <c r="AL80" s="748">
        <f t="shared" si="208"/>
        <v>2787987.7572499998</v>
      </c>
      <c r="AM80" s="748">
        <f t="shared" si="208"/>
        <v>1250000</v>
      </c>
      <c r="AN80" s="748">
        <f t="shared" si="208"/>
        <v>50000</v>
      </c>
      <c r="AO80" s="748">
        <f t="shared" si="208"/>
        <v>50000</v>
      </c>
      <c r="AP80" s="748">
        <f t="shared" si="208"/>
        <v>50000</v>
      </c>
      <c r="AQ80" s="748">
        <f t="shared" si="208"/>
        <v>2787987.7572499998</v>
      </c>
      <c r="AR80" s="748">
        <f t="shared" si="208"/>
        <v>50000</v>
      </c>
      <c r="AS80" s="748">
        <f t="shared" si="208"/>
        <v>1250000</v>
      </c>
      <c r="AT80" s="748">
        <f t="shared" si="208"/>
        <v>50000</v>
      </c>
      <c r="AU80" s="748">
        <f t="shared" si="208"/>
        <v>50000</v>
      </c>
      <c r="AV80" s="748">
        <f t="shared" si="208"/>
        <v>2787987.7572499998</v>
      </c>
      <c r="AW80" s="748">
        <f t="shared" si="208"/>
        <v>50000</v>
      </c>
      <c r="AX80" s="748">
        <f t="shared" si="208"/>
        <v>50000</v>
      </c>
      <c r="AY80" s="748">
        <f t="shared" si="208"/>
        <v>1250000</v>
      </c>
      <c r="AZ80" s="748">
        <f t="shared" si="208"/>
        <v>50000</v>
      </c>
      <c r="BA80" s="748">
        <f t="shared" si="208"/>
        <v>2787987.7572499998</v>
      </c>
      <c r="BB80" s="748">
        <f t="shared" si="208"/>
        <v>50000</v>
      </c>
      <c r="BC80" s="748">
        <f t="shared" si="208"/>
        <v>50000</v>
      </c>
      <c r="BD80" s="748">
        <f t="shared" si="208"/>
        <v>50000</v>
      </c>
      <c r="BE80" s="748">
        <f t="shared" si="208"/>
        <v>3987987.7572499998</v>
      </c>
      <c r="BF80" s="748">
        <f t="shared" si="208"/>
        <v>50000</v>
      </c>
      <c r="BG80" s="748">
        <f t="shared" si="208"/>
        <v>50000</v>
      </c>
      <c r="BH80" s="748">
        <f t="shared" si="208"/>
        <v>50000</v>
      </c>
      <c r="BI80" s="748">
        <f t="shared" si="208"/>
        <v>3987987.7572499998</v>
      </c>
      <c r="BJ80" s="748">
        <f t="shared" si="208"/>
        <v>650000</v>
      </c>
      <c r="BK80" s="748">
        <f t="shared" si="208"/>
        <v>650000</v>
      </c>
      <c r="BL80" s="748">
        <f t="shared" si="208"/>
        <v>3775638.7572499998</v>
      </c>
      <c r="BM80" s="748">
        <f t="shared" si="208"/>
        <v>311025</v>
      </c>
      <c r="BN80" s="748">
        <f t="shared" ref="BN80" si="209">SUM(BN74:BN79)</f>
        <v>2737987.7572499998</v>
      </c>
      <c r="BO80" s="748">
        <f t="shared" si="208"/>
        <v>0</v>
      </c>
      <c r="BP80" s="748">
        <f t="shared" si="208"/>
        <v>0</v>
      </c>
      <c r="BQ80" s="748">
        <f t="shared" si="208"/>
        <v>0</v>
      </c>
      <c r="BR80" s="748">
        <f t="shared" si="208"/>
        <v>0</v>
      </c>
      <c r="BS80" s="748">
        <f t="shared" si="208"/>
        <v>0</v>
      </c>
      <c r="BT80" s="748">
        <f t="shared" si="208"/>
        <v>0</v>
      </c>
      <c r="BU80" s="748">
        <f t="shared" si="208"/>
        <v>0</v>
      </c>
      <c r="BV80" s="748">
        <f t="shared" si="208"/>
        <v>0</v>
      </c>
      <c r="BW80" s="748">
        <f t="shared" si="208"/>
        <v>0</v>
      </c>
      <c r="BX80" s="749">
        <f t="shared" si="208"/>
        <v>0</v>
      </c>
      <c r="BY80" s="750">
        <f>SUM(BY74:BY79)</f>
        <v>38978553.572499998</v>
      </c>
      <c r="BZ80" s="743">
        <f t="shared" si="186"/>
        <v>0.14250000566244125</v>
      </c>
      <c r="CA80" s="752">
        <f>SUM(P80:BX80)-BY80</f>
        <v>0</v>
      </c>
      <c r="CB80" s="745"/>
      <c r="CC80" s="745"/>
      <c r="CD80" s="745"/>
      <c r="CE80" s="745"/>
      <c r="CF80" s="745"/>
      <c r="CG80" s="745"/>
      <c r="CH80" s="745"/>
      <c r="CI80" s="745"/>
      <c r="CJ80" s="745"/>
      <c r="CK80" s="745"/>
      <c r="CL80" s="745"/>
      <c r="CM80" s="745"/>
      <c r="CN80" s="745"/>
      <c r="CO80" s="745"/>
      <c r="CP80" s="745"/>
      <c r="CQ80" s="745"/>
      <c r="CR80" s="745"/>
      <c r="CS80" s="745"/>
      <c r="CT80" s="745"/>
      <c r="CU80" s="745"/>
      <c r="CV80" s="745"/>
      <c r="CW80" s="745"/>
      <c r="CX80" s="745"/>
      <c r="CY80" s="745"/>
      <c r="CZ80" s="745"/>
      <c r="DA80" s="745"/>
      <c r="DB80" s="745"/>
      <c r="DC80" s="745"/>
      <c r="DD80" s="745"/>
      <c r="DE80" s="745"/>
      <c r="DF80" s="745"/>
      <c r="DG80" s="745"/>
      <c r="DH80" s="745"/>
      <c r="DI80" s="745"/>
      <c r="DJ80" s="745"/>
      <c r="DK80" s="745"/>
      <c r="DL80" s="745"/>
      <c r="DM80" s="745"/>
      <c r="DN80" s="745"/>
      <c r="DO80" s="745"/>
      <c r="DP80" s="745"/>
      <c r="DQ80" s="745"/>
      <c r="DR80" s="745"/>
      <c r="DS80" s="745"/>
      <c r="DT80" s="745"/>
      <c r="DU80" s="745"/>
      <c r="DV80" s="745"/>
      <c r="DW80" s="745"/>
      <c r="DX80" s="745"/>
      <c r="DY80" s="745"/>
      <c r="DZ80" s="745"/>
      <c r="EA80" s="745"/>
      <c r="EB80" s="745"/>
      <c r="EC80" s="745"/>
      <c r="ED80" s="745"/>
      <c r="EE80" s="745"/>
      <c r="EF80" s="745"/>
      <c r="EG80" s="745"/>
      <c r="EH80" s="745"/>
      <c r="EI80" s="745"/>
      <c r="EJ80" s="745"/>
      <c r="EK80" s="745"/>
      <c r="EL80" s="745"/>
      <c r="EM80" s="745"/>
      <c r="EN80" s="745"/>
      <c r="EO80" s="745"/>
      <c r="EP80" s="745"/>
      <c r="EQ80" s="745"/>
    </row>
    <row r="81" spans="1:147" s="53" customFormat="1" ht="15" customHeight="1">
      <c r="A81" s="1627"/>
      <c r="B81" s="1492" t="s">
        <v>57</v>
      </c>
      <c r="C81" s="1492"/>
      <c r="D81" s="1466" t="str">
        <f>사업수지표!G60</f>
        <v>보존등기비</v>
      </c>
      <c r="E81" s="1479"/>
      <c r="F81" s="1479"/>
      <c r="G81" s="1479"/>
      <c r="H81" s="1479"/>
      <c r="I81" s="1479"/>
      <c r="J81" s="1479"/>
      <c r="K81" s="1479"/>
      <c r="L81" s="1479"/>
      <c r="M81" s="1480"/>
      <c r="N81" s="79">
        <f>사업수지표!AL60</f>
        <v>14896032.554752002</v>
      </c>
      <c r="O81" s="564">
        <f>사업수지표!AR60</f>
        <v>0</v>
      </c>
      <c r="P81" s="494">
        <f>사업수지표!AR60</f>
        <v>0</v>
      </c>
      <c r="Q81" s="494"/>
      <c r="R81" s="494"/>
      <c r="S81" s="494"/>
      <c r="T81" s="494"/>
      <c r="U81" s="494"/>
      <c r="V81" s="494"/>
      <c r="W81" s="494"/>
      <c r="X81" s="494">
        <v>0</v>
      </c>
      <c r="Y81" s="494"/>
      <c r="Z81" s="494"/>
      <c r="AA81" s="494"/>
      <c r="AB81" s="494"/>
      <c r="AC81" s="494"/>
      <c r="AD81" s="494"/>
      <c r="AE81" s="494"/>
      <c r="AF81" s="494"/>
      <c r="AG81" s="494"/>
      <c r="AH81" s="494"/>
      <c r="AI81" s="494"/>
      <c r="AJ81" s="494"/>
      <c r="AK81" s="494"/>
      <c r="AL81" s="494"/>
      <c r="AM81" s="494"/>
      <c r="AN81" s="494"/>
      <c r="AO81" s="494"/>
      <c r="AP81" s="494"/>
      <c r="AQ81" s="494"/>
      <c r="AR81" s="494"/>
      <c r="AS81" s="494"/>
      <c r="AT81" s="494"/>
      <c r="AU81" s="494"/>
      <c r="AV81" s="494"/>
      <c r="AW81" s="494"/>
      <c r="AX81" s="494"/>
      <c r="AY81" s="494"/>
      <c r="AZ81" s="494"/>
      <c r="BA81" s="494"/>
      <c r="BB81" s="494"/>
      <c r="BC81" s="494"/>
      <c r="BD81" s="494"/>
      <c r="BE81" s="494"/>
      <c r="BF81" s="494"/>
      <c r="BG81" s="494"/>
      <c r="BH81" s="494"/>
      <c r="BI81" s="494"/>
      <c r="BJ81" s="494"/>
      <c r="BK81" s="494"/>
      <c r="BL81" s="494">
        <f>N81</f>
        <v>14896032.554752002</v>
      </c>
      <c r="BM81" s="494"/>
      <c r="BN81" s="494">
        <f>O81</f>
        <v>0</v>
      </c>
      <c r="BO81" s="494"/>
      <c r="BP81" s="494"/>
      <c r="BQ81" s="494"/>
      <c r="BR81" s="494"/>
      <c r="BS81" s="494"/>
      <c r="BT81" s="494"/>
      <c r="BU81" s="494"/>
      <c r="BV81" s="494"/>
      <c r="BW81" s="494"/>
      <c r="BX81" s="519"/>
      <c r="BY81" s="514">
        <f t="shared" ref="BY81:BY86" si="210">SUM(O81:BQ81)</f>
        <v>14896032.554752002</v>
      </c>
      <c r="BZ81" s="113">
        <f t="shared" si="186"/>
        <v>0</v>
      </c>
      <c r="CA81" s="71"/>
    </row>
    <row r="82" spans="1:147" s="53" customFormat="1" ht="15" customHeight="1">
      <c r="A82" s="1627"/>
      <c r="B82" s="1492"/>
      <c r="C82" s="1492"/>
      <c r="D82" s="1466" t="str">
        <f>사업수지표!G61</f>
        <v>상하수도분담금</v>
      </c>
      <c r="E82" s="1479"/>
      <c r="F82" s="1479"/>
      <c r="G82" s="1479"/>
      <c r="H82" s="1479"/>
      <c r="I82" s="1479"/>
      <c r="J82" s="1479"/>
      <c r="K82" s="1479"/>
      <c r="L82" s="1479"/>
      <c r="M82" s="1480"/>
      <c r="N82" s="79">
        <f>사업수지표!AL61</f>
        <v>1508000</v>
      </c>
      <c r="O82" s="564">
        <f>사업수지표!AR61</f>
        <v>0</v>
      </c>
      <c r="P82" s="494"/>
      <c r="Q82" s="494"/>
      <c r="R82" s="494"/>
      <c r="S82" s="494"/>
      <c r="T82" s="494"/>
      <c r="U82" s="494"/>
      <c r="V82" s="494"/>
      <c r="W82" s="494"/>
      <c r="X82" s="494">
        <v>0</v>
      </c>
      <c r="Y82" s="494"/>
      <c r="Z82" s="494"/>
      <c r="AA82" s="494">
        <f>사업수지표!$AS$61</f>
        <v>0</v>
      </c>
      <c r="AB82" s="494"/>
      <c r="AC82" s="494"/>
      <c r="AD82" s="494"/>
      <c r="AE82" s="494"/>
      <c r="AF82" s="494"/>
      <c r="AG82" s="494"/>
      <c r="AH82" s="494"/>
      <c r="AI82" s="494"/>
      <c r="AJ82" s="494"/>
      <c r="AK82" s="494"/>
      <c r="AL82" s="494"/>
      <c r="AM82" s="494"/>
      <c r="AN82" s="494"/>
      <c r="AO82" s="494"/>
      <c r="AP82" s="494"/>
      <c r="AQ82" s="494"/>
      <c r="AR82" s="494"/>
      <c r="AS82" s="494"/>
      <c r="AT82" s="494"/>
      <c r="AU82" s="494"/>
      <c r="AV82" s="494"/>
      <c r="AW82" s="494"/>
      <c r="AX82" s="494"/>
      <c r="AY82" s="494">
        <f>N82/2</f>
        <v>754000</v>
      </c>
      <c r="AZ82" s="494"/>
      <c r="BA82" s="494"/>
      <c r="BB82" s="494"/>
      <c r="BC82" s="494"/>
      <c r="BD82" s="494"/>
      <c r="BE82" s="494"/>
      <c r="BF82" s="494"/>
      <c r="BG82" s="494"/>
      <c r="BH82" s="494"/>
      <c r="BI82" s="494">
        <f>N82/2</f>
        <v>754000</v>
      </c>
      <c r="BJ82" s="494"/>
      <c r="BK82" s="494"/>
      <c r="BL82" s="494"/>
      <c r="BM82" s="494"/>
      <c r="BN82" s="494"/>
      <c r="BO82" s="494"/>
      <c r="BP82" s="494"/>
      <c r="BQ82" s="494"/>
      <c r="BR82" s="494"/>
      <c r="BS82" s="494"/>
      <c r="BT82" s="494"/>
      <c r="BU82" s="494"/>
      <c r="BV82" s="494"/>
      <c r="BW82" s="494"/>
      <c r="BX82" s="519"/>
      <c r="BY82" s="514">
        <f t="shared" si="210"/>
        <v>1508000</v>
      </c>
      <c r="BZ82" s="113">
        <f t="shared" si="186"/>
        <v>0</v>
      </c>
      <c r="CA82" s="71"/>
    </row>
    <row r="83" spans="1:147" s="53" customFormat="1" ht="15" customHeight="1">
      <c r="A83" s="1627"/>
      <c r="B83" s="1492"/>
      <c r="C83" s="1492"/>
      <c r="D83" s="1466" t="str">
        <f>사업수지표!G62</f>
        <v>토지분재산세</v>
      </c>
      <c r="E83" s="1479"/>
      <c r="F83" s="1479"/>
      <c r="G83" s="1479"/>
      <c r="H83" s="1479"/>
      <c r="I83" s="1479"/>
      <c r="J83" s="1479"/>
      <c r="K83" s="1479"/>
      <c r="L83" s="1479"/>
      <c r="M83" s="1480"/>
      <c r="N83" s="79">
        <f>사업수지표!AL62</f>
        <v>548685.27450000006</v>
      </c>
      <c r="O83" s="564">
        <f>사업수지표!AR62</f>
        <v>0</v>
      </c>
      <c r="P83" s="494">
        <f>사업수지표!AR62</f>
        <v>0</v>
      </c>
      <c r="Q83" s="494"/>
      <c r="R83" s="494"/>
      <c r="S83" s="494"/>
      <c r="T83" s="494"/>
      <c r="U83" s="494"/>
      <c r="V83" s="494"/>
      <c r="W83" s="494"/>
      <c r="X83" s="494">
        <v>0</v>
      </c>
      <c r="Y83" s="494"/>
      <c r="Z83" s="494"/>
      <c r="AA83" s="494"/>
      <c r="AB83" s="494"/>
      <c r="AC83" s="494"/>
      <c r="AD83" s="494"/>
      <c r="AE83" s="494"/>
      <c r="AF83" s="494"/>
      <c r="AG83" s="494"/>
      <c r="AH83" s="494"/>
      <c r="AI83" s="494"/>
      <c r="AJ83" s="494"/>
      <c r="AK83" s="494">
        <f>N83/3</f>
        <v>182895.09150000001</v>
      </c>
      <c r="AL83" s="494"/>
      <c r="AM83" s="494"/>
      <c r="AN83" s="494"/>
      <c r="AO83" s="494"/>
      <c r="AP83" s="494"/>
      <c r="AQ83" s="494"/>
      <c r="AR83" s="494"/>
      <c r="AS83" s="494"/>
      <c r="AT83" s="494"/>
      <c r="AU83" s="494"/>
      <c r="AV83" s="494"/>
      <c r="AW83" s="494">
        <f>N83/3</f>
        <v>182895.09150000001</v>
      </c>
      <c r="AX83" s="494"/>
      <c r="AY83" s="494"/>
      <c r="AZ83" s="494"/>
      <c r="BA83" s="494"/>
      <c r="BB83" s="494"/>
      <c r="BC83" s="494"/>
      <c r="BD83" s="494"/>
      <c r="BE83" s="494"/>
      <c r="BF83" s="494"/>
      <c r="BG83" s="494"/>
      <c r="BH83" s="494"/>
      <c r="BI83" s="494">
        <f>N83/3</f>
        <v>182895.09150000001</v>
      </c>
      <c r="BJ83" s="494"/>
      <c r="BK83" s="494"/>
      <c r="BL83" s="494"/>
      <c r="BM83" s="494"/>
      <c r="BN83" s="494"/>
      <c r="BO83" s="494"/>
      <c r="BP83" s="494"/>
      <c r="BQ83" s="494"/>
      <c r="BR83" s="494"/>
      <c r="BS83" s="494"/>
      <c r="BT83" s="494"/>
      <c r="BU83" s="494"/>
      <c r="BV83" s="494"/>
      <c r="BW83" s="494"/>
      <c r="BX83" s="519"/>
      <c r="BY83" s="514">
        <f t="shared" si="210"/>
        <v>548685.27450000006</v>
      </c>
      <c r="BZ83" s="113">
        <f t="shared" si="186"/>
        <v>0</v>
      </c>
      <c r="CA83" s="71"/>
    </row>
    <row r="84" spans="1:147" s="53" customFormat="1" ht="15" customHeight="1">
      <c r="A84" s="1627"/>
      <c r="B84" s="1492"/>
      <c r="C84" s="1493"/>
      <c r="D84" s="1466" t="str">
        <f>사업수지표!G63</f>
        <v>학교용지부담금</v>
      </c>
      <c r="E84" s="1479"/>
      <c r="F84" s="1479"/>
      <c r="G84" s="1479"/>
      <c r="H84" s="1479"/>
      <c r="I84" s="1479"/>
      <c r="J84" s="1479"/>
      <c r="K84" s="1479"/>
      <c r="L84" s="1479"/>
      <c r="M84" s="1480"/>
      <c r="N84" s="79">
        <f>사업수지표!AL63</f>
        <v>3472133.3569999994</v>
      </c>
      <c r="O84" s="564">
        <f>사업수지표!AR63</f>
        <v>0</v>
      </c>
      <c r="P84" s="494">
        <f>사업수지표!AR63</f>
        <v>0</v>
      </c>
      <c r="Q84" s="494"/>
      <c r="R84" s="494"/>
      <c r="S84" s="494"/>
      <c r="T84" s="494"/>
      <c r="U84" s="494"/>
      <c r="V84" s="494"/>
      <c r="W84" s="494"/>
      <c r="X84" s="494">
        <v>0</v>
      </c>
      <c r="Y84" s="494"/>
      <c r="Z84" s="494"/>
      <c r="AA84" s="494"/>
      <c r="AB84" s="494"/>
      <c r="AC84" s="494"/>
      <c r="AD84" s="494"/>
      <c r="AE84" s="494"/>
      <c r="AF84" s="494"/>
      <c r="AG84" s="494"/>
      <c r="AH84" s="494">
        <f>N84</f>
        <v>3472133.3569999994</v>
      </c>
      <c r="AI84" s="494"/>
      <c r="AJ84" s="494"/>
      <c r="AK84" s="494"/>
      <c r="AL84" s="494"/>
      <c r="AM84" s="494"/>
      <c r="AN84" s="494"/>
      <c r="AO84" s="494"/>
      <c r="AP84" s="494"/>
      <c r="AQ84" s="494"/>
      <c r="AR84" s="494"/>
      <c r="AS84" s="494"/>
      <c r="AT84" s="494"/>
      <c r="AU84" s="494"/>
      <c r="AV84" s="494"/>
      <c r="AW84" s="494"/>
      <c r="AX84" s="494"/>
      <c r="AY84" s="494"/>
      <c r="AZ84" s="494"/>
      <c r="BA84" s="494"/>
      <c r="BB84" s="494"/>
      <c r="BC84" s="494"/>
      <c r="BD84" s="494"/>
      <c r="BE84" s="494"/>
      <c r="BF84" s="494"/>
      <c r="BG84" s="494"/>
      <c r="BH84" s="494"/>
      <c r="BI84" s="494"/>
      <c r="BJ84" s="494"/>
      <c r="BK84" s="494"/>
      <c r="BL84" s="494">
        <f>$N$84*BK9</f>
        <v>0</v>
      </c>
      <c r="BM84" s="494">
        <f>$N$84*BL9</f>
        <v>0</v>
      </c>
      <c r="BN84" s="494">
        <f>$N$84*BM9</f>
        <v>0</v>
      </c>
      <c r="BO84" s="494">
        <f>$N$84*BM9</f>
        <v>0</v>
      </c>
      <c r="BP84" s="494">
        <f>$N$84*BP9</f>
        <v>0</v>
      </c>
      <c r="BQ84" s="494">
        <f>$N$84*BQ9</f>
        <v>0</v>
      </c>
      <c r="BR84" s="494">
        <f>$N$84*BQ9</f>
        <v>0</v>
      </c>
      <c r="BS84" s="494">
        <f>$N$84*BR9</f>
        <v>0</v>
      </c>
      <c r="BT84" s="494">
        <f>$N$84*BS9</f>
        <v>0</v>
      </c>
      <c r="BU84" s="494"/>
      <c r="BV84" s="494"/>
      <c r="BW84" s="494"/>
      <c r="BX84" s="519"/>
      <c r="BY84" s="514">
        <f t="shared" si="210"/>
        <v>3472133.3569999994</v>
      </c>
      <c r="BZ84" s="113">
        <f t="shared" si="186"/>
        <v>0</v>
      </c>
      <c r="CA84" s="71"/>
    </row>
    <row r="85" spans="1:147" s="53" customFormat="1" ht="15" customHeight="1">
      <c r="A85" s="1627"/>
      <c r="B85" s="1492"/>
      <c r="C85" s="1493"/>
      <c r="D85" s="1466" t="str">
        <f>사업수지표!G64</f>
        <v>지방교육세</v>
      </c>
      <c r="E85" s="1479"/>
      <c r="F85" s="1479"/>
      <c r="G85" s="1479"/>
      <c r="H85" s="1479"/>
      <c r="I85" s="1479"/>
      <c r="J85" s="1479"/>
      <c r="K85" s="1479"/>
      <c r="L85" s="1479"/>
      <c r="M85" s="1480"/>
      <c r="N85" s="79">
        <f>사업수지표!AL64</f>
        <v>109737.05490000002</v>
      </c>
      <c r="O85" s="564"/>
      <c r="P85" s="494"/>
      <c r="Q85" s="494"/>
      <c r="R85" s="494"/>
      <c r="S85" s="494"/>
      <c r="T85" s="494"/>
      <c r="U85" s="494"/>
      <c r="V85" s="494"/>
      <c r="W85" s="494"/>
      <c r="X85" s="494"/>
      <c r="Y85" s="494"/>
      <c r="Z85" s="494"/>
      <c r="AA85" s="494"/>
      <c r="AB85" s="494"/>
      <c r="AC85" s="494"/>
      <c r="AD85" s="494"/>
      <c r="AE85" s="494"/>
      <c r="AF85" s="494"/>
      <c r="AG85" s="494"/>
      <c r="AH85" s="494">
        <f>N85</f>
        <v>109737.05490000002</v>
      </c>
      <c r="AI85" s="494"/>
      <c r="AJ85" s="494"/>
      <c r="AK85" s="494"/>
      <c r="AL85" s="494"/>
      <c r="AM85" s="494"/>
      <c r="AN85" s="494"/>
      <c r="AO85" s="494"/>
      <c r="AP85" s="494"/>
      <c r="AQ85" s="494"/>
      <c r="AR85" s="494"/>
      <c r="AS85" s="494"/>
      <c r="AT85" s="494"/>
      <c r="AU85" s="494"/>
      <c r="AV85" s="494"/>
      <c r="AW85" s="494"/>
      <c r="AX85" s="494"/>
      <c r="AY85" s="494"/>
      <c r="AZ85" s="494"/>
      <c r="BA85" s="494"/>
      <c r="BB85" s="494"/>
      <c r="BC85" s="494"/>
      <c r="BD85" s="494"/>
      <c r="BE85" s="494"/>
      <c r="BF85" s="494"/>
      <c r="BG85" s="494"/>
      <c r="BH85" s="494"/>
      <c r="BI85" s="494"/>
      <c r="BJ85" s="494"/>
      <c r="BK85" s="494"/>
      <c r="BL85" s="494"/>
      <c r="BM85" s="494"/>
      <c r="BN85" s="494"/>
      <c r="BO85" s="494"/>
      <c r="BP85" s="494"/>
      <c r="BQ85" s="494"/>
      <c r="BR85" s="494"/>
      <c r="BS85" s="494"/>
      <c r="BT85" s="494"/>
      <c r="BU85" s="494"/>
      <c r="BV85" s="494"/>
      <c r="BW85" s="494"/>
      <c r="BX85" s="519"/>
      <c r="BY85" s="514">
        <f t="shared" si="210"/>
        <v>109737.05490000002</v>
      </c>
      <c r="BZ85" s="113"/>
      <c r="CA85" s="71"/>
    </row>
    <row r="86" spans="1:147" s="53" customFormat="1" ht="15" customHeight="1">
      <c r="A86" s="1627"/>
      <c r="B86" s="1492"/>
      <c r="C86" s="1493"/>
      <c r="D86" s="1466" t="str">
        <f>사업수지표!G65</f>
        <v>도시계획세</v>
      </c>
      <c r="E86" s="1479"/>
      <c r="F86" s="1479"/>
      <c r="G86" s="1479"/>
      <c r="H86" s="1479"/>
      <c r="I86" s="1479"/>
      <c r="J86" s="1479"/>
      <c r="K86" s="1479"/>
      <c r="L86" s="1479"/>
      <c r="M86" s="1480"/>
      <c r="N86" s="79">
        <f>사업수지표!AL65</f>
        <v>121930.061</v>
      </c>
      <c r="O86" s="564">
        <f>사업수지표!AR65</f>
        <v>0</v>
      </c>
      <c r="P86" s="494">
        <f>사업수지표!AR65</f>
        <v>0</v>
      </c>
      <c r="Q86" s="494"/>
      <c r="R86" s="494"/>
      <c r="S86" s="494"/>
      <c r="T86" s="494"/>
      <c r="U86" s="494"/>
      <c r="V86" s="494"/>
      <c r="W86" s="494"/>
      <c r="X86" s="494">
        <v>0</v>
      </c>
      <c r="Y86" s="494"/>
      <c r="Z86" s="494"/>
      <c r="AA86" s="494"/>
      <c r="AB86" s="494"/>
      <c r="AC86" s="494"/>
      <c r="AD86" s="494"/>
      <c r="AE86" s="494"/>
      <c r="AF86" s="494"/>
      <c r="AG86" s="494"/>
      <c r="AH86" s="494"/>
      <c r="AI86" s="494"/>
      <c r="AJ86" s="494">
        <f>N86</f>
        <v>121930.061</v>
      </c>
      <c r="AK86" s="494"/>
      <c r="AL86" s="494"/>
      <c r="AM86" s="494"/>
      <c r="AN86" s="494"/>
      <c r="AO86" s="494"/>
      <c r="AP86" s="494"/>
      <c r="AQ86" s="494"/>
      <c r="AR86" s="494"/>
      <c r="AS86" s="494"/>
      <c r="AT86" s="494"/>
      <c r="AU86" s="494"/>
      <c r="AV86" s="494"/>
      <c r="AW86" s="494"/>
      <c r="AX86" s="494"/>
      <c r="AY86" s="494"/>
      <c r="AZ86" s="494"/>
      <c r="BA86" s="494"/>
      <c r="BB86" s="494"/>
      <c r="BC86" s="494"/>
      <c r="BD86" s="494"/>
      <c r="BE86" s="494"/>
      <c r="BF86" s="494"/>
      <c r="BG86" s="494"/>
      <c r="BH86" s="494"/>
      <c r="BI86" s="494"/>
      <c r="BJ86" s="494"/>
      <c r="BK86" s="494"/>
      <c r="BL86" s="494"/>
      <c r="BM86" s="494"/>
      <c r="BN86" s="494"/>
      <c r="BO86" s="494"/>
      <c r="BP86" s="494"/>
      <c r="BQ86" s="494"/>
      <c r="BR86" s="494"/>
      <c r="BS86" s="494"/>
      <c r="BT86" s="494"/>
      <c r="BU86" s="494"/>
      <c r="BV86" s="494"/>
      <c r="BW86" s="494"/>
      <c r="BX86" s="519"/>
      <c r="BY86" s="514">
        <f t="shared" si="210"/>
        <v>121930.061</v>
      </c>
      <c r="BZ86" s="113">
        <f>BY86-N86</f>
        <v>0</v>
      </c>
      <c r="CA86" s="71"/>
    </row>
    <row r="87" spans="1:147" s="745" customFormat="1" ht="15" customHeight="1">
      <c r="A87" s="1627"/>
      <c r="B87" s="1492"/>
      <c r="C87" s="1493"/>
      <c r="D87" s="1517" t="s">
        <v>141</v>
      </c>
      <c r="E87" s="1517"/>
      <c r="F87" s="1517"/>
      <c r="G87" s="1517"/>
      <c r="H87" s="1517"/>
      <c r="I87" s="1517"/>
      <c r="J87" s="1517"/>
      <c r="K87" s="1517"/>
      <c r="L87" s="1517"/>
      <c r="M87" s="1518"/>
      <c r="N87" s="747">
        <f t="shared" ref="N87:BY87" si="211">SUM(N81:N86)</f>
        <v>20656518.302152004</v>
      </c>
      <c r="O87" s="748">
        <f t="shared" si="211"/>
        <v>0</v>
      </c>
      <c r="P87" s="748">
        <f t="shared" si="211"/>
        <v>0</v>
      </c>
      <c r="Q87" s="748">
        <f t="shared" si="211"/>
        <v>0</v>
      </c>
      <c r="R87" s="748">
        <f t="shared" si="211"/>
        <v>0</v>
      </c>
      <c r="S87" s="748">
        <f t="shared" si="211"/>
        <v>0</v>
      </c>
      <c r="T87" s="748">
        <f t="shared" si="211"/>
        <v>0</v>
      </c>
      <c r="U87" s="748">
        <f t="shared" si="211"/>
        <v>0</v>
      </c>
      <c r="V87" s="748">
        <f t="shared" si="211"/>
        <v>0</v>
      </c>
      <c r="W87" s="748">
        <f t="shared" si="211"/>
        <v>0</v>
      </c>
      <c r="X87" s="748">
        <f t="shared" si="211"/>
        <v>0</v>
      </c>
      <c r="Y87" s="748">
        <f t="shared" si="211"/>
        <v>0</v>
      </c>
      <c r="Z87" s="748">
        <f t="shared" si="211"/>
        <v>0</v>
      </c>
      <c r="AA87" s="748">
        <f t="shared" si="211"/>
        <v>0</v>
      </c>
      <c r="AB87" s="748">
        <f t="shared" si="211"/>
        <v>0</v>
      </c>
      <c r="AC87" s="748">
        <f t="shared" si="211"/>
        <v>0</v>
      </c>
      <c r="AD87" s="748">
        <f t="shared" si="211"/>
        <v>0</v>
      </c>
      <c r="AE87" s="748">
        <f t="shared" si="211"/>
        <v>0</v>
      </c>
      <c r="AF87" s="748">
        <f t="shared" si="211"/>
        <v>0</v>
      </c>
      <c r="AG87" s="748">
        <f t="shared" si="211"/>
        <v>0</v>
      </c>
      <c r="AH87" s="748">
        <f t="shared" si="211"/>
        <v>3581870.4118999992</v>
      </c>
      <c r="AI87" s="748">
        <f t="shared" si="211"/>
        <v>0</v>
      </c>
      <c r="AJ87" s="748">
        <f t="shared" si="211"/>
        <v>121930.061</v>
      </c>
      <c r="AK87" s="748">
        <f t="shared" si="211"/>
        <v>182895.09150000001</v>
      </c>
      <c r="AL87" s="748">
        <f t="shared" si="211"/>
        <v>0</v>
      </c>
      <c r="AM87" s="748">
        <f t="shared" si="211"/>
        <v>0</v>
      </c>
      <c r="AN87" s="748">
        <f t="shared" si="211"/>
        <v>0</v>
      </c>
      <c r="AO87" s="748">
        <f t="shared" si="211"/>
        <v>0</v>
      </c>
      <c r="AP87" s="748">
        <f t="shared" si="211"/>
        <v>0</v>
      </c>
      <c r="AQ87" s="748">
        <f t="shared" si="211"/>
        <v>0</v>
      </c>
      <c r="AR87" s="748">
        <f t="shared" si="211"/>
        <v>0</v>
      </c>
      <c r="AS87" s="748">
        <f t="shared" si="211"/>
        <v>0</v>
      </c>
      <c r="AT87" s="748">
        <f t="shared" si="211"/>
        <v>0</v>
      </c>
      <c r="AU87" s="748">
        <f t="shared" si="211"/>
        <v>0</v>
      </c>
      <c r="AV87" s="748">
        <f t="shared" si="211"/>
        <v>0</v>
      </c>
      <c r="AW87" s="748">
        <f t="shared" si="211"/>
        <v>182895.09150000001</v>
      </c>
      <c r="AX87" s="748">
        <f t="shared" si="211"/>
        <v>0</v>
      </c>
      <c r="AY87" s="748">
        <f t="shared" si="211"/>
        <v>754000</v>
      </c>
      <c r="AZ87" s="748">
        <f t="shared" si="211"/>
        <v>0</v>
      </c>
      <c r="BA87" s="748">
        <f t="shared" si="211"/>
        <v>0</v>
      </c>
      <c r="BB87" s="748">
        <f t="shared" si="211"/>
        <v>0</v>
      </c>
      <c r="BC87" s="748">
        <f t="shared" si="211"/>
        <v>0</v>
      </c>
      <c r="BD87" s="748">
        <f t="shared" si="211"/>
        <v>0</v>
      </c>
      <c r="BE87" s="748">
        <f t="shared" si="211"/>
        <v>0</v>
      </c>
      <c r="BF87" s="748">
        <f t="shared" si="211"/>
        <v>0</v>
      </c>
      <c r="BG87" s="748">
        <f t="shared" si="211"/>
        <v>0</v>
      </c>
      <c r="BH87" s="748">
        <f t="shared" si="211"/>
        <v>0</v>
      </c>
      <c r="BI87" s="748">
        <f t="shared" si="211"/>
        <v>936895.09149999998</v>
      </c>
      <c r="BJ87" s="748">
        <f t="shared" si="211"/>
        <v>0</v>
      </c>
      <c r="BK87" s="748">
        <f t="shared" si="211"/>
        <v>0</v>
      </c>
      <c r="BL87" s="748">
        <f t="shared" si="211"/>
        <v>14896032.554752002</v>
      </c>
      <c r="BM87" s="748">
        <f t="shared" si="211"/>
        <v>0</v>
      </c>
      <c r="BN87" s="748">
        <f t="shared" ref="BN87" si="212">SUM(BN81:BN86)</f>
        <v>0</v>
      </c>
      <c r="BO87" s="748">
        <f t="shared" si="211"/>
        <v>0</v>
      </c>
      <c r="BP87" s="748">
        <f t="shared" si="211"/>
        <v>0</v>
      </c>
      <c r="BQ87" s="748">
        <f t="shared" si="211"/>
        <v>0</v>
      </c>
      <c r="BR87" s="748">
        <f t="shared" si="211"/>
        <v>0</v>
      </c>
      <c r="BS87" s="748">
        <f t="shared" si="211"/>
        <v>0</v>
      </c>
      <c r="BT87" s="748">
        <f t="shared" si="211"/>
        <v>0</v>
      </c>
      <c r="BU87" s="748">
        <f t="shared" si="211"/>
        <v>0</v>
      </c>
      <c r="BV87" s="748">
        <f t="shared" si="211"/>
        <v>0</v>
      </c>
      <c r="BW87" s="748">
        <f t="shared" si="211"/>
        <v>0</v>
      </c>
      <c r="BX87" s="749">
        <f t="shared" si="211"/>
        <v>0</v>
      </c>
      <c r="BY87" s="750">
        <f t="shared" si="211"/>
        <v>20656518.302152004</v>
      </c>
      <c r="BZ87" s="743">
        <f>BY87-N87</f>
        <v>0</v>
      </c>
      <c r="CA87" s="752"/>
    </row>
    <row r="88" spans="1:147" s="57" customFormat="1" ht="15" customHeight="1">
      <c r="A88" s="1627"/>
      <c r="B88" s="1492"/>
      <c r="C88" s="1492"/>
      <c r="D88" s="1503" t="str">
        <f>사업수지표!G75</f>
        <v>신탁대지급금이자</v>
      </c>
      <c r="E88" s="1504"/>
      <c r="F88" s="1504"/>
      <c r="G88" s="1504"/>
      <c r="H88" s="1504"/>
      <c r="I88" s="1504"/>
      <c r="J88" s="1504"/>
      <c r="K88" s="1506">
        <f>AK3</f>
        <v>7.7700000000000005E-2</v>
      </c>
      <c r="L88" s="1506"/>
      <c r="M88" s="1507"/>
      <c r="N88" s="79">
        <f>BY88</f>
        <v>28436.962900883955</v>
      </c>
      <c r="O88" s="812">
        <f>O132</f>
        <v>0</v>
      </c>
      <c r="P88" s="813">
        <f t="shared" ref="P88:BP88" si="213">P132</f>
        <v>0</v>
      </c>
      <c r="Q88" s="813">
        <f t="shared" si="213"/>
        <v>0</v>
      </c>
      <c r="R88" s="813">
        <f t="shared" si="213"/>
        <v>0</v>
      </c>
      <c r="S88" s="813">
        <f t="shared" si="213"/>
        <v>0</v>
      </c>
      <c r="T88" s="813">
        <f t="shared" si="213"/>
        <v>0</v>
      </c>
      <c r="U88" s="813">
        <f t="shared" si="213"/>
        <v>0</v>
      </c>
      <c r="V88" s="813">
        <f t="shared" si="213"/>
        <v>0</v>
      </c>
      <c r="W88" s="813">
        <f t="shared" si="213"/>
        <v>0</v>
      </c>
      <c r="X88" s="813">
        <f t="shared" si="213"/>
        <v>0</v>
      </c>
      <c r="Y88" s="813">
        <f t="shared" si="213"/>
        <v>1354.9119927460827</v>
      </c>
      <c r="Z88" s="813">
        <f t="shared" si="213"/>
        <v>7119.8448646502075</v>
      </c>
      <c r="AA88" s="813">
        <f t="shared" si="213"/>
        <v>19962.206043487662</v>
      </c>
      <c r="AB88" s="813"/>
      <c r="AC88" s="813"/>
      <c r="AD88" s="813"/>
      <c r="AE88" s="813"/>
      <c r="AF88" s="813"/>
      <c r="AG88" s="813"/>
      <c r="AH88" s="813">
        <f t="shared" si="213"/>
        <v>0</v>
      </c>
      <c r="AI88" s="813">
        <f t="shared" si="213"/>
        <v>0</v>
      </c>
      <c r="AJ88" s="813">
        <f t="shared" si="213"/>
        <v>0</v>
      </c>
      <c r="AK88" s="813">
        <f t="shared" si="213"/>
        <v>0</v>
      </c>
      <c r="AL88" s="813">
        <f t="shared" si="213"/>
        <v>0</v>
      </c>
      <c r="AM88" s="813">
        <f t="shared" si="213"/>
        <v>0</v>
      </c>
      <c r="AN88" s="813">
        <f t="shared" si="213"/>
        <v>0</v>
      </c>
      <c r="AO88" s="813">
        <f t="shared" si="213"/>
        <v>0</v>
      </c>
      <c r="AP88" s="813">
        <f t="shared" si="213"/>
        <v>0</v>
      </c>
      <c r="AQ88" s="813">
        <f t="shared" si="213"/>
        <v>0</v>
      </c>
      <c r="AR88" s="813">
        <f t="shared" si="213"/>
        <v>0</v>
      </c>
      <c r="AS88" s="813">
        <f t="shared" si="213"/>
        <v>0</v>
      </c>
      <c r="AT88" s="813">
        <f t="shared" si="213"/>
        <v>0</v>
      </c>
      <c r="AU88" s="813">
        <f t="shared" si="213"/>
        <v>0</v>
      </c>
      <c r="AV88" s="813">
        <f t="shared" si="213"/>
        <v>0</v>
      </c>
      <c r="AW88" s="813">
        <f t="shared" si="213"/>
        <v>0</v>
      </c>
      <c r="AX88" s="813">
        <f t="shared" si="213"/>
        <v>0</v>
      </c>
      <c r="AY88" s="813">
        <f t="shared" si="213"/>
        <v>0</v>
      </c>
      <c r="AZ88" s="813">
        <f t="shared" si="213"/>
        <v>0</v>
      </c>
      <c r="BA88" s="813">
        <f t="shared" si="213"/>
        <v>0</v>
      </c>
      <c r="BB88" s="813">
        <f t="shared" si="213"/>
        <v>0</v>
      </c>
      <c r="BC88" s="813">
        <f t="shared" si="213"/>
        <v>0</v>
      </c>
      <c r="BD88" s="813">
        <f t="shared" si="213"/>
        <v>0</v>
      </c>
      <c r="BE88" s="813">
        <f t="shared" si="213"/>
        <v>0</v>
      </c>
      <c r="BF88" s="813">
        <f t="shared" si="213"/>
        <v>0</v>
      </c>
      <c r="BG88" s="813">
        <f t="shared" si="213"/>
        <v>0</v>
      </c>
      <c r="BH88" s="813">
        <f t="shared" si="213"/>
        <v>0</v>
      </c>
      <c r="BI88" s="813">
        <f t="shared" si="213"/>
        <v>0</v>
      </c>
      <c r="BJ88" s="813">
        <f t="shared" si="213"/>
        <v>0</v>
      </c>
      <c r="BK88" s="813">
        <f t="shared" si="213"/>
        <v>0</v>
      </c>
      <c r="BL88" s="813">
        <f t="shared" si="213"/>
        <v>0</v>
      </c>
      <c r="BM88" s="813">
        <f t="shared" si="213"/>
        <v>0</v>
      </c>
      <c r="BN88" s="813">
        <f t="shared" si="213"/>
        <v>0</v>
      </c>
      <c r="BO88" s="813">
        <f t="shared" si="213"/>
        <v>0</v>
      </c>
      <c r="BP88" s="813">
        <f t="shared" si="213"/>
        <v>0</v>
      </c>
      <c r="BQ88" s="516"/>
      <c r="BR88" s="516"/>
      <c r="BS88" s="516"/>
      <c r="BT88" s="516"/>
      <c r="BU88" s="516"/>
      <c r="BV88" s="516">
        <f>BV132</f>
        <v>0</v>
      </c>
      <c r="BW88" s="516">
        <f>BW132</f>
        <v>0</v>
      </c>
      <c r="BX88" s="516">
        <f>BX132</f>
        <v>0</v>
      </c>
      <c r="BY88" s="514">
        <f t="shared" ref="BY88:BY95" si="214">SUM(O88:BQ88)</f>
        <v>28436.962900883955</v>
      </c>
      <c r="BZ88" s="113">
        <f>BY88-N88</f>
        <v>0</v>
      </c>
      <c r="CA88" s="71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</row>
    <row r="89" spans="1:147" s="57" customFormat="1" ht="15" customHeight="1">
      <c r="A89" s="1627"/>
      <c r="B89" s="1492"/>
      <c r="C89" s="1493"/>
      <c r="D89" s="1503" t="str">
        <f>사업수지표!G76</f>
        <v>중도금대출이자</v>
      </c>
      <c r="E89" s="1504"/>
      <c r="F89" s="1504"/>
      <c r="G89" s="1504"/>
      <c r="H89" s="1504"/>
      <c r="I89" s="1504"/>
      <c r="J89" s="1504"/>
      <c r="K89" s="1506">
        <f>AQ3</f>
        <v>4.2000000000000003E-2</v>
      </c>
      <c r="L89" s="1506"/>
      <c r="M89" s="1507"/>
      <c r="N89" s="79">
        <f>BY89</f>
        <v>21495221.149482507</v>
      </c>
      <c r="O89" s="564"/>
      <c r="P89" s="494">
        <f>P143</f>
        <v>0</v>
      </c>
      <c r="Q89" s="494"/>
      <c r="R89" s="494"/>
      <c r="S89" s="494"/>
      <c r="T89" s="494"/>
      <c r="U89" s="494"/>
      <c r="V89" s="494"/>
      <c r="W89" s="494"/>
      <c r="X89" s="494">
        <f t="shared" ref="X89:BX89" si="215">X143</f>
        <v>0</v>
      </c>
      <c r="Y89" s="494">
        <f t="shared" si="215"/>
        <v>0</v>
      </c>
      <c r="Z89" s="494">
        <f t="shared" si="215"/>
        <v>0</v>
      </c>
      <c r="AA89" s="494">
        <f t="shared" si="215"/>
        <v>0</v>
      </c>
      <c r="AB89" s="494"/>
      <c r="AC89" s="494"/>
      <c r="AD89" s="494"/>
      <c r="AE89" s="494"/>
      <c r="AF89" s="494"/>
      <c r="AG89" s="494"/>
      <c r="AH89" s="494">
        <f t="shared" si="215"/>
        <v>0</v>
      </c>
      <c r="AI89" s="494">
        <f t="shared" si="215"/>
        <v>0</v>
      </c>
      <c r="AJ89" s="494">
        <f t="shared" si="215"/>
        <v>0</v>
      </c>
      <c r="AK89" s="494">
        <f t="shared" si="215"/>
        <v>0</v>
      </c>
      <c r="AL89" s="494">
        <f t="shared" si="215"/>
        <v>51647.983685374995</v>
      </c>
      <c r="AM89" s="494">
        <f t="shared" si="215"/>
        <v>60762.333747499993</v>
      </c>
      <c r="AN89" s="494">
        <f t="shared" si="215"/>
        <v>306849.78542487504</v>
      </c>
      <c r="AO89" s="494">
        <f t="shared" si="215"/>
        <v>331154.71892387507</v>
      </c>
      <c r="AP89" s="494">
        <f t="shared" si="215"/>
        <v>355459.65242287511</v>
      </c>
      <c r="AQ89" s="494">
        <f t="shared" si="215"/>
        <v>373688.35254712513</v>
      </c>
      <c r="AR89" s="494">
        <f t="shared" si="215"/>
        <v>391917.05267137516</v>
      </c>
      <c r="AS89" s="494">
        <f t="shared" si="215"/>
        <v>397993.28604612505</v>
      </c>
      <c r="AT89" s="494">
        <f t="shared" si="215"/>
        <v>689652.4880341253</v>
      </c>
      <c r="AU89" s="494">
        <f t="shared" si="215"/>
        <v>698766.8380962502</v>
      </c>
      <c r="AV89" s="494">
        <f t="shared" si="215"/>
        <v>707881.18815837521</v>
      </c>
      <c r="AW89" s="494">
        <f t="shared" si="215"/>
        <v>718188.75577925018</v>
      </c>
      <c r="AX89" s="494">
        <f t="shared" si="215"/>
        <v>727435.68557012535</v>
      </c>
      <c r="AY89" s="494">
        <f t="shared" si="215"/>
        <v>736682.61536100029</v>
      </c>
      <c r="AZ89" s="494">
        <f t="shared" si="215"/>
        <v>1037721.3268686255</v>
      </c>
      <c r="BA89" s="494">
        <f t="shared" si="215"/>
        <v>1037853.9065973755</v>
      </c>
      <c r="BB89" s="494">
        <f t="shared" si="215"/>
        <v>1039975.1822573756</v>
      </c>
      <c r="BC89" s="494">
        <f t="shared" si="215"/>
        <v>1040240.3417148757</v>
      </c>
      <c r="BD89" s="494">
        <f t="shared" si="215"/>
        <v>1040505.5011723757</v>
      </c>
      <c r="BE89" s="494">
        <f t="shared" si="215"/>
        <v>1040770.6606298758</v>
      </c>
      <c r="BF89" s="494">
        <f t="shared" si="215"/>
        <v>1343930.6477975009</v>
      </c>
      <c r="BG89" s="494">
        <f t="shared" si="215"/>
        <v>1344328.3869837511</v>
      </c>
      <c r="BH89" s="494">
        <f t="shared" si="215"/>
        <v>1344328.3869837511</v>
      </c>
      <c r="BI89" s="494">
        <f t="shared" si="215"/>
        <v>1344726.126170001</v>
      </c>
      <c r="BJ89" s="494">
        <f t="shared" si="215"/>
        <v>1666379.9729193763</v>
      </c>
      <c r="BK89" s="494">
        <f t="shared" si="215"/>
        <v>1666379.9729193763</v>
      </c>
      <c r="BL89" s="494">
        <f t="shared" si="215"/>
        <v>0</v>
      </c>
      <c r="BM89" s="494">
        <f t="shared" si="215"/>
        <v>0</v>
      </c>
      <c r="BN89" s="494">
        <f t="shared" ref="BN89" si="216">BN143</f>
        <v>0</v>
      </c>
      <c r="BO89" s="494">
        <f t="shared" si="215"/>
        <v>0</v>
      </c>
      <c r="BP89" s="494">
        <f t="shared" si="215"/>
        <v>0</v>
      </c>
      <c r="BQ89" s="494">
        <f t="shared" si="215"/>
        <v>0</v>
      </c>
      <c r="BR89" s="494">
        <f t="shared" si="215"/>
        <v>0</v>
      </c>
      <c r="BS89" s="494">
        <f t="shared" si="215"/>
        <v>0</v>
      </c>
      <c r="BT89" s="680">
        <f>BT143</f>
        <v>0</v>
      </c>
      <c r="BU89" s="494">
        <f t="shared" si="215"/>
        <v>0</v>
      </c>
      <c r="BV89" s="494">
        <f t="shared" si="215"/>
        <v>0</v>
      </c>
      <c r="BW89" s="494">
        <f t="shared" si="215"/>
        <v>0</v>
      </c>
      <c r="BX89" s="494">
        <f t="shared" si="215"/>
        <v>0</v>
      </c>
      <c r="BY89" s="514">
        <f t="shared" si="214"/>
        <v>21495221.149482507</v>
      </c>
      <c r="BZ89" s="113">
        <f>BY89-N89</f>
        <v>0</v>
      </c>
      <c r="CA89" s="71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</row>
    <row r="90" spans="1:147" s="57" customFormat="1" ht="15" customHeight="1">
      <c r="A90" s="1627"/>
      <c r="B90" s="1492"/>
      <c r="C90" s="1493"/>
      <c r="D90" s="1503" t="str">
        <f>사업수지표!G77</f>
        <v>중도금주선수수료</v>
      </c>
      <c r="E90" s="1505"/>
      <c r="F90" s="1505"/>
      <c r="G90" s="1505"/>
      <c r="H90" s="1505"/>
      <c r="I90" s="1505"/>
      <c r="J90" s="1505"/>
      <c r="K90" s="1506">
        <f>사업수지표!BD77</f>
        <v>1.5E-3</v>
      </c>
      <c r="L90" s="1506"/>
      <c r="M90" s="1507"/>
      <c r="N90" s="79">
        <f>사업수지표!AL77</f>
        <v>863500</v>
      </c>
      <c r="O90" s="564"/>
      <c r="P90" s="494">
        <v>0</v>
      </c>
      <c r="Q90" s="494"/>
      <c r="R90" s="494"/>
      <c r="S90" s="494"/>
      <c r="T90" s="494"/>
      <c r="U90" s="494"/>
      <c r="V90" s="494"/>
      <c r="W90" s="494"/>
      <c r="X90" s="494"/>
      <c r="Y90" s="516"/>
      <c r="Z90" s="516"/>
      <c r="AA90" s="516"/>
      <c r="AB90" s="516"/>
      <c r="AC90" s="516"/>
      <c r="AD90" s="516"/>
      <c r="AE90" s="516"/>
      <c r="AF90" s="516"/>
      <c r="AG90" s="516"/>
      <c r="AH90" s="516"/>
      <c r="AI90" s="516"/>
      <c r="AJ90" s="516"/>
      <c r="AK90" s="516"/>
      <c r="AL90" s="516">
        <f>N90</f>
        <v>863500</v>
      </c>
      <c r="AM90" s="516"/>
      <c r="AN90" s="516"/>
      <c r="AO90" s="516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  <c r="BP90" s="516"/>
      <c r="BQ90" s="516"/>
      <c r="BR90" s="516"/>
      <c r="BS90" s="516"/>
      <c r="BT90" s="516"/>
      <c r="BU90" s="516"/>
      <c r="BV90" s="516"/>
      <c r="BW90" s="516"/>
      <c r="BX90" s="520"/>
      <c r="BY90" s="514">
        <f t="shared" ref="BY90" si="217">SUM(O90:BQ90)</f>
        <v>863500</v>
      </c>
      <c r="BZ90" s="113"/>
      <c r="CA90" s="71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</row>
    <row r="91" spans="1:147" s="57" customFormat="1" ht="15" customHeight="1">
      <c r="A91" s="1627"/>
      <c r="B91" s="1492"/>
      <c r="C91" s="1493"/>
      <c r="D91" s="1503" t="str">
        <f>사업수지표!G78</f>
        <v>PF부대비용</v>
      </c>
      <c r="E91" s="1505"/>
      <c r="F91" s="1505"/>
      <c r="G91" s="1505"/>
      <c r="H91" s="1505"/>
      <c r="I91" s="1505"/>
      <c r="J91" s="1505"/>
      <c r="K91" s="1506"/>
      <c r="L91" s="1506"/>
      <c r="M91" s="1507"/>
      <c r="N91" s="79">
        <f>사업수지표!AL78</f>
        <v>495000</v>
      </c>
      <c r="O91" s="564">
        <f>사업수지표!AR78</f>
        <v>0</v>
      </c>
      <c r="P91" s="494">
        <f>N91</f>
        <v>495000</v>
      </c>
      <c r="Q91" s="494"/>
      <c r="R91" s="494"/>
      <c r="S91" s="494"/>
      <c r="T91" s="494"/>
      <c r="U91" s="494"/>
      <c r="V91" s="494"/>
      <c r="W91" s="494"/>
      <c r="X91" s="494"/>
      <c r="Y91" s="494"/>
      <c r="Z91" s="494"/>
      <c r="AA91" s="494"/>
      <c r="AB91" s="494"/>
      <c r="AC91" s="494"/>
      <c r="AD91" s="494"/>
      <c r="AE91" s="494"/>
      <c r="AF91" s="494"/>
      <c r="AG91" s="494"/>
      <c r="AH91" s="494"/>
      <c r="AI91" s="494"/>
      <c r="AJ91" s="494"/>
      <c r="AK91" s="494"/>
      <c r="AL91" s="494"/>
      <c r="AM91" s="494"/>
      <c r="AN91" s="494"/>
      <c r="AO91" s="494"/>
      <c r="AP91" s="494"/>
      <c r="AQ91" s="494"/>
      <c r="AR91" s="494"/>
      <c r="AS91" s="494"/>
      <c r="AT91" s="494"/>
      <c r="AU91" s="494"/>
      <c r="AV91" s="494"/>
      <c r="AW91" s="494"/>
      <c r="AX91" s="494"/>
      <c r="AY91" s="494"/>
      <c r="AZ91" s="494"/>
      <c r="BA91" s="494"/>
      <c r="BB91" s="494"/>
      <c r="BC91" s="494"/>
      <c r="BD91" s="494"/>
      <c r="BE91" s="494"/>
      <c r="BF91" s="494"/>
      <c r="BG91" s="494"/>
      <c r="BH91" s="494"/>
      <c r="BI91" s="494"/>
      <c r="BJ91" s="494"/>
      <c r="BK91" s="494"/>
      <c r="BL91" s="494"/>
      <c r="BM91" s="494"/>
      <c r="BN91" s="494"/>
      <c r="BO91" s="494"/>
      <c r="BP91" s="494"/>
      <c r="BQ91" s="494"/>
      <c r="BR91" s="494"/>
      <c r="BS91" s="494"/>
      <c r="BT91" s="680"/>
      <c r="BU91" s="494"/>
      <c r="BV91" s="494"/>
      <c r="BW91" s="494"/>
      <c r="BX91" s="495"/>
      <c r="BY91" s="514">
        <f t="shared" si="214"/>
        <v>495000</v>
      </c>
      <c r="BZ91" s="113">
        <f t="shared" ref="BZ91:BZ103" si="218">BY91-N91</f>
        <v>0</v>
      </c>
      <c r="CA91" s="71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</row>
    <row r="92" spans="1:147" s="57" customFormat="1" ht="15" customHeight="1">
      <c r="A92" s="1627"/>
      <c r="B92" s="1492"/>
      <c r="C92" s="1493"/>
      <c r="D92" s="1503" t="str">
        <f>사업수지표!G79</f>
        <v>금융자문수수료</v>
      </c>
      <c r="E92" s="1505"/>
      <c r="F92" s="1505"/>
      <c r="G92" s="1505"/>
      <c r="H92" s="1505"/>
      <c r="I92" s="1505"/>
      <c r="J92" s="1505"/>
      <c r="K92" s="1508">
        <f>사업수지표!BD79</f>
        <v>0</v>
      </c>
      <c r="L92" s="1508"/>
      <c r="M92" s="1509"/>
      <c r="N92" s="79">
        <f>사업수지표!AL79</f>
        <v>4950000</v>
      </c>
      <c r="O92" s="564"/>
      <c r="P92" s="494">
        <f>N92</f>
        <v>4950000</v>
      </c>
      <c r="Q92" s="494"/>
      <c r="R92" s="494"/>
      <c r="S92" s="494"/>
      <c r="T92" s="494"/>
      <c r="U92" s="494"/>
      <c r="V92" s="494"/>
      <c r="W92" s="494"/>
      <c r="X92" s="494"/>
      <c r="Y92" s="516"/>
      <c r="Z92" s="516"/>
      <c r="AA92" s="516"/>
      <c r="AB92" s="516"/>
      <c r="AC92" s="516"/>
      <c r="AD92" s="516"/>
      <c r="AE92" s="516"/>
      <c r="AF92" s="516"/>
      <c r="AG92" s="516"/>
      <c r="AH92" s="516"/>
      <c r="AI92" s="516"/>
      <c r="AJ92" s="516"/>
      <c r="AK92" s="516"/>
      <c r="AL92" s="516"/>
      <c r="AM92" s="516"/>
      <c r="AN92" s="516"/>
      <c r="AO92" s="516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20"/>
      <c r="BY92" s="514">
        <f t="shared" si="214"/>
        <v>4950000</v>
      </c>
      <c r="BZ92" s="113">
        <f t="shared" si="218"/>
        <v>0</v>
      </c>
      <c r="CA92" s="71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</row>
    <row r="93" spans="1:147" s="57" customFormat="1" ht="15" customHeight="1">
      <c r="A93" s="1627"/>
      <c r="B93" s="1492"/>
      <c r="C93" s="1493"/>
      <c r="D93" s="1515" t="str">
        <f>사업수지표!G80</f>
        <v>PF취급수수료</v>
      </c>
      <c r="E93" s="1516"/>
      <c r="F93" s="1516"/>
      <c r="G93" s="1516"/>
      <c r="H93" s="1516"/>
      <c r="I93" s="1516"/>
      <c r="J93" s="1516"/>
      <c r="K93" s="1508">
        <f>사업수지표!BD80</f>
        <v>0</v>
      </c>
      <c r="L93" s="1508"/>
      <c r="M93" s="1509"/>
      <c r="N93" s="79">
        <f>사업수지표!AL80</f>
        <v>0</v>
      </c>
      <c r="O93" s="564"/>
      <c r="P93" s="494">
        <f>사업수지표!AS80</f>
        <v>0</v>
      </c>
      <c r="Q93" s="494"/>
      <c r="R93" s="494"/>
      <c r="S93" s="494"/>
      <c r="T93" s="494"/>
      <c r="U93" s="494"/>
      <c r="V93" s="494"/>
      <c r="W93" s="494"/>
      <c r="X93" s="494"/>
      <c r="Y93" s="516"/>
      <c r="Z93" s="516"/>
      <c r="AA93" s="516"/>
      <c r="AB93" s="516"/>
      <c r="AC93" s="516"/>
      <c r="AD93" s="516"/>
      <c r="AE93" s="516"/>
      <c r="AF93" s="516"/>
      <c r="AG93" s="516"/>
      <c r="AH93" s="516"/>
      <c r="AI93" s="516"/>
      <c r="AJ93" s="516"/>
      <c r="AK93" s="516"/>
      <c r="AL93" s="516"/>
      <c r="AM93" s="516"/>
      <c r="AN93" s="516"/>
      <c r="AO93" s="516"/>
      <c r="AP93" s="516"/>
      <c r="AQ93" s="516"/>
      <c r="AR93" s="516"/>
      <c r="AS93" s="516"/>
      <c r="AT93" s="516"/>
      <c r="AU93" s="516"/>
      <c r="AV93" s="516"/>
      <c r="AW93" s="516"/>
      <c r="AX93" s="516"/>
      <c r="AY93" s="516"/>
      <c r="AZ93" s="516"/>
      <c r="BA93" s="516"/>
      <c r="BB93" s="516"/>
      <c r="BC93" s="516"/>
      <c r="BD93" s="516"/>
      <c r="BE93" s="516"/>
      <c r="BF93" s="516"/>
      <c r="BG93" s="516"/>
      <c r="BH93" s="516"/>
      <c r="BI93" s="516"/>
      <c r="BJ93" s="516"/>
      <c r="BK93" s="516"/>
      <c r="BL93" s="516"/>
      <c r="BM93" s="516"/>
      <c r="BN93" s="516"/>
      <c r="BO93" s="516"/>
      <c r="BP93" s="516"/>
      <c r="BQ93" s="516"/>
      <c r="BR93" s="516"/>
      <c r="BS93" s="516"/>
      <c r="BT93" s="516"/>
      <c r="BU93" s="516"/>
      <c r="BV93" s="516"/>
      <c r="BW93" s="516"/>
      <c r="BX93" s="520"/>
      <c r="BY93" s="514">
        <f t="shared" si="214"/>
        <v>0</v>
      </c>
      <c r="BZ93" s="113">
        <f t="shared" si="218"/>
        <v>0</v>
      </c>
      <c r="CA93" s="71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</row>
    <row r="94" spans="1:147" s="57" customFormat="1" ht="15" customHeight="1">
      <c r="A94" s="1627"/>
      <c r="B94" s="1492"/>
      <c r="C94" s="1493"/>
      <c r="D94" s="1510" t="str">
        <f>사업수지표!G81</f>
        <v>PF이자</v>
      </c>
      <c r="E94" s="1511"/>
      <c r="F94" s="1511"/>
      <c r="G94" s="1511" t="s">
        <v>263</v>
      </c>
      <c r="H94" s="1511"/>
      <c r="I94" s="1511"/>
      <c r="J94" s="1511"/>
      <c r="K94" s="1508">
        <f>사업수지표!BD81</f>
        <v>0.11</v>
      </c>
      <c r="L94" s="1508"/>
      <c r="M94" s="1509"/>
      <c r="N94" s="79">
        <f>BY94</f>
        <v>89918692.875601038</v>
      </c>
      <c r="O94" s="564"/>
      <c r="P94" s="494"/>
      <c r="Q94" s="494"/>
      <c r="R94" s="494"/>
      <c r="S94" s="494"/>
      <c r="T94" s="494"/>
      <c r="U94" s="494"/>
      <c r="V94" s="494"/>
      <c r="W94" s="494"/>
      <c r="X94" s="516"/>
      <c r="Y94" s="516"/>
      <c r="Z94" s="516"/>
      <c r="AA94" s="516"/>
      <c r="AB94" s="516"/>
      <c r="AC94" s="516"/>
      <c r="AD94" s="516"/>
      <c r="AE94" s="516"/>
      <c r="AF94" s="516"/>
      <c r="AG94" s="516"/>
      <c r="AH94" s="516"/>
      <c r="AI94" s="516"/>
      <c r="AJ94" s="516"/>
      <c r="AK94" s="516"/>
      <c r="AL94" s="516"/>
      <c r="AM94" s="516"/>
      <c r="AN94" s="516"/>
      <c r="AO94" s="516"/>
      <c r="AP94" s="516"/>
      <c r="AQ94" s="516"/>
      <c r="AR94" s="516"/>
      <c r="AS94" s="516"/>
      <c r="AT94" s="516"/>
      <c r="AU94" s="516"/>
      <c r="AV94" s="516"/>
      <c r="AW94" s="516"/>
      <c r="AX94" s="516"/>
      <c r="AY94" s="516"/>
      <c r="AZ94" s="516"/>
      <c r="BA94" s="516"/>
      <c r="BB94" s="516"/>
      <c r="BC94" s="516"/>
      <c r="BD94" s="516"/>
      <c r="BE94" s="516"/>
      <c r="BF94" s="516"/>
      <c r="BG94" s="516"/>
      <c r="BH94" s="516"/>
      <c r="BI94" s="516"/>
      <c r="BJ94" s="516"/>
      <c r="BK94" s="516"/>
      <c r="BL94" s="516"/>
      <c r="BM94" s="516"/>
      <c r="BN94" s="516">
        <f>'IRR 계산'!H12</f>
        <v>89918692.875601038</v>
      </c>
      <c r="BO94" s="516"/>
      <c r="BP94" s="516"/>
      <c r="BQ94" s="516">
        <f t="shared" ref="BQ94:BX94" si="219">BQ112</f>
        <v>0</v>
      </c>
      <c r="BR94" s="516">
        <f t="shared" si="219"/>
        <v>0</v>
      </c>
      <c r="BS94" s="516">
        <f t="shared" si="219"/>
        <v>0</v>
      </c>
      <c r="BT94" s="516">
        <f t="shared" si="219"/>
        <v>0</v>
      </c>
      <c r="BU94" s="516">
        <f t="shared" si="219"/>
        <v>0</v>
      </c>
      <c r="BV94" s="516">
        <f t="shared" si="219"/>
        <v>0</v>
      </c>
      <c r="BW94" s="516">
        <f t="shared" si="219"/>
        <v>0</v>
      </c>
      <c r="BX94" s="516">
        <f t="shared" si="219"/>
        <v>0</v>
      </c>
      <c r="BY94" s="514">
        <f t="shared" si="214"/>
        <v>89918692.875601038</v>
      </c>
      <c r="BZ94" s="113">
        <f t="shared" si="218"/>
        <v>0</v>
      </c>
      <c r="CA94" s="71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</row>
    <row r="95" spans="1:147" s="57" customFormat="1" ht="15" customHeight="1">
      <c r="A95" s="1627"/>
      <c r="B95" s="1492"/>
      <c r="C95" s="1493"/>
      <c r="D95" s="1512"/>
      <c r="E95" s="1513"/>
      <c r="F95" s="1513"/>
      <c r="G95" s="1514" t="s">
        <v>333</v>
      </c>
      <c r="H95" s="1514"/>
      <c r="I95" s="1514"/>
      <c r="J95" s="1514"/>
      <c r="K95" s="1508">
        <f>사업수지표!BD82</f>
        <v>0.11</v>
      </c>
      <c r="L95" s="1508"/>
      <c r="M95" s="1509"/>
      <c r="N95" s="79">
        <f>BY95</f>
        <v>0</v>
      </c>
      <c r="O95" s="564"/>
      <c r="P95" s="494">
        <f>사업수지표!AR81</f>
        <v>0</v>
      </c>
      <c r="Q95" s="494"/>
      <c r="R95" s="494"/>
      <c r="S95" s="494"/>
      <c r="T95" s="494"/>
      <c r="U95" s="494"/>
      <c r="V95" s="494"/>
      <c r="W95" s="494"/>
      <c r="X95" s="516">
        <f t="shared" ref="X95:BX95" si="220">X117</f>
        <v>0</v>
      </c>
      <c r="Y95" s="516">
        <f t="shared" si="220"/>
        <v>0</v>
      </c>
      <c r="Z95" s="516">
        <f t="shared" si="220"/>
        <v>0</v>
      </c>
      <c r="AA95" s="516">
        <f t="shared" si="220"/>
        <v>0</v>
      </c>
      <c r="AB95" s="516"/>
      <c r="AC95" s="516"/>
      <c r="AD95" s="516"/>
      <c r="AE95" s="516"/>
      <c r="AF95" s="516"/>
      <c r="AG95" s="516"/>
      <c r="AH95" s="516">
        <f t="shared" si="220"/>
        <v>0</v>
      </c>
      <c r="AI95" s="516">
        <f t="shared" si="220"/>
        <v>0</v>
      </c>
      <c r="AJ95" s="516">
        <f t="shared" si="220"/>
        <v>0</v>
      </c>
      <c r="AK95" s="516">
        <f t="shared" si="220"/>
        <v>0</v>
      </c>
      <c r="AL95" s="516">
        <f t="shared" si="220"/>
        <v>0</v>
      </c>
      <c r="AM95" s="516">
        <f t="shared" si="220"/>
        <v>0</v>
      </c>
      <c r="AN95" s="516">
        <f t="shared" si="220"/>
        <v>0</v>
      </c>
      <c r="AO95" s="516">
        <f t="shared" si="220"/>
        <v>0</v>
      </c>
      <c r="AP95" s="516">
        <f t="shared" si="220"/>
        <v>0</v>
      </c>
      <c r="AQ95" s="516">
        <f t="shared" si="220"/>
        <v>0</v>
      </c>
      <c r="AR95" s="516">
        <f t="shared" si="220"/>
        <v>0</v>
      </c>
      <c r="AS95" s="516">
        <f t="shared" si="220"/>
        <v>0</v>
      </c>
      <c r="AT95" s="516">
        <f t="shared" si="220"/>
        <v>0</v>
      </c>
      <c r="AU95" s="516">
        <f t="shared" si="220"/>
        <v>0</v>
      </c>
      <c r="AV95" s="516">
        <f t="shared" si="220"/>
        <v>0</v>
      </c>
      <c r="AW95" s="516">
        <f t="shared" si="220"/>
        <v>0</v>
      </c>
      <c r="AX95" s="516">
        <f t="shared" si="220"/>
        <v>0</v>
      </c>
      <c r="AY95" s="516">
        <f t="shared" si="220"/>
        <v>0</v>
      </c>
      <c r="AZ95" s="516">
        <f t="shared" si="220"/>
        <v>0</v>
      </c>
      <c r="BA95" s="516">
        <f t="shared" si="220"/>
        <v>0</v>
      </c>
      <c r="BB95" s="516">
        <f t="shared" si="220"/>
        <v>0</v>
      </c>
      <c r="BC95" s="516">
        <f t="shared" si="220"/>
        <v>0</v>
      </c>
      <c r="BD95" s="516">
        <f t="shared" si="220"/>
        <v>0</v>
      </c>
      <c r="BE95" s="516">
        <f t="shared" si="220"/>
        <v>0</v>
      </c>
      <c r="BF95" s="516">
        <f t="shared" si="220"/>
        <v>0</v>
      </c>
      <c r="BG95" s="516">
        <f t="shared" si="220"/>
        <v>0</v>
      </c>
      <c r="BH95" s="516">
        <f t="shared" si="220"/>
        <v>0</v>
      </c>
      <c r="BI95" s="516">
        <f t="shared" si="220"/>
        <v>0</v>
      </c>
      <c r="BJ95" s="516">
        <f t="shared" si="220"/>
        <v>0</v>
      </c>
      <c r="BK95" s="516">
        <f t="shared" si="220"/>
        <v>0</v>
      </c>
      <c r="BL95" s="516">
        <f t="shared" si="220"/>
        <v>0</v>
      </c>
      <c r="BM95" s="516">
        <f t="shared" si="220"/>
        <v>0</v>
      </c>
      <c r="BN95" s="516">
        <f t="shared" si="220"/>
        <v>0</v>
      </c>
      <c r="BO95" s="516">
        <f t="shared" si="220"/>
        <v>0</v>
      </c>
      <c r="BP95" s="516">
        <f t="shared" si="220"/>
        <v>0</v>
      </c>
      <c r="BQ95" s="516">
        <f t="shared" si="220"/>
        <v>0</v>
      </c>
      <c r="BR95" s="516">
        <f t="shared" si="220"/>
        <v>0</v>
      </c>
      <c r="BS95" s="516">
        <f t="shared" si="220"/>
        <v>0</v>
      </c>
      <c r="BT95" s="516">
        <f t="shared" si="220"/>
        <v>0</v>
      </c>
      <c r="BU95" s="516">
        <f t="shared" si="220"/>
        <v>0</v>
      </c>
      <c r="BV95" s="516">
        <f t="shared" si="220"/>
        <v>0</v>
      </c>
      <c r="BW95" s="516">
        <f t="shared" si="220"/>
        <v>0</v>
      </c>
      <c r="BX95" s="516">
        <f t="shared" si="220"/>
        <v>0</v>
      </c>
      <c r="BY95" s="514">
        <f t="shared" si="214"/>
        <v>0</v>
      </c>
      <c r="BZ95" s="113">
        <f t="shared" si="218"/>
        <v>0</v>
      </c>
      <c r="CA95" s="71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</row>
    <row r="96" spans="1:147" s="57" customFormat="1" ht="15" hidden="1" customHeight="1">
      <c r="A96" s="1627"/>
      <c r="B96" s="1492"/>
      <c r="C96" s="1493"/>
      <c r="D96" s="1510">
        <f>사업수지표!G83</f>
        <v>0</v>
      </c>
      <c r="E96" s="1511"/>
      <c r="F96" s="1511"/>
      <c r="G96" s="1511"/>
      <c r="H96" s="1511"/>
      <c r="I96" s="1511"/>
      <c r="J96" s="1511"/>
      <c r="K96" s="1508">
        <f>사업수지표!BC83</f>
        <v>0</v>
      </c>
      <c r="L96" s="1508"/>
      <c r="M96" s="1509"/>
      <c r="N96" s="79">
        <f>사업수지표!AL83</f>
        <v>0</v>
      </c>
      <c r="O96" s="561"/>
      <c r="P96" s="516"/>
      <c r="Q96" s="516"/>
      <c r="R96" s="516"/>
      <c r="S96" s="516"/>
      <c r="T96" s="516"/>
      <c r="U96" s="516"/>
      <c r="V96" s="516"/>
      <c r="W96" s="516"/>
      <c r="X96" s="516"/>
      <c r="Y96" s="516">
        <f>N96</f>
        <v>0</v>
      </c>
      <c r="Z96" s="516"/>
      <c r="AA96" s="516"/>
      <c r="AB96" s="516"/>
      <c r="AC96" s="516"/>
      <c r="AD96" s="516"/>
      <c r="AE96" s="516"/>
      <c r="AF96" s="516"/>
      <c r="AG96" s="516"/>
      <c r="AH96" s="516"/>
      <c r="AI96" s="516"/>
      <c r="AJ96" s="516"/>
      <c r="AK96" s="516"/>
      <c r="AL96" s="516"/>
      <c r="AM96" s="516"/>
      <c r="AN96" s="516"/>
      <c r="AO96" s="516"/>
      <c r="AP96" s="516"/>
      <c r="AQ96" s="516"/>
      <c r="AR96" s="516"/>
      <c r="AS96" s="516"/>
      <c r="AT96" s="516"/>
      <c r="AU96" s="516"/>
      <c r="AV96" s="516"/>
      <c r="AW96" s="516"/>
      <c r="AX96" s="516"/>
      <c r="AY96" s="516"/>
      <c r="AZ96" s="516"/>
      <c r="BA96" s="516"/>
      <c r="BB96" s="516"/>
      <c r="BC96" s="516"/>
      <c r="BD96" s="516"/>
      <c r="BE96" s="516"/>
      <c r="BF96" s="516"/>
      <c r="BG96" s="516"/>
      <c r="BH96" s="516"/>
      <c r="BI96" s="516"/>
      <c r="BJ96" s="516"/>
      <c r="BK96" s="516"/>
      <c r="BL96" s="516"/>
      <c r="BM96" s="516"/>
      <c r="BN96" s="516"/>
      <c r="BO96" s="516"/>
      <c r="BP96" s="516"/>
      <c r="BQ96" s="516"/>
      <c r="BR96" s="516"/>
      <c r="BS96" s="516"/>
      <c r="BT96" s="516"/>
      <c r="BU96" s="516"/>
      <c r="BV96" s="516"/>
      <c r="BW96" s="516"/>
      <c r="BX96" s="520"/>
      <c r="BY96" s="515">
        <f>SUM(P96:BL96)</f>
        <v>0</v>
      </c>
      <c r="BZ96" s="113">
        <f t="shared" si="218"/>
        <v>0</v>
      </c>
      <c r="CA96" s="71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</row>
    <row r="97" spans="1:147" s="57" customFormat="1" ht="15" hidden="1" customHeight="1">
      <c r="A97" s="1627"/>
      <c r="B97" s="1492"/>
      <c r="C97" s="1493"/>
      <c r="D97" s="1510">
        <f>사업수지표!G84</f>
        <v>0</v>
      </c>
      <c r="E97" s="1511"/>
      <c r="F97" s="1511"/>
      <c r="G97" s="1511"/>
      <c r="H97" s="1511"/>
      <c r="I97" s="1511"/>
      <c r="J97" s="1511"/>
      <c r="K97" s="1508"/>
      <c r="L97" s="1508"/>
      <c r="M97" s="1509"/>
      <c r="N97" s="79">
        <f>사업수지표!AL84</f>
        <v>0</v>
      </c>
      <c r="O97" s="561"/>
      <c r="P97" s="516"/>
      <c r="Q97" s="516"/>
      <c r="R97" s="516"/>
      <c r="S97" s="516"/>
      <c r="T97" s="516"/>
      <c r="U97" s="516"/>
      <c r="V97" s="516"/>
      <c r="W97" s="516"/>
      <c r="X97" s="516"/>
      <c r="Y97" s="516">
        <f>N97</f>
        <v>0</v>
      </c>
      <c r="Z97" s="516"/>
      <c r="AA97" s="516"/>
      <c r="AB97" s="516"/>
      <c r="AC97" s="516"/>
      <c r="AD97" s="516"/>
      <c r="AE97" s="516"/>
      <c r="AF97" s="516"/>
      <c r="AG97" s="516"/>
      <c r="AH97" s="516"/>
      <c r="AI97" s="516"/>
      <c r="AJ97" s="516"/>
      <c r="AK97" s="516"/>
      <c r="AL97" s="516"/>
      <c r="AM97" s="516"/>
      <c r="AN97" s="516"/>
      <c r="AO97" s="516"/>
      <c r="AP97" s="516"/>
      <c r="AQ97" s="516"/>
      <c r="AR97" s="516"/>
      <c r="AS97" s="516"/>
      <c r="AT97" s="516"/>
      <c r="AU97" s="516"/>
      <c r="AV97" s="516"/>
      <c r="AW97" s="516"/>
      <c r="AX97" s="516"/>
      <c r="AY97" s="516"/>
      <c r="AZ97" s="516"/>
      <c r="BA97" s="516"/>
      <c r="BB97" s="516"/>
      <c r="BC97" s="516"/>
      <c r="BD97" s="516"/>
      <c r="BE97" s="516"/>
      <c r="BF97" s="516"/>
      <c r="BG97" s="516"/>
      <c r="BH97" s="516"/>
      <c r="BI97" s="516"/>
      <c r="BJ97" s="516"/>
      <c r="BK97" s="516"/>
      <c r="BL97" s="516"/>
      <c r="BM97" s="516"/>
      <c r="BN97" s="516"/>
      <c r="BO97" s="516"/>
      <c r="BP97" s="516"/>
      <c r="BQ97" s="516"/>
      <c r="BR97" s="516"/>
      <c r="BS97" s="516"/>
      <c r="BT97" s="516"/>
      <c r="BU97" s="516"/>
      <c r="BV97" s="516"/>
      <c r="BW97" s="516"/>
      <c r="BX97" s="520"/>
      <c r="BY97" s="515">
        <f>SUM(P97:BL97)</f>
        <v>0</v>
      </c>
      <c r="BZ97" s="113">
        <f t="shared" si="218"/>
        <v>0</v>
      </c>
      <c r="CA97" s="71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</row>
    <row r="98" spans="1:147" s="57" customFormat="1" ht="15" hidden="1" customHeight="1">
      <c r="A98" s="1627"/>
      <c r="B98" s="1492"/>
      <c r="C98" s="1493"/>
      <c r="D98" s="1510">
        <f>사업수지표!G85</f>
        <v>0</v>
      </c>
      <c r="E98" s="1511"/>
      <c r="F98" s="1511"/>
      <c r="G98" s="1511"/>
      <c r="H98" s="1511"/>
      <c r="I98" s="1511"/>
      <c r="J98" s="1511"/>
      <c r="K98" s="1508"/>
      <c r="L98" s="1508"/>
      <c r="M98" s="1509"/>
      <c r="N98" s="79">
        <f>사업수지표!AL85</f>
        <v>0</v>
      </c>
      <c r="O98" s="561"/>
      <c r="P98" s="516"/>
      <c r="Q98" s="516"/>
      <c r="R98" s="516"/>
      <c r="S98" s="516"/>
      <c r="T98" s="516"/>
      <c r="U98" s="516"/>
      <c r="V98" s="516"/>
      <c r="W98" s="516"/>
      <c r="X98" s="516"/>
      <c r="Y98" s="516">
        <f>N98</f>
        <v>0</v>
      </c>
      <c r="Z98" s="516"/>
      <c r="AA98" s="516"/>
      <c r="AB98" s="516"/>
      <c r="AC98" s="516"/>
      <c r="AD98" s="516"/>
      <c r="AE98" s="516"/>
      <c r="AF98" s="516"/>
      <c r="AG98" s="516"/>
      <c r="AH98" s="516"/>
      <c r="AI98" s="516"/>
      <c r="AJ98" s="516"/>
      <c r="AK98" s="516"/>
      <c r="AL98" s="516"/>
      <c r="AM98" s="516"/>
      <c r="AN98" s="516"/>
      <c r="AO98" s="516"/>
      <c r="AP98" s="516"/>
      <c r="AQ98" s="516"/>
      <c r="AR98" s="516"/>
      <c r="AS98" s="516"/>
      <c r="AT98" s="516"/>
      <c r="AU98" s="516"/>
      <c r="AV98" s="516"/>
      <c r="AW98" s="516"/>
      <c r="AX98" s="516"/>
      <c r="AY98" s="516"/>
      <c r="AZ98" s="516"/>
      <c r="BA98" s="516"/>
      <c r="BB98" s="516"/>
      <c r="BC98" s="516"/>
      <c r="BD98" s="516"/>
      <c r="BE98" s="516"/>
      <c r="BF98" s="516"/>
      <c r="BG98" s="516"/>
      <c r="BH98" s="516"/>
      <c r="BI98" s="516"/>
      <c r="BJ98" s="516"/>
      <c r="BK98" s="516"/>
      <c r="BL98" s="516"/>
      <c r="BM98" s="516"/>
      <c r="BN98" s="516"/>
      <c r="BO98" s="516"/>
      <c r="BP98" s="516"/>
      <c r="BQ98" s="516"/>
      <c r="BR98" s="516"/>
      <c r="BS98" s="516"/>
      <c r="BT98" s="516"/>
      <c r="BU98" s="516"/>
      <c r="BV98" s="516"/>
      <c r="BW98" s="516"/>
      <c r="BX98" s="520"/>
      <c r="BY98" s="515">
        <f>SUM(P98:BL98)</f>
        <v>0</v>
      </c>
      <c r="BZ98" s="113">
        <f t="shared" si="218"/>
        <v>0</v>
      </c>
      <c r="CA98" s="71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</row>
    <row r="99" spans="1:147" s="57" customFormat="1" ht="15" hidden="1" customHeight="1">
      <c r="A99" s="1627"/>
      <c r="B99" s="1492"/>
      <c r="C99" s="1493"/>
      <c r="D99" s="1510">
        <f>사업수지표!G86</f>
        <v>0</v>
      </c>
      <c r="E99" s="1511"/>
      <c r="F99" s="1511"/>
      <c r="G99" s="1511"/>
      <c r="H99" s="1511"/>
      <c r="I99" s="1511"/>
      <c r="J99" s="1511"/>
      <c r="K99" s="1508"/>
      <c r="L99" s="1508"/>
      <c r="M99" s="1509"/>
      <c r="N99" s="79">
        <f>사업수지표!AL86</f>
        <v>0</v>
      </c>
      <c r="O99" s="561"/>
      <c r="P99" s="516"/>
      <c r="Q99" s="516"/>
      <c r="R99" s="516"/>
      <c r="S99" s="516"/>
      <c r="T99" s="516"/>
      <c r="U99" s="516"/>
      <c r="V99" s="516"/>
      <c r="W99" s="516"/>
      <c r="X99" s="516"/>
      <c r="Y99" s="516">
        <f>N99</f>
        <v>0</v>
      </c>
      <c r="Z99" s="516"/>
      <c r="AA99" s="516"/>
      <c r="AB99" s="516"/>
      <c r="AC99" s="516"/>
      <c r="AD99" s="516"/>
      <c r="AE99" s="516"/>
      <c r="AF99" s="516"/>
      <c r="AG99" s="516"/>
      <c r="AH99" s="516"/>
      <c r="AI99" s="516"/>
      <c r="AJ99" s="516"/>
      <c r="AK99" s="516"/>
      <c r="AL99" s="516"/>
      <c r="AM99" s="516"/>
      <c r="AN99" s="516"/>
      <c r="AO99" s="516"/>
      <c r="AP99" s="516"/>
      <c r="AQ99" s="516"/>
      <c r="AR99" s="516"/>
      <c r="AS99" s="516"/>
      <c r="AT99" s="516"/>
      <c r="AU99" s="516"/>
      <c r="AV99" s="516"/>
      <c r="AW99" s="516"/>
      <c r="AX99" s="516"/>
      <c r="AY99" s="516"/>
      <c r="AZ99" s="516"/>
      <c r="BA99" s="516"/>
      <c r="BB99" s="516"/>
      <c r="BC99" s="516"/>
      <c r="BD99" s="516"/>
      <c r="BE99" s="516"/>
      <c r="BF99" s="516"/>
      <c r="BG99" s="516"/>
      <c r="BH99" s="516"/>
      <c r="BI99" s="516"/>
      <c r="BJ99" s="516"/>
      <c r="BK99" s="516"/>
      <c r="BL99" s="516"/>
      <c r="BM99" s="516"/>
      <c r="BN99" s="516"/>
      <c r="BO99" s="516"/>
      <c r="BP99" s="516"/>
      <c r="BQ99" s="516"/>
      <c r="BR99" s="516"/>
      <c r="BS99" s="516"/>
      <c r="BT99" s="516"/>
      <c r="BU99" s="516"/>
      <c r="BV99" s="516"/>
      <c r="BW99" s="516"/>
      <c r="BX99" s="520"/>
      <c r="BY99" s="515">
        <f>SUM(P99:BL99)</f>
        <v>0</v>
      </c>
      <c r="BZ99" s="113">
        <f t="shared" si="218"/>
        <v>0</v>
      </c>
      <c r="CA99" s="71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</row>
    <row r="100" spans="1:147" s="746" customFormat="1" ht="15" customHeight="1">
      <c r="A100" s="1627"/>
      <c r="B100" s="1492"/>
      <c r="C100" s="1493"/>
      <c r="D100" s="1491" t="s">
        <v>141</v>
      </c>
      <c r="E100" s="1559"/>
      <c r="F100" s="1559"/>
      <c r="G100" s="1559"/>
      <c r="H100" s="1559"/>
      <c r="I100" s="1559"/>
      <c r="J100" s="1559"/>
      <c r="K100" s="1559"/>
      <c r="L100" s="1559"/>
      <c r="M100" s="1559"/>
      <c r="N100" s="753">
        <f t="shared" ref="N100:BY100" si="221">SUM(N88:N99)</f>
        <v>117750850.98798443</v>
      </c>
      <c r="O100" s="748">
        <f t="shared" si="221"/>
        <v>0</v>
      </c>
      <c r="P100" s="748">
        <f t="shared" si="221"/>
        <v>5445000</v>
      </c>
      <c r="Q100" s="748">
        <f t="shared" si="221"/>
        <v>0</v>
      </c>
      <c r="R100" s="748">
        <f t="shared" si="221"/>
        <v>0</v>
      </c>
      <c r="S100" s="748">
        <f t="shared" si="221"/>
        <v>0</v>
      </c>
      <c r="T100" s="748">
        <f t="shared" si="221"/>
        <v>0</v>
      </c>
      <c r="U100" s="748">
        <f t="shared" si="221"/>
        <v>0</v>
      </c>
      <c r="V100" s="748">
        <f t="shared" si="221"/>
        <v>0</v>
      </c>
      <c r="W100" s="748">
        <f t="shared" si="221"/>
        <v>0</v>
      </c>
      <c r="X100" s="748">
        <f t="shared" si="221"/>
        <v>0</v>
      </c>
      <c r="Y100" s="748">
        <f t="shared" si="221"/>
        <v>1354.9119927460827</v>
      </c>
      <c r="Z100" s="748">
        <f t="shared" si="221"/>
        <v>7119.8448646502075</v>
      </c>
      <c r="AA100" s="748">
        <f t="shared" si="221"/>
        <v>19962.206043487662</v>
      </c>
      <c r="AB100" s="748">
        <f t="shared" si="221"/>
        <v>0</v>
      </c>
      <c r="AC100" s="748">
        <f t="shared" si="221"/>
        <v>0</v>
      </c>
      <c r="AD100" s="748">
        <f t="shared" si="221"/>
        <v>0</v>
      </c>
      <c r="AE100" s="748">
        <f t="shared" si="221"/>
        <v>0</v>
      </c>
      <c r="AF100" s="748">
        <f t="shared" si="221"/>
        <v>0</v>
      </c>
      <c r="AG100" s="748">
        <f t="shared" si="221"/>
        <v>0</v>
      </c>
      <c r="AH100" s="748">
        <f t="shared" si="221"/>
        <v>0</v>
      </c>
      <c r="AI100" s="748">
        <f t="shared" si="221"/>
        <v>0</v>
      </c>
      <c r="AJ100" s="748">
        <f t="shared" si="221"/>
        <v>0</v>
      </c>
      <c r="AK100" s="748">
        <f t="shared" si="221"/>
        <v>0</v>
      </c>
      <c r="AL100" s="748">
        <f t="shared" si="221"/>
        <v>915147.98368537496</v>
      </c>
      <c r="AM100" s="748">
        <f t="shared" si="221"/>
        <v>60762.333747499993</v>
      </c>
      <c r="AN100" s="748">
        <f t="shared" si="221"/>
        <v>306849.78542487504</v>
      </c>
      <c r="AO100" s="748">
        <f t="shared" si="221"/>
        <v>331154.71892387507</v>
      </c>
      <c r="AP100" s="748">
        <f t="shared" si="221"/>
        <v>355459.65242287511</v>
      </c>
      <c r="AQ100" s="748">
        <f t="shared" si="221"/>
        <v>373688.35254712513</v>
      </c>
      <c r="AR100" s="748">
        <f t="shared" si="221"/>
        <v>391917.05267137516</v>
      </c>
      <c r="AS100" s="748">
        <f t="shared" si="221"/>
        <v>397993.28604612505</v>
      </c>
      <c r="AT100" s="748">
        <f t="shared" si="221"/>
        <v>689652.4880341253</v>
      </c>
      <c r="AU100" s="748">
        <f t="shared" si="221"/>
        <v>698766.8380962502</v>
      </c>
      <c r="AV100" s="748">
        <f t="shared" si="221"/>
        <v>707881.18815837521</v>
      </c>
      <c r="AW100" s="748">
        <f t="shared" si="221"/>
        <v>718188.75577925018</v>
      </c>
      <c r="AX100" s="748">
        <f t="shared" si="221"/>
        <v>727435.68557012535</v>
      </c>
      <c r="AY100" s="748">
        <f t="shared" si="221"/>
        <v>736682.61536100029</v>
      </c>
      <c r="AZ100" s="748">
        <f t="shared" si="221"/>
        <v>1037721.3268686255</v>
      </c>
      <c r="BA100" s="748">
        <f t="shared" si="221"/>
        <v>1037853.9065973755</v>
      </c>
      <c r="BB100" s="748">
        <f t="shared" si="221"/>
        <v>1039975.1822573756</v>
      </c>
      <c r="BC100" s="748">
        <f t="shared" si="221"/>
        <v>1040240.3417148757</v>
      </c>
      <c r="BD100" s="748">
        <f t="shared" si="221"/>
        <v>1040505.5011723757</v>
      </c>
      <c r="BE100" s="748">
        <f t="shared" si="221"/>
        <v>1040770.6606298758</v>
      </c>
      <c r="BF100" s="748">
        <f t="shared" si="221"/>
        <v>1343930.6477975009</v>
      </c>
      <c r="BG100" s="748">
        <f t="shared" si="221"/>
        <v>1344328.3869837511</v>
      </c>
      <c r="BH100" s="748">
        <f t="shared" si="221"/>
        <v>1344328.3869837511</v>
      </c>
      <c r="BI100" s="748">
        <f t="shared" si="221"/>
        <v>1344726.126170001</v>
      </c>
      <c r="BJ100" s="748">
        <f t="shared" si="221"/>
        <v>1666379.9729193763</v>
      </c>
      <c r="BK100" s="748">
        <f t="shared" si="221"/>
        <v>1666379.9729193763</v>
      </c>
      <c r="BL100" s="748">
        <f t="shared" si="221"/>
        <v>0</v>
      </c>
      <c r="BM100" s="748">
        <f t="shared" si="221"/>
        <v>0</v>
      </c>
      <c r="BN100" s="748">
        <f t="shared" ref="BN100" si="222">SUM(BN88:BN99)</f>
        <v>89918692.875601038</v>
      </c>
      <c r="BO100" s="748">
        <f t="shared" si="221"/>
        <v>0</v>
      </c>
      <c r="BP100" s="748">
        <f t="shared" si="221"/>
        <v>0</v>
      </c>
      <c r="BQ100" s="748">
        <f t="shared" si="221"/>
        <v>0</v>
      </c>
      <c r="BR100" s="748">
        <f t="shared" si="221"/>
        <v>0</v>
      </c>
      <c r="BS100" s="748">
        <f t="shared" si="221"/>
        <v>0</v>
      </c>
      <c r="BT100" s="748">
        <f t="shared" si="221"/>
        <v>0</v>
      </c>
      <c r="BU100" s="748">
        <f t="shared" si="221"/>
        <v>0</v>
      </c>
      <c r="BV100" s="748">
        <f t="shared" si="221"/>
        <v>0</v>
      </c>
      <c r="BW100" s="748">
        <f t="shared" si="221"/>
        <v>0</v>
      </c>
      <c r="BX100" s="748">
        <f t="shared" si="221"/>
        <v>0</v>
      </c>
      <c r="BY100" s="750">
        <f t="shared" si="221"/>
        <v>117750850.98798443</v>
      </c>
      <c r="BZ100" s="743">
        <f t="shared" si="218"/>
        <v>0</v>
      </c>
      <c r="CA100" s="752">
        <f>SUM(O100:BX100)-BY100</f>
        <v>0</v>
      </c>
      <c r="CB100" s="745"/>
      <c r="CC100" s="745"/>
      <c r="CD100" s="745"/>
      <c r="CE100" s="745"/>
      <c r="CF100" s="745"/>
      <c r="CG100" s="745"/>
      <c r="CH100" s="745"/>
      <c r="CI100" s="745"/>
      <c r="CJ100" s="745"/>
      <c r="CK100" s="745"/>
      <c r="CL100" s="745"/>
      <c r="CM100" s="745"/>
      <c r="CN100" s="745"/>
      <c r="CO100" s="745"/>
      <c r="CP100" s="745"/>
      <c r="CQ100" s="745"/>
      <c r="CR100" s="745"/>
      <c r="CS100" s="745"/>
      <c r="CT100" s="745"/>
      <c r="CU100" s="745"/>
      <c r="CV100" s="745"/>
      <c r="CW100" s="745"/>
      <c r="CX100" s="745"/>
      <c r="CY100" s="745"/>
      <c r="CZ100" s="745"/>
      <c r="DA100" s="745"/>
      <c r="DB100" s="745"/>
      <c r="DC100" s="745"/>
      <c r="DD100" s="745"/>
      <c r="DE100" s="745"/>
      <c r="DF100" s="745"/>
      <c r="DG100" s="745"/>
      <c r="DH100" s="745"/>
      <c r="DI100" s="745"/>
      <c r="DJ100" s="745"/>
      <c r="DK100" s="745"/>
      <c r="DL100" s="745"/>
      <c r="DM100" s="745"/>
      <c r="DN100" s="745"/>
      <c r="DO100" s="745"/>
      <c r="DP100" s="745"/>
      <c r="DQ100" s="745"/>
      <c r="DR100" s="745"/>
      <c r="DS100" s="745"/>
      <c r="DT100" s="745"/>
      <c r="DU100" s="745"/>
      <c r="DV100" s="745"/>
      <c r="DW100" s="745"/>
      <c r="DX100" s="745"/>
      <c r="DY100" s="745"/>
      <c r="DZ100" s="745"/>
      <c r="EA100" s="745"/>
      <c r="EB100" s="745"/>
      <c r="EC100" s="745"/>
      <c r="ED100" s="745"/>
      <c r="EE100" s="745"/>
      <c r="EF100" s="745"/>
      <c r="EG100" s="745"/>
      <c r="EH100" s="745"/>
      <c r="EI100" s="745"/>
      <c r="EJ100" s="745"/>
      <c r="EK100" s="745"/>
      <c r="EL100" s="745"/>
      <c r="EM100" s="745"/>
      <c r="EN100" s="745"/>
      <c r="EO100" s="745"/>
      <c r="EP100" s="745"/>
      <c r="EQ100" s="745"/>
    </row>
    <row r="101" spans="1:147" s="57" customFormat="1" ht="15" customHeight="1">
      <c r="A101" s="1628"/>
      <c r="B101" s="1632" t="s">
        <v>217</v>
      </c>
      <c r="C101" s="1633"/>
      <c r="D101" s="1629" t="s">
        <v>218</v>
      </c>
      <c r="E101" s="1630"/>
      <c r="F101" s="1630"/>
      <c r="G101" s="1630"/>
      <c r="H101" s="1630"/>
      <c r="I101" s="1630"/>
      <c r="J101" s="1630"/>
      <c r="K101" s="1630"/>
      <c r="L101" s="1630"/>
      <c r="M101" s="1631"/>
      <c r="N101" s="346">
        <f>사업수지표!AL88</f>
        <v>-7581169.694590617</v>
      </c>
      <c r="O101" s="565"/>
      <c r="P101" s="566"/>
      <c r="Q101" s="566"/>
      <c r="R101" s="566"/>
      <c r="S101" s="566"/>
      <c r="T101" s="566"/>
      <c r="U101" s="566"/>
      <c r="V101" s="566"/>
      <c r="W101" s="566"/>
      <c r="X101" s="566"/>
      <c r="Y101" s="566"/>
      <c r="Z101" s="566"/>
      <c r="AA101" s="566"/>
      <c r="AB101" s="566"/>
      <c r="AC101" s="566"/>
      <c r="AD101" s="566"/>
      <c r="AE101" s="566"/>
      <c r="AF101" s="566"/>
      <c r="AG101" s="566"/>
      <c r="AH101" s="566"/>
      <c r="AI101" s="566">
        <f>$N$101/7</f>
        <v>-1083024.242084374</v>
      </c>
      <c r="AJ101" s="566"/>
      <c r="AK101" s="566"/>
      <c r="AL101" s="566"/>
      <c r="AM101" s="566"/>
      <c r="AN101" s="566">
        <f>$N$101/7</f>
        <v>-1083024.242084374</v>
      </c>
      <c r="AO101" s="566"/>
      <c r="AP101" s="566"/>
      <c r="AQ101" s="566"/>
      <c r="AR101" s="566"/>
      <c r="AS101" s="566">
        <f>$N$101/7</f>
        <v>-1083024.242084374</v>
      </c>
      <c r="AT101" s="566"/>
      <c r="AU101" s="566"/>
      <c r="AV101" s="566"/>
      <c r="AW101" s="566"/>
      <c r="AX101" s="566"/>
      <c r="AY101" s="566">
        <f>$N$101/7</f>
        <v>-1083024.242084374</v>
      </c>
      <c r="AZ101" s="566"/>
      <c r="BA101" s="566"/>
      <c r="BB101" s="566"/>
      <c r="BC101" s="566"/>
      <c r="BD101" s="566">
        <f>$N$101/7</f>
        <v>-1083024.242084374</v>
      </c>
      <c r="BE101" s="566"/>
      <c r="BF101" s="566"/>
      <c r="BG101" s="566"/>
      <c r="BH101" s="566"/>
      <c r="BI101" s="566"/>
      <c r="BJ101" s="566">
        <f>$N$101/7</f>
        <v>-1083024.242084374</v>
      </c>
      <c r="BK101" s="566"/>
      <c r="BL101" s="566"/>
      <c r="BM101" s="566"/>
      <c r="BN101" s="566">
        <f>$N$101/7</f>
        <v>-1083024.242084374</v>
      </c>
      <c r="BO101" s="566"/>
      <c r="BP101" s="521"/>
      <c r="BQ101" s="521"/>
      <c r="BR101" s="521"/>
      <c r="BS101" s="521"/>
      <c r="BT101" s="521"/>
      <c r="BU101" s="521"/>
      <c r="BV101" s="521"/>
      <c r="BW101" s="521"/>
      <c r="BX101" s="522"/>
      <c r="BY101" s="514">
        <f>SUM(O101:BX101)</f>
        <v>-7581169.694590617</v>
      </c>
      <c r="BZ101" s="113">
        <f t="shared" si="218"/>
        <v>0</v>
      </c>
      <c r="CA101" s="71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</row>
    <row r="102" spans="1:147" s="57" customFormat="1" ht="15" customHeight="1" thickBot="1">
      <c r="A102" s="1628"/>
      <c r="B102" s="1519" t="s">
        <v>12</v>
      </c>
      <c r="C102" s="1520"/>
      <c r="D102" s="1520"/>
      <c r="E102" s="1520"/>
      <c r="F102" s="1520"/>
      <c r="G102" s="1520"/>
      <c r="H102" s="1520"/>
      <c r="I102" s="1520"/>
      <c r="J102" s="1520"/>
      <c r="K102" s="1520"/>
      <c r="L102" s="1520"/>
      <c r="M102" s="1520"/>
      <c r="N102" s="434">
        <f t="shared" ref="N102:BY102" si="223">N52+N58+N64+N73+N80+N87+N100+N101</f>
        <v>818183708.56233716</v>
      </c>
      <c r="O102" s="567">
        <f t="shared" si="223"/>
        <v>6585203</v>
      </c>
      <c r="P102" s="567">
        <f t="shared" si="223"/>
        <v>148069288.39525002</v>
      </c>
      <c r="Q102" s="567">
        <f t="shared" si="223"/>
        <v>0</v>
      </c>
      <c r="R102" s="567">
        <f t="shared" si="223"/>
        <v>0</v>
      </c>
      <c r="S102" s="567">
        <f t="shared" si="223"/>
        <v>0</v>
      </c>
      <c r="T102" s="567">
        <f t="shared" si="223"/>
        <v>0</v>
      </c>
      <c r="U102" s="567">
        <f t="shared" si="223"/>
        <v>0</v>
      </c>
      <c r="V102" s="567">
        <f t="shared" si="223"/>
        <v>0</v>
      </c>
      <c r="W102" s="567">
        <f t="shared" si="223"/>
        <v>0</v>
      </c>
      <c r="X102" s="567">
        <f t="shared" si="223"/>
        <v>1139964.4221625</v>
      </c>
      <c r="Y102" s="567">
        <f>Y52+Y58+Y64+Y73+Y80+Y87+Y100+Y101</f>
        <v>890337.12307399604</v>
      </c>
      <c r="Z102" s="567">
        <f>Z52+Z58+Z64+Z73+Z80+Z87+Z100+Z101</f>
        <v>1983376.2438359004</v>
      </c>
      <c r="AA102" s="567">
        <f>AA52+AA58+AA64+AA73+AA80+AA87+AA100+AA101</f>
        <v>14070301.533396112</v>
      </c>
      <c r="AB102" s="567">
        <f t="shared" ref="AB102:AH102" si="224">AB52+AB58+AB64+AB73+AB80+AB87+AB100+AB101</f>
        <v>4553554.4560317919</v>
      </c>
      <c r="AC102" s="567">
        <f t="shared" si="224"/>
        <v>4713774.1343717473</v>
      </c>
      <c r="AD102" s="567">
        <f t="shared" si="224"/>
        <v>4713774.1343717473</v>
      </c>
      <c r="AE102" s="567">
        <f t="shared" si="224"/>
        <v>5506493.8127117045</v>
      </c>
      <c r="AF102" s="567">
        <f t="shared" si="224"/>
        <v>5506493.8127117045</v>
      </c>
      <c r="AG102" s="567">
        <f t="shared" si="224"/>
        <v>8688293.0085615963</v>
      </c>
      <c r="AH102" s="567">
        <f t="shared" si="224"/>
        <v>18595399.380461596</v>
      </c>
      <c r="AI102" s="567">
        <f t="shared" si="223"/>
        <v>8775192.6342991553</v>
      </c>
      <c r="AJ102" s="567">
        <f t="shared" si="223"/>
        <v>9317677.5870715305</v>
      </c>
      <c r="AK102" s="567">
        <f t="shared" si="223"/>
        <v>10567722.135081464</v>
      </c>
      <c r="AL102" s="567">
        <f t="shared" si="223"/>
        <v>16184840.97915384</v>
      </c>
      <c r="AM102" s="567">
        <f t="shared" si="223"/>
        <v>13639370.015668923</v>
      </c>
      <c r="AN102" s="567">
        <f t="shared" si="223"/>
        <v>10297697.265261922</v>
      </c>
      <c r="AO102" s="567">
        <f t="shared" si="223"/>
        <v>13067565.46949725</v>
      </c>
      <c r="AP102" s="567">
        <f t="shared" si="223"/>
        <v>14606576.052684251</v>
      </c>
      <c r="AQ102" s="567">
        <f t="shared" si="223"/>
        <v>17649127.0527835</v>
      </c>
      <c r="AR102" s="567">
        <f t="shared" si="223"/>
        <v>12847791.48784475</v>
      </c>
      <c r="AS102" s="567">
        <f t="shared" si="223"/>
        <v>12101024.128823126</v>
      </c>
      <c r="AT102" s="567">
        <f t="shared" si="223"/>
        <v>12275707.572895501</v>
      </c>
      <c r="AU102" s="567">
        <f t="shared" si="223"/>
        <v>13947360.951609584</v>
      </c>
      <c r="AV102" s="567">
        <f t="shared" si="223"/>
        <v>20277373.512934707</v>
      </c>
      <c r="AW102" s="567">
        <f t="shared" si="223"/>
        <v>13213858.610480582</v>
      </c>
      <c r="AX102" s="567">
        <f t="shared" si="223"/>
        <v>13910029.799083458</v>
      </c>
      <c r="AY102" s="567">
        <f t="shared" si="223"/>
        <v>14639966.499417918</v>
      </c>
      <c r="AZ102" s="567">
        <f t="shared" si="223"/>
        <v>15447951.728409918</v>
      </c>
      <c r="BA102" s="567">
        <f t="shared" si="223"/>
        <v>21790758.978365622</v>
      </c>
      <c r="BB102" s="567">
        <f t="shared" si="223"/>
        <v>14834514.302138621</v>
      </c>
      <c r="BC102" s="567">
        <f t="shared" si="223"/>
        <v>15627499.139936082</v>
      </c>
      <c r="BD102" s="567">
        <f t="shared" si="223"/>
        <v>15414559.407621207</v>
      </c>
      <c r="BE102" s="567">
        <f t="shared" si="223"/>
        <v>21500417.375826083</v>
      </c>
      <c r="BF102" s="567">
        <f t="shared" si="223"/>
        <v>15931189.446018707</v>
      </c>
      <c r="BG102" s="567">
        <f t="shared" si="223"/>
        <v>16053612.968963955</v>
      </c>
      <c r="BH102" s="567">
        <f t="shared" si="223"/>
        <v>15742185.877960656</v>
      </c>
      <c r="BI102" s="567">
        <f t="shared" si="223"/>
        <v>22532703.25452625</v>
      </c>
      <c r="BJ102" s="567">
        <f t="shared" si="223"/>
        <v>17375286.932665206</v>
      </c>
      <c r="BK102" s="567">
        <f t="shared" si="223"/>
        <v>17433805.440366756</v>
      </c>
      <c r="BL102" s="567">
        <f t="shared" si="223"/>
        <v>19152151.312002003</v>
      </c>
      <c r="BM102" s="567">
        <f t="shared" si="223"/>
        <v>1398299.1878900002</v>
      </c>
      <c r="BN102" s="567">
        <f t="shared" ref="BN102" si="225">BN52+BN58+BN64+BN73+BN80+BN87+BN100+BN101</f>
        <v>135613638.52076423</v>
      </c>
      <c r="BO102" s="567">
        <f t="shared" si="223"/>
        <v>0</v>
      </c>
      <c r="BP102" s="523">
        <f t="shared" si="223"/>
        <v>0</v>
      </c>
      <c r="BQ102" s="523">
        <f t="shared" si="223"/>
        <v>0</v>
      </c>
      <c r="BR102" s="523">
        <f t="shared" si="223"/>
        <v>0</v>
      </c>
      <c r="BS102" s="523">
        <f t="shared" si="223"/>
        <v>0</v>
      </c>
      <c r="BT102" s="523">
        <f t="shared" si="223"/>
        <v>0</v>
      </c>
      <c r="BU102" s="523">
        <f t="shared" si="223"/>
        <v>0</v>
      </c>
      <c r="BV102" s="523">
        <f t="shared" si="223"/>
        <v>0</v>
      </c>
      <c r="BW102" s="523">
        <f t="shared" si="223"/>
        <v>0</v>
      </c>
      <c r="BX102" s="523">
        <f t="shared" si="223"/>
        <v>0</v>
      </c>
      <c r="BY102" s="517">
        <f t="shared" si="223"/>
        <v>818183709.08498752</v>
      </c>
      <c r="BZ102" s="113">
        <f t="shared" si="218"/>
        <v>0.52265036106109619</v>
      </c>
      <c r="CA102" s="524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</row>
    <row r="103" spans="1:147" s="57" customFormat="1" ht="15" customHeight="1" thickBot="1">
      <c r="A103" s="1623" t="s">
        <v>44</v>
      </c>
      <c r="B103" s="1624"/>
      <c r="C103" s="1624"/>
      <c r="D103" s="1624"/>
      <c r="E103" s="1624"/>
      <c r="F103" s="1624"/>
      <c r="G103" s="1624"/>
      <c r="H103" s="1624"/>
      <c r="I103" s="1624"/>
      <c r="J103" s="1624"/>
      <c r="K103" s="1624"/>
      <c r="L103" s="1624"/>
      <c r="M103" s="1624"/>
      <c r="N103" s="140">
        <f t="shared" ref="N103:BX103" si="226">N43-N102</f>
        <v>98895615.187662721</v>
      </c>
      <c r="O103" s="141">
        <f t="shared" si="226"/>
        <v>-6585203</v>
      </c>
      <c r="P103" s="141">
        <f t="shared" si="226"/>
        <v>-148069288.39525002</v>
      </c>
      <c r="Q103" s="141">
        <f t="shared" si="226"/>
        <v>0</v>
      </c>
      <c r="R103" s="141">
        <f t="shared" si="226"/>
        <v>0</v>
      </c>
      <c r="S103" s="141">
        <f t="shared" si="226"/>
        <v>0</v>
      </c>
      <c r="T103" s="141">
        <f t="shared" si="226"/>
        <v>0</v>
      </c>
      <c r="U103" s="141">
        <f t="shared" si="226"/>
        <v>0</v>
      </c>
      <c r="V103" s="141">
        <f t="shared" si="226"/>
        <v>0</v>
      </c>
      <c r="W103" s="141">
        <f t="shared" si="226"/>
        <v>0</v>
      </c>
      <c r="X103" s="141">
        <f t="shared" si="226"/>
        <v>-1139964.4221625</v>
      </c>
      <c r="Y103" s="141">
        <f t="shared" si="226"/>
        <v>-890337.12307399604</v>
      </c>
      <c r="Z103" s="141">
        <f t="shared" si="226"/>
        <v>-1983376.2438359004</v>
      </c>
      <c r="AA103" s="141">
        <f t="shared" ref="AA103:AH103" si="227">AA43-AA102</f>
        <v>4119765.2516038883</v>
      </c>
      <c r="AB103" s="141">
        <f t="shared" si="227"/>
        <v>4541478.9364682082</v>
      </c>
      <c r="AC103" s="141">
        <f t="shared" si="227"/>
        <v>-166257.43812174723</v>
      </c>
      <c r="AD103" s="141">
        <f t="shared" si="227"/>
        <v>-166257.43812174723</v>
      </c>
      <c r="AE103" s="141">
        <f t="shared" si="227"/>
        <v>3588539.5797882956</v>
      </c>
      <c r="AF103" s="141">
        <f t="shared" si="227"/>
        <v>-2777983.7949617049</v>
      </c>
      <c r="AG103" s="141">
        <f t="shared" si="227"/>
        <v>40872547.328688405</v>
      </c>
      <c r="AH103" s="141">
        <f t="shared" si="227"/>
        <v>-11485252.666461596</v>
      </c>
      <c r="AI103" s="141">
        <f t="shared" si="226"/>
        <v>-3442582.598799156</v>
      </c>
      <c r="AJ103" s="141">
        <f t="shared" si="226"/>
        <v>-429994.19457153045</v>
      </c>
      <c r="AK103" s="141">
        <f t="shared" si="226"/>
        <v>-1680038.7425814644</v>
      </c>
      <c r="AL103" s="141">
        <f t="shared" si="226"/>
        <v>-10852230.943653841</v>
      </c>
      <c r="AM103" s="141">
        <f t="shared" si="226"/>
        <v>59399840.481331103</v>
      </c>
      <c r="AN103" s="141">
        <f t="shared" si="226"/>
        <v>284582.80573807657</v>
      </c>
      <c r="AO103" s="141">
        <f t="shared" si="226"/>
        <v>-2485285.3984972518</v>
      </c>
      <c r="AP103" s="141">
        <f t="shared" si="226"/>
        <v>-6669865.9994342523</v>
      </c>
      <c r="AQ103" s="141">
        <f t="shared" si="226"/>
        <v>-9560897.309533501</v>
      </c>
      <c r="AR103" s="141">
        <f t="shared" si="226"/>
        <v>-10164341.54759475</v>
      </c>
      <c r="AS103" s="141">
        <f t="shared" si="226"/>
        <v>72177559.7009269</v>
      </c>
      <c r="AT103" s="141">
        <f t="shared" si="226"/>
        <v>-8724224.2933955006</v>
      </c>
      <c r="AU103" s="141">
        <f t="shared" si="226"/>
        <v>-10395877.672109583</v>
      </c>
      <c r="AV103" s="141">
        <f t="shared" si="226"/>
        <v>-16384970.930934707</v>
      </c>
      <c r="AW103" s="141">
        <f t="shared" si="226"/>
        <v>-9624495.4084805828</v>
      </c>
      <c r="AX103" s="141">
        <f t="shared" si="226"/>
        <v>-10320666.597083459</v>
      </c>
      <c r="AY103" s="141">
        <f t="shared" si="226"/>
        <v>71446853.77633211</v>
      </c>
      <c r="AZ103" s="141">
        <f t="shared" si="226"/>
        <v>-15372191.883409917</v>
      </c>
      <c r="BA103" s="141">
        <f t="shared" si="226"/>
        <v>-21146800.295865621</v>
      </c>
      <c r="BB103" s="141">
        <f t="shared" si="226"/>
        <v>-14720874.534638621</v>
      </c>
      <c r="BC103" s="141">
        <f t="shared" si="226"/>
        <v>-15513859.372436082</v>
      </c>
      <c r="BD103" s="141">
        <f t="shared" si="226"/>
        <v>-15300919.640121207</v>
      </c>
      <c r="BE103" s="141">
        <f t="shared" si="226"/>
        <v>65116721.81492395</v>
      </c>
      <c r="BF103" s="141">
        <f t="shared" si="226"/>
        <v>-15779669.756018708</v>
      </c>
      <c r="BG103" s="141">
        <f t="shared" si="226"/>
        <v>-16053612.968963955</v>
      </c>
      <c r="BH103" s="141">
        <f t="shared" si="226"/>
        <v>-15590666.187960656</v>
      </c>
      <c r="BI103" s="141">
        <f t="shared" si="226"/>
        <v>70277899.155973792</v>
      </c>
      <c r="BJ103" s="141">
        <f t="shared" si="226"/>
        <v>-17375286.932665206</v>
      </c>
      <c r="BK103" s="141">
        <f t="shared" si="226"/>
        <v>-17433805.440366756</v>
      </c>
      <c r="BL103" s="141">
        <f t="shared" si="226"/>
        <v>131608345.70049798</v>
      </c>
      <c r="BM103" s="141">
        <f t="shared" si="226"/>
        <v>149362197.82460999</v>
      </c>
      <c r="BN103" s="141">
        <f t="shared" ref="BN103" si="228">BN43-BN102</f>
        <v>-135613638.52076423</v>
      </c>
      <c r="BO103" s="141">
        <f t="shared" si="226"/>
        <v>0</v>
      </c>
      <c r="BP103" s="141">
        <f t="shared" si="226"/>
        <v>0</v>
      </c>
      <c r="BQ103" s="141">
        <f t="shared" si="226"/>
        <v>0</v>
      </c>
      <c r="BR103" s="141">
        <f t="shared" si="226"/>
        <v>0</v>
      </c>
      <c r="BS103" s="141">
        <f t="shared" si="226"/>
        <v>0</v>
      </c>
      <c r="BT103" s="141">
        <f t="shared" si="226"/>
        <v>0</v>
      </c>
      <c r="BU103" s="141">
        <f t="shared" si="226"/>
        <v>0</v>
      </c>
      <c r="BV103" s="141">
        <f t="shared" si="226"/>
        <v>0</v>
      </c>
      <c r="BW103" s="141">
        <f t="shared" si="226"/>
        <v>0</v>
      </c>
      <c r="BX103" s="141">
        <f t="shared" si="226"/>
        <v>0</v>
      </c>
      <c r="BY103" s="142">
        <f>SUM(O103:BQ103)</f>
        <v>98895614.665013015</v>
      </c>
      <c r="BZ103" s="113">
        <f t="shared" si="218"/>
        <v>-0.52264970541000366</v>
      </c>
      <c r="CA103" s="524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</row>
    <row r="104" spans="1:147" s="65" customFormat="1" ht="15" customHeight="1" thickBo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113"/>
      <c r="CA104" s="75"/>
    </row>
    <row r="105" spans="1:147" s="53" customFormat="1" ht="15" customHeight="1">
      <c r="A105" s="1572" t="s">
        <v>58</v>
      </c>
      <c r="B105" s="1618" t="s">
        <v>174</v>
      </c>
      <c r="C105" s="1618"/>
      <c r="D105" s="1618"/>
      <c r="E105" s="1618"/>
      <c r="F105" s="1618"/>
      <c r="G105" s="1618"/>
      <c r="H105" s="1618"/>
      <c r="I105" s="1618"/>
      <c r="J105" s="1618"/>
      <c r="K105" s="1618"/>
      <c r="L105" s="1618"/>
      <c r="M105" s="1618"/>
      <c r="N105" s="80">
        <f>SUM(O105:BP105)</f>
        <v>6585203</v>
      </c>
      <c r="O105" s="150">
        <f>O102</f>
        <v>6585203</v>
      </c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498"/>
      <c r="BR105" s="498"/>
      <c r="BS105" s="498"/>
      <c r="BT105" s="498"/>
      <c r="BU105" s="498"/>
      <c r="BV105" s="498"/>
      <c r="BW105" s="498"/>
      <c r="BX105" s="498"/>
      <c r="BY105" s="81">
        <f>SUM(P105:BP105)</f>
        <v>0</v>
      </c>
      <c r="BZ105" s="113"/>
      <c r="CA105" s="71"/>
    </row>
    <row r="106" spans="1:147" s="53" customFormat="1" ht="15" customHeight="1">
      <c r="A106" s="1573"/>
      <c r="B106" s="1619" t="s">
        <v>175</v>
      </c>
      <c r="C106" s="1619"/>
      <c r="D106" s="1619"/>
      <c r="E106" s="1619"/>
      <c r="F106" s="1619"/>
      <c r="G106" s="1619"/>
      <c r="H106" s="1619"/>
      <c r="I106" s="1619"/>
      <c r="J106" s="1619"/>
      <c r="K106" s="1619"/>
      <c r="L106" s="1619"/>
      <c r="M106" s="1619"/>
      <c r="N106" s="82"/>
      <c r="O106" s="562"/>
      <c r="P106" s="151"/>
      <c r="Q106" s="581"/>
      <c r="R106" s="581"/>
      <c r="S106" s="581"/>
      <c r="T106" s="581"/>
      <c r="U106" s="581"/>
      <c r="V106" s="581"/>
      <c r="W106" s="581"/>
      <c r="X106" s="303"/>
      <c r="Y106" s="303"/>
      <c r="Z106" s="581"/>
      <c r="AA106" s="581"/>
      <c r="AB106" s="581"/>
      <c r="AC106" s="581"/>
      <c r="AD106" s="581"/>
      <c r="AE106" s="581"/>
      <c r="AF106" s="581"/>
      <c r="AG106" s="581"/>
      <c r="AH106" s="303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  <c r="BN106" s="151">
        <f>N105</f>
        <v>6585203</v>
      </c>
      <c r="BO106" s="499"/>
      <c r="BP106" s="151"/>
      <c r="BQ106" s="499"/>
      <c r="BR106" s="499"/>
      <c r="BS106" s="499"/>
      <c r="BT106" s="499"/>
      <c r="BU106" s="499"/>
      <c r="BV106" s="499"/>
      <c r="BW106" s="499"/>
      <c r="BX106" s="499"/>
      <c r="BY106" s="83">
        <f>SUM(P106:BO106)</f>
        <v>6585203</v>
      </c>
      <c r="BZ106" s="113"/>
      <c r="CA106" s="71"/>
    </row>
    <row r="107" spans="1:147" s="53" customFormat="1" ht="15" customHeight="1" thickBot="1">
      <c r="A107" s="1574"/>
      <c r="B107" s="1620" t="s">
        <v>7</v>
      </c>
      <c r="C107" s="1620"/>
      <c r="D107" s="1620"/>
      <c r="E107" s="1620"/>
      <c r="F107" s="1620"/>
      <c r="G107" s="1620"/>
      <c r="H107" s="1620"/>
      <c r="I107" s="1620"/>
      <c r="J107" s="1620"/>
      <c r="K107" s="1620"/>
      <c r="L107" s="1620"/>
      <c r="M107" s="1620"/>
      <c r="N107" s="84"/>
      <c r="O107" s="84">
        <f>O105</f>
        <v>6585203</v>
      </c>
      <c r="P107" s="84">
        <f>P105</f>
        <v>0</v>
      </c>
      <c r="Q107" s="84"/>
      <c r="R107" s="84"/>
      <c r="S107" s="84"/>
      <c r="T107" s="84"/>
      <c r="U107" s="84"/>
      <c r="V107" s="84"/>
      <c r="W107" s="84"/>
      <c r="X107" s="84">
        <f>P107+X105-X106</f>
        <v>0</v>
      </c>
      <c r="Y107" s="84">
        <f t="shared" ref="Y107" si="229">X107+Y105-Y106</f>
        <v>0</v>
      </c>
      <c r="Z107" s="84"/>
      <c r="AA107" s="84"/>
      <c r="AB107" s="84"/>
      <c r="AC107" s="84"/>
      <c r="AD107" s="84"/>
      <c r="AE107" s="84"/>
      <c r="AF107" s="84"/>
      <c r="AG107" s="84"/>
      <c r="AH107" s="84">
        <f>Y107+AH105-AH106</f>
        <v>0</v>
      </c>
      <c r="AI107" s="84">
        <f t="shared" ref="AI107" si="230">AH107+AI105-AI106</f>
        <v>0</v>
      </c>
      <c r="AJ107" s="84">
        <f t="shared" ref="AJ107" si="231">AI107+AJ105-AJ106</f>
        <v>0</v>
      </c>
      <c r="AK107" s="84">
        <f t="shared" ref="AK107" si="232">AJ107+AK105-AK106</f>
        <v>0</v>
      </c>
      <c r="AL107" s="84">
        <f t="shared" ref="AL107" si="233">AK107+AL105-AL106</f>
        <v>0</v>
      </c>
      <c r="AM107" s="84">
        <f t="shared" ref="AM107" si="234">AL107+AM105-AM106</f>
        <v>0</v>
      </c>
      <c r="AN107" s="84">
        <f t="shared" ref="AN107" si="235">AM107+AN105-AN106</f>
        <v>0</v>
      </c>
      <c r="AO107" s="84">
        <f t="shared" ref="AO107" si="236">AN107+AO105-AO106</f>
        <v>0</v>
      </c>
      <c r="AP107" s="84">
        <f t="shared" ref="AP107" si="237">AO107+AP105-AP106</f>
        <v>0</v>
      </c>
      <c r="AQ107" s="84">
        <f t="shared" ref="AQ107" si="238">AP107+AQ105-AQ106</f>
        <v>0</v>
      </c>
      <c r="AR107" s="84">
        <f t="shared" ref="AR107" si="239">AQ107+AR105-AR106</f>
        <v>0</v>
      </c>
      <c r="AS107" s="84">
        <f t="shared" ref="AS107" si="240">AR107+AS105-AS106</f>
        <v>0</v>
      </c>
      <c r="AT107" s="84">
        <f t="shared" ref="AT107" si="241">AS107+AT105-AT106</f>
        <v>0</v>
      </c>
      <c r="AU107" s="84">
        <f t="shared" ref="AU107" si="242">AT107+AU105-AU106</f>
        <v>0</v>
      </c>
      <c r="AV107" s="84">
        <f t="shared" ref="AV107" si="243">AU107+AV105-AV106</f>
        <v>0</v>
      </c>
      <c r="AW107" s="84">
        <f t="shared" ref="AW107" si="244">AV107+AW105-AW106</f>
        <v>0</v>
      </c>
      <c r="AX107" s="84">
        <f t="shared" ref="AX107" si="245">AW107+AX105-AX106</f>
        <v>0</v>
      </c>
      <c r="AY107" s="84">
        <f t="shared" ref="AY107" si="246">AX107+AY105-AY106</f>
        <v>0</v>
      </c>
      <c r="AZ107" s="84">
        <f t="shared" ref="AZ107" si="247">AY107+AZ105-AZ106</f>
        <v>0</v>
      </c>
      <c r="BA107" s="84">
        <f t="shared" ref="BA107" si="248">AZ107+BA105-BA106</f>
        <v>0</v>
      </c>
      <c r="BB107" s="84">
        <f t="shared" ref="BB107" si="249">BA107+BB105-BB106</f>
        <v>0</v>
      </c>
      <c r="BC107" s="84">
        <f t="shared" ref="BC107" si="250">BB107+BC105-BC106</f>
        <v>0</v>
      </c>
      <c r="BD107" s="84">
        <f t="shared" ref="BD107" si="251">BC107+BD105-BD106</f>
        <v>0</v>
      </c>
      <c r="BE107" s="84">
        <f t="shared" ref="BE107" si="252">BD107+BE105-BE106</f>
        <v>0</v>
      </c>
      <c r="BF107" s="84">
        <f t="shared" ref="BF107" si="253">BE107+BF105-BF106</f>
        <v>0</v>
      </c>
      <c r="BG107" s="84">
        <f t="shared" ref="BG107" si="254">BF107+BG105-BG106</f>
        <v>0</v>
      </c>
      <c r="BH107" s="84">
        <f t="shared" ref="BH107" si="255">BG107+BH105-BH106</f>
        <v>0</v>
      </c>
      <c r="BI107" s="84">
        <f t="shared" ref="BI107" si="256">BH107+BI105-BI106</f>
        <v>0</v>
      </c>
      <c r="BJ107" s="84">
        <f t="shared" ref="BJ107" si="257">BI107+BJ105-BJ106</f>
        <v>0</v>
      </c>
      <c r="BK107" s="84">
        <f t="shared" ref="BK107" si="258">BJ107+BK105-BK106</f>
        <v>0</v>
      </c>
      <c r="BL107" s="84">
        <f t="shared" ref="BL107" si="259">BK107+BL105-BL106</f>
        <v>0</v>
      </c>
      <c r="BM107" s="84">
        <f>BL107+BM105-BM106</f>
        <v>0</v>
      </c>
      <c r="BN107" s="84">
        <f>BM107+BN105-BN106</f>
        <v>-6585203</v>
      </c>
      <c r="BO107" s="84"/>
      <c r="BP107" s="84"/>
      <c r="BQ107" s="84"/>
      <c r="BR107" s="84"/>
      <c r="BS107" s="84"/>
      <c r="BT107" s="84"/>
      <c r="BU107" s="84"/>
      <c r="BV107" s="84">
        <f t="shared" ref="BV107" si="260">BU107+BV105-BV106</f>
        <v>0</v>
      </c>
      <c r="BW107" s="84">
        <f t="shared" ref="BW107" si="261">BV107+BW105-BW106</f>
        <v>0</v>
      </c>
      <c r="BX107" s="84">
        <f t="shared" ref="BX107" si="262">BW107+BX105-BX106</f>
        <v>0</v>
      </c>
      <c r="BY107" s="84">
        <f>BY105-BY106</f>
        <v>-6585203</v>
      </c>
      <c r="BZ107" s="113"/>
      <c r="CA107" s="71"/>
    </row>
    <row r="108" spans="1:147" s="64" customFormat="1" ht="1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115"/>
      <c r="CA108" s="75"/>
    </row>
    <row r="109" spans="1:147" s="685" customFormat="1" ht="15" hidden="1" customHeight="1">
      <c r="A109" s="1465" t="s">
        <v>98</v>
      </c>
      <c r="B109" s="697" t="s">
        <v>242</v>
      </c>
      <c r="C109" s="698"/>
      <c r="D109" s="1465" t="s">
        <v>238</v>
      </c>
      <c r="E109" s="1465"/>
      <c r="F109" s="1465" t="s">
        <v>52</v>
      </c>
      <c r="G109" s="1465"/>
      <c r="H109" s="1465"/>
      <c r="I109" s="1465"/>
      <c r="J109" s="1465"/>
      <c r="K109" s="1465"/>
      <c r="L109" s="1465"/>
      <c r="M109" s="1465"/>
      <c r="N109" s="86">
        <f>ROUNDUP(SUM(P102),-6)</f>
        <v>149000000</v>
      </c>
      <c r="O109" s="86"/>
      <c r="P109" s="86">
        <f>N109</f>
        <v>149000000</v>
      </c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500"/>
      <c r="BV109" s="500"/>
      <c r="BW109" s="500"/>
      <c r="BX109" s="500"/>
      <c r="BY109" s="87"/>
      <c r="BZ109" s="683"/>
      <c r="CA109" s="684"/>
    </row>
    <row r="110" spans="1:147" s="685" customFormat="1" ht="15" hidden="1" customHeight="1">
      <c r="A110" s="1465"/>
      <c r="B110" s="677"/>
      <c r="C110" s="678"/>
      <c r="D110" s="1465"/>
      <c r="E110" s="1465"/>
      <c r="F110" s="1465" t="s">
        <v>177</v>
      </c>
      <c r="G110" s="1465"/>
      <c r="H110" s="1465"/>
      <c r="I110" s="1465"/>
      <c r="J110" s="1465"/>
      <c r="K110" s="1465"/>
      <c r="L110" s="1465"/>
      <c r="M110" s="1465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  <c r="AA110" s="373"/>
      <c r="AB110" s="373"/>
      <c r="AC110" s="373"/>
      <c r="AD110" s="373"/>
      <c r="AE110" s="373"/>
      <c r="AF110" s="373"/>
      <c r="AG110" s="373"/>
      <c r="AH110" s="373"/>
      <c r="AI110" s="373"/>
      <c r="AJ110" s="373"/>
      <c r="AK110" s="373"/>
      <c r="AL110" s="373"/>
      <c r="AM110" s="373"/>
      <c r="AN110" s="373"/>
      <c r="AO110" s="373"/>
      <c r="AP110" s="373"/>
      <c r="AQ110" s="373"/>
      <c r="AR110" s="373"/>
      <c r="AS110" s="373"/>
      <c r="AT110" s="373"/>
      <c r="AU110" s="373"/>
      <c r="AV110" s="373"/>
      <c r="AW110" s="373"/>
      <c r="AX110" s="373"/>
      <c r="AY110" s="373"/>
      <c r="AZ110" s="373"/>
      <c r="BA110" s="373"/>
      <c r="BB110" s="373"/>
      <c r="BC110" s="373"/>
      <c r="BD110" s="373"/>
      <c r="BE110" s="373"/>
      <c r="BF110" s="373"/>
      <c r="BG110" s="373"/>
      <c r="BH110" s="373"/>
      <c r="BI110" s="373"/>
      <c r="BJ110" s="373"/>
      <c r="BK110" s="373"/>
      <c r="BL110" s="373"/>
      <c r="BM110" s="373"/>
      <c r="BN110" s="373"/>
      <c r="BO110" s="373">
        <f>BN111</f>
        <v>149000000</v>
      </c>
      <c r="BP110" s="373">
        <f>BO111</f>
        <v>0</v>
      </c>
      <c r="BQ110" s="373"/>
      <c r="BR110" s="373">
        <f>BQ111</f>
        <v>0</v>
      </c>
      <c r="BS110" s="373"/>
      <c r="BT110" s="373"/>
      <c r="BU110" s="373"/>
      <c r="BV110" s="373"/>
      <c r="BW110" s="373"/>
      <c r="BX110" s="373"/>
      <c r="BY110" s="374"/>
      <c r="BZ110" s="686"/>
      <c r="CA110" s="684"/>
    </row>
    <row r="111" spans="1:147" s="689" customFormat="1" ht="15" hidden="1" customHeight="1">
      <c r="A111" s="1465"/>
      <c r="B111" s="677"/>
      <c r="C111" s="678"/>
      <c r="D111" s="1465"/>
      <c r="E111" s="1465"/>
      <c r="F111" s="1465" t="s">
        <v>97</v>
      </c>
      <c r="G111" s="1465"/>
      <c r="H111" s="1465"/>
      <c r="I111" s="1465"/>
      <c r="J111" s="1465"/>
      <c r="K111" s="1465"/>
      <c r="L111" s="1465"/>
      <c r="M111" s="1465"/>
      <c r="N111" s="373"/>
      <c r="O111" s="373"/>
      <c r="P111" s="373">
        <f>O111+P109-P110</f>
        <v>149000000</v>
      </c>
      <c r="Q111" s="373">
        <f>P111+Q109-Q110</f>
        <v>149000000</v>
      </c>
      <c r="R111" s="373">
        <f t="shared" ref="R111:W111" si="263">Q111+R109-R110</f>
        <v>149000000</v>
      </c>
      <c r="S111" s="373">
        <f t="shared" si="263"/>
        <v>149000000</v>
      </c>
      <c r="T111" s="373">
        <f t="shared" si="263"/>
        <v>149000000</v>
      </c>
      <c r="U111" s="373">
        <f t="shared" si="263"/>
        <v>149000000</v>
      </c>
      <c r="V111" s="373">
        <f t="shared" si="263"/>
        <v>149000000</v>
      </c>
      <c r="W111" s="373">
        <f t="shared" si="263"/>
        <v>149000000</v>
      </c>
      <c r="X111" s="373">
        <f>P111+X109-X110</f>
        <v>149000000</v>
      </c>
      <c r="Y111" s="373">
        <f t="shared" ref="Y111:BK111" si="264">X111+Y109-Y110</f>
        <v>149000000</v>
      </c>
      <c r="Z111" s="373">
        <f t="shared" si="264"/>
        <v>149000000</v>
      </c>
      <c r="AA111" s="373">
        <f t="shared" si="264"/>
        <v>149000000</v>
      </c>
      <c r="AB111" s="373"/>
      <c r="AC111" s="373"/>
      <c r="AD111" s="373"/>
      <c r="AE111" s="373"/>
      <c r="AF111" s="373"/>
      <c r="AG111" s="373"/>
      <c r="AH111" s="373">
        <f>AA111+AH109-AH110</f>
        <v>149000000</v>
      </c>
      <c r="AI111" s="373">
        <f t="shared" si="264"/>
        <v>149000000</v>
      </c>
      <c r="AJ111" s="373">
        <f t="shared" si="264"/>
        <v>149000000</v>
      </c>
      <c r="AK111" s="373">
        <f t="shared" si="264"/>
        <v>149000000</v>
      </c>
      <c r="AL111" s="373">
        <f t="shared" si="264"/>
        <v>149000000</v>
      </c>
      <c r="AM111" s="373">
        <f t="shared" si="264"/>
        <v>149000000</v>
      </c>
      <c r="AN111" s="373">
        <f t="shared" si="264"/>
        <v>149000000</v>
      </c>
      <c r="AO111" s="373">
        <f t="shared" si="264"/>
        <v>149000000</v>
      </c>
      <c r="AP111" s="373">
        <f t="shared" si="264"/>
        <v>149000000</v>
      </c>
      <c r="AQ111" s="373">
        <f t="shared" si="264"/>
        <v>149000000</v>
      </c>
      <c r="AR111" s="373">
        <f t="shared" si="264"/>
        <v>149000000</v>
      </c>
      <c r="AS111" s="373">
        <f t="shared" si="264"/>
        <v>149000000</v>
      </c>
      <c r="AT111" s="373">
        <f t="shared" si="264"/>
        <v>149000000</v>
      </c>
      <c r="AU111" s="373">
        <f t="shared" si="264"/>
        <v>149000000</v>
      </c>
      <c r="AV111" s="373">
        <f t="shared" si="264"/>
        <v>149000000</v>
      </c>
      <c r="AW111" s="373">
        <f t="shared" si="264"/>
        <v>149000000</v>
      </c>
      <c r="AX111" s="373">
        <f t="shared" si="264"/>
        <v>149000000</v>
      </c>
      <c r="AY111" s="373">
        <f t="shared" si="264"/>
        <v>149000000</v>
      </c>
      <c r="AZ111" s="373">
        <f t="shared" si="264"/>
        <v>149000000</v>
      </c>
      <c r="BA111" s="373">
        <f t="shared" si="264"/>
        <v>149000000</v>
      </c>
      <c r="BB111" s="373">
        <f t="shared" si="264"/>
        <v>149000000</v>
      </c>
      <c r="BC111" s="373">
        <f t="shared" si="264"/>
        <v>149000000</v>
      </c>
      <c r="BD111" s="373">
        <f t="shared" si="264"/>
        <v>149000000</v>
      </c>
      <c r="BE111" s="373">
        <f t="shared" si="264"/>
        <v>149000000</v>
      </c>
      <c r="BF111" s="373">
        <f t="shared" si="264"/>
        <v>149000000</v>
      </c>
      <c r="BG111" s="373">
        <f t="shared" si="264"/>
        <v>149000000</v>
      </c>
      <c r="BH111" s="373">
        <f t="shared" si="264"/>
        <v>149000000</v>
      </c>
      <c r="BI111" s="373">
        <f t="shared" si="264"/>
        <v>149000000</v>
      </c>
      <c r="BJ111" s="373">
        <f t="shared" si="264"/>
        <v>149000000</v>
      </c>
      <c r="BK111" s="373">
        <f t="shared" si="264"/>
        <v>149000000</v>
      </c>
      <c r="BL111" s="373">
        <f t="shared" ref="BL111" si="265">BK111+BL109-BL110</f>
        <v>149000000</v>
      </c>
      <c r="BM111" s="373">
        <f t="shared" ref="BM111" si="266">BL111+BM109-BM110</f>
        <v>149000000</v>
      </c>
      <c r="BN111" s="373">
        <f t="shared" ref="BN111" si="267">BM111+BN109-BN110</f>
        <v>149000000</v>
      </c>
      <c r="BO111" s="373">
        <f t="shared" ref="BO111" si="268">BN111+BO109-BO110</f>
        <v>0</v>
      </c>
      <c r="BP111" s="373"/>
      <c r="BQ111" s="373">
        <f>BP111+BQ109-BQ110</f>
        <v>0</v>
      </c>
      <c r="BR111" s="373"/>
      <c r="BS111" s="373"/>
      <c r="BT111" s="373"/>
      <c r="BU111" s="373"/>
      <c r="BV111" s="373"/>
      <c r="BW111" s="373"/>
      <c r="BX111" s="373"/>
      <c r="BY111" s="374"/>
      <c r="BZ111" s="687"/>
      <c r="CA111" s="688"/>
    </row>
    <row r="112" spans="1:147" s="689" customFormat="1" ht="15" hidden="1" customHeight="1">
      <c r="A112" s="1465"/>
      <c r="B112" s="677"/>
      <c r="C112" s="678"/>
      <c r="D112" s="1465"/>
      <c r="E112" s="1465"/>
      <c r="F112" s="1465" t="s">
        <v>237</v>
      </c>
      <c r="G112" s="1465"/>
      <c r="H112" s="1465"/>
      <c r="I112" s="1465"/>
      <c r="J112" s="1465"/>
      <c r="K112" s="1465"/>
      <c r="L112" s="1465"/>
      <c r="M112" s="1465"/>
      <c r="N112" s="375"/>
      <c r="O112" s="375"/>
      <c r="P112" s="375">
        <f>H111*사업수지표!$BD$81/12</f>
        <v>0</v>
      </c>
      <c r="Q112" s="375">
        <f>P111*사업수지표!$BD$81/12</f>
        <v>1365833.3333333333</v>
      </c>
      <c r="R112" s="375">
        <f>Q111*사업수지표!$BD$81/12</f>
        <v>1365833.3333333333</v>
      </c>
      <c r="S112" s="375">
        <f>R111*사업수지표!$BD$81/12</f>
        <v>1365833.3333333333</v>
      </c>
      <c r="T112" s="375">
        <f>S111*사업수지표!$BD$81/12</f>
        <v>1365833.3333333333</v>
      </c>
      <c r="U112" s="375">
        <f>T111*사업수지표!$BD$81/12</f>
        <v>1365833.3333333333</v>
      </c>
      <c r="V112" s="375">
        <f>U111*사업수지표!$BD$81/12</f>
        <v>1365833.3333333333</v>
      </c>
      <c r="W112" s="375">
        <f>V111*사업수지표!$BD$81/12</f>
        <v>1365833.3333333333</v>
      </c>
      <c r="X112" s="375">
        <f>W111*사업수지표!$BD$81/12</f>
        <v>1365833.3333333333</v>
      </c>
      <c r="Y112" s="375">
        <f>X111*사업수지표!$BD$81/12</f>
        <v>1365833.3333333333</v>
      </c>
      <c r="Z112" s="375">
        <f>Y111*사업수지표!$BD$81/12</f>
        <v>1365833.3333333333</v>
      </c>
      <c r="AA112" s="375">
        <f>Z111*사업수지표!$BD$81/12</f>
        <v>1365833.3333333333</v>
      </c>
      <c r="AB112" s="375"/>
      <c r="AC112" s="375"/>
      <c r="AD112" s="375"/>
      <c r="AE112" s="375"/>
      <c r="AF112" s="375"/>
      <c r="AG112" s="375"/>
      <c r="AH112" s="375">
        <f>AA111*사업수지표!$BD$81/12</f>
        <v>1365833.3333333333</v>
      </c>
      <c r="AI112" s="375">
        <f>AH111*사업수지표!$BD$81/12</f>
        <v>1365833.3333333333</v>
      </c>
      <c r="AJ112" s="375">
        <f>AI111*사업수지표!$BD$81/12</f>
        <v>1365833.3333333333</v>
      </c>
      <c r="AK112" s="375">
        <f>AJ111*사업수지표!$BD$81/12</f>
        <v>1365833.3333333333</v>
      </c>
      <c r="AL112" s="375">
        <f>AK111*사업수지표!$BD$81/12</f>
        <v>1365833.3333333333</v>
      </c>
      <c r="AM112" s="375">
        <f>AL111*사업수지표!$BD$81/12</f>
        <v>1365833.3333333333</v>
      </c>
      <c r="AN112" s="375">
        <f>AM111*사업수지표!$BD$81/12</f>
        <v>1365833.3333333333</v>
      </c>
      <c r="AO112" s="375">
        <f>AN111*사업수지표!$BD$81/12</f>
        <v>1365833.3333333333</v>
      </c>
      <c r="AP112" s="375">
        <f>AO111*사업수지표!$BD$81/12</f>
        <v>1365833.3333333333</v>
      </c>
      <c r="AQ112" s="375">
        <f>AP111*사업수지표!$BD$81/12</f>
        <v>1365833.3333333333</v>
      </c>
      <c r="AR112" s="375">
        <f>AQ111*사업수지표!$BD$81/12</f>
        <v>1365833.3333333333</v>
      </c>
      <c r="AS112" s="375">
        <f>AR111*사업수지표!$BD$81/12</f>
        <v>1365833.3333333333</v>
      </c>
      <c r="AT112" s="375">
        <f>AS111*사업수지표!$BD$81/12</f>
        <v>1365833.3333333333</v>
      </c>
      <c r="AU112" s="375">
        <f>AT111*사업수지표!$BD$81/12</f>
        <v>1365833.3333333333</v>
      </c>
      <c r="AV112" s="375">
        <f>AU111*사업수지표!$BD$81/12</f>
        <v>1365833.3333333333</v>
      </c>
      <c r="AW112" s="375">
        <f>AV111*사업수지표!$BD$81/12</f>
        <v>1365833.3333333333</v>
      </c>
      <c r="AX112" s="375">
        <f>AW111*사업수지표!$BD$81/12</f>
        <v>1365833.3333333333</v>
      </c>
      <c r="AY112" s="375">
        <f>AX111*사업수지표!$BD$81/12</f>
        <v>1365833.3333333333</v>
      </c>
      <c r="AZ112" s="375">
        <f>AY111*사업수지표!$BD$81/12</f>
        <v>1365833.3333333333</v>
      </c>
      <c r="BA112" s="375">
        <f>AZ111*사업수지표!$BD$81/12</f>
        <v>1365833.3333333333</v>
      </c>
      <c r="BB112" s="375">
        <f>BA111*사업수지표!$BD$81/12</f>
        <v>1365833.3333333333</v>
      </c>
      <c r="BC112" s="375">
        <f>BB111*사업수지표!$BD$81/12</f>
        <v>1365833.3333333333</v>
      </c>
      <c r="BD112" s="375">
        <f>BC111*사업수지표!$BD$81/12</f>
        <v>1365833.3333333333</v>
      </c>
      <c r="BE112" s="375">
        <f>BD111*사업수지표!$BD$81/12</f>
        <v>1365833.3333333333</v>
      </c>
      <c r="BF112" s="375">
        <f>BE111*사업수지표!$BD$81/12</f>
        <v>1365833.3333333333</v>
      </c>
      <c r="BG112" s="375">
        <f>BF111*사업수지표!$BD$81/12</f>
        <v>1365833.3333333333</v>
      </c>
      <c r="BH112" s="375">
        <f>BG111*사업수지표!$BD$81/12</f>
        <v>1365833.3333333333</v>
      </c>
      <c r="BI112" s="375">
        <f>BH111*사업수지표!$BD$81/12</f>
        <v>1365833.3333333333</v>
      </c>
      <c r="BJ112" s="375">
        <f>BI111*사업수지표!$BD$81/12</f>
        <v>1365833.3333333333</v>
      </c>
      <c r="BK112" s="375">
        <f>BJ111*사업수지표!$BD$81/12</f>
        <v>1365833.3333333333</v>
      </c>
      <c r="BL112" s="375">
        <f>BK111*사업수지표!$BD$81/12</f>
        <v>1365833.3333333333</v>
      </c>
      <c r="BM112" s="375">
        <f>BL111*사업수지표!$BD$81/12</f>
        <v>1365833.3333333333</v>
      </c>
      <c r="BN112" s="375">
        <f>BM111*사업수지표!$BD$81/12</f>
        <v>1365833.3333333333</v>
      </c>
      <c r="BO112" s="375">
        <f>BN111*사업수지표!$BD$81/12</f>
        <v>1365833.3333333333</v>
      </c>
      <c r="BP112" s="375">
        <f>SUM(X112:BO112)</f>
        <v>51901666.666666687</v>
      </c>
      <c r="BQ112" s="375">
        <f>BP111*사업수지표!$BD$81/12</f>
        <v>0</v>
      </c>
      <c r="BR112" s="375">
        <f>BQ111*사업수지표!$BD$81/12</f>
        <v>0</v>
      </c>
      <c r="BS112" s="375"/>
      <c r="BT112" s="375"/>
      <c r="BU112" s="375"/>
      <c r="BV112" s="375"/>
      <c r="BW112" s="375"/>
      <c r="BX112" s="375"/>
      <c r="BY112" s="390"/>
      <c r="BZ112" s="687"/>
      <c r="CA112" s="688"/>
    </row>
    <row r="113" spans="1:79" s="692" customFormat="1" ht="15" hidden="1" customHeight="1">
      <c r="A113" s="1465"/>
      <c r="B113" s="677"/>
      <c r="C113" s="678"/>
      <c r="D113" s="1473"/>
      <c r="E113" s="1474"/>
      <c r="F113" s="1474"/>
      <c r="G113" s="1474"/>
      <c r="H113" s="1474"/>
      <c r="I113" s="1474"/>
      <c r="J113" s="1474"/>
      <c r="K113" s="1474"/>
      <c r="L113" s="1474"/>
      <c r="M113" s="1475"/>
      <c r="N113" s="679"/>
      <c r="O113" s="679"/>
      <c r="P113" s="679">
        <f>SUM(P111:P112)</f>
        <v>149000000</v>
      </c>
      <c r="Q113" s="679">
        <f t="shared" ref="Q113:W113" si="269">SUM(Q111:Q112)</f>
        <v>150365833.33333334</v>
      </c>
      <c r="R113" s="679">
        <f t="shared" si="269"/>
        <v>150365833.33333334</v>
      </c>
      <c r="S113" s="679">
        <f t="shared" si="269"/>
        <v>150365833.33333334</v>
      </c>
      <c r="T113" s="679">
        <f t="shared" si="269"/>
        <v>150365833.33333334</v>
      </c>
      <c r="U113" s="679">
        <f t="shared" si="269"/>
        <v>150365833.33333334</v>
      </c>
      <c r="V113" s="679">
        <f t="shared" si="269"/>
        <v>150365833.33333334</v>
      </c>
      <c r="W113" s="679">
        <f t="shared" si="269"/>
        <v>150365833.33333334</v>
      </c>
      <c r="X113" s="679">
        <f t="shared" ref="X113:Z113" si="270">SUM(X111:X112)</f>
        <v>150365833.33333334</v>
      </c>
      <c r="Y113" s="679">
        <f t="shared" si="270"/>
        <v>150365833.33333334</v>
      </c>
      <c r="Z113" s="679">
        <f t="shared" si="270"/>
        <v>150365833.33333334</v>
      </c>
      <c r="AA113" s="679">
        <f t="shared" ref="AA113" si="271">SUM(AA111:AA112)</f>
        <v>150365833.33333334</v>
      </c>
      <c r="AB113" s="679"/>
      <c r="AC113" s="679"/>
      <c r="AD113" s="679"/>
      <c r="AE113" s="679"/>
      <c r="AF113" s="679"/>
      <c r="AG113" s="679"/>
      <c r="AH113" s="679">
        <f t="shared" ref="AH113" si="272">SUM(AH111:AH112)</f>
        <v>150365833.33333334</v>
      </c>
      <c r="AI113" s="679">
        <f t="shared" ref="AI113" si="273">SUM(AI111:AI112)</f>
        <v>150365833.33333334</v>
      </c>
      <c r="AJ113" s="679">
        <f t="shared" ref="AJ113" si="274">SUM(AJ111:AJ112)</f>
        <v>150365833.33333334</v>
      </c>
      <c r="AK113" s="679">
        <f t="shared" ref="AK113" si="275">SUM(AK111:AK112)</f>
        <v>150365833.33333334</v>
      </c>
      <c r="AL113" s="679">
        <f t="shared" ref="AL113" si="276">SUM(AL111:AL112)</f>
        <v>150365833.33333334</v>
      </c>
      <c r="AM113" s="679">
        <f t="shared" ref="AM113" si="277">SUM(AM111:AM112)</f>
        <v>150365833.33333334</v>
      </c>
      <c r="AN113" s="679">
        <f t="shared" ref="AN113" si="278">SUM(AN111:AN112)</f>
        <v>150365833.33333334</v>
      </c>
      <c r="AO113" s="679">
        <f t="shared" ref="AO113" si="279">SUM(AO111:AO112)</f>
        <v>150365833.33333334</v>
      </c>
      <c r="AP113" s="679">
        <f t="shared" ref="AP113" si="280">SUM(AP111:AP112)</f>
        <v>150365833.33333334</v>
      </c>
      <c r="AQ113" s="679">
        <f t="shared" ref="AQ113" si="281">SUM(AQ111:AQ112)</f>
        <v>150365833.33333334</v>
      </c>
      <c r="AR113" s="679">
        <f t="shared" ref="AR113" si="282">SUM(AR111:AR112)</f>
        <v>150365833.33333334</v>
      </c>
      <c r="AS113" s="679">
        <f t="shared" ref="AS113" si="283">SUM(AS111:AS112)</f>
        <v>150365833.33333334</v>
      </c>
      <c r="AT113" s="679">
        <f t="shared" ref="AT113" si="284">SUM(AT111:AT112)</f>
        <v>150365833.33333334</v>
      </c>
      <c r="AU113" s="679">
        <f t="shared" ref="AU113" si="285">SUM(AU111:AU112)</f>
        <v>150365833.33333334</v>
      </c>
      <c r="AV113" s="679">
        <f t="shared" ref="AV113" si="286">SUM(AV111:AV112)</f>
        <v>150365833.33333334</v>
      </c>
      <c r="AW113" s="679">
        <f t="shared" ref="AW113" si="287">SUM(AW111:AW112)</f>
        <v>150365833.33333334</v>
      </c>
      <c r="AX113" s="679">
        <f t="shared" ref="AX113" si="288">SUM(AX111:AX112)</f>
        <v>150365833.33333334</v>
      </c>
      <c r="AY113" s="679">
        <f t="shared" ref="AY113" si="289">SUM(AY111:AY112)</f>
        <v>150365833.33333334</v>
      </c>
      <c r="AZ113" s="679">
        <f t="shared" ref="AZ113" si="290">SUM(AZ111:AZ112)</f>
        <v>150365833.33333334</v>
      </c>
      <c r="BA113" s="679">
        <f t="shared" ref="BA113" si="291">SUM(BA111:BA112)</f>
        <v>150365833.33333334</v>
      </c>
      <c r="BB113" s="679">
        <f t="shared" ref="BB113" si="292">SUM(BB111:BB112)</f>
        <v>150365833.33333334</v>
      </c>
      <c r="BC113" s="679">
        <f t="shared" ref="BC113" si="293">SUM(BC111:BC112)</f>
        <v>150365833.33333334</v>
      </c>
      <c r="BD113" s="679">
        <f t="shared" ref="BD113" si="294">SUM(BD111:BD112)</f>
        <v>150365833.33333334</v>
      </c>
      <c r="BE113" s="679">
        <f t="shared" ref="BE113" si="295">SUM(BE111:BE112)</f>
        <v>150365833.33333334</v>
      </c>
      <c r="BF113" s="679">
        <f t="shared" ref="BF113" si="296">SUM(BF111:BF112)</f>
        <v>150365833.33333334</v>
      </c>
      <c r="BG113" s="679">
        <f t="shared" ref="BG113" si="297">SUM(BG111:BG112)</f>
        <v>150365833.33333334</v>
      </c>
      <c r="BH113" s="679">
        <f t="shared" ref="BH113" si="298">SUM(BH111:BH112)</f>
        <v>150365833.33333334</v>
      </c>
      <c r="BI113" s="679">
        <f t="shared" ref="BI113" si="299">SUM(BI111:BI112)</f>
        <v>150365833.33333334</v>
      </c>
      <c r="BJ113" s="679">
        <f t="shared" ref="BJ113" si="300">SUM(BJ111:BJ112)</f>
        <v>150365833.33333334</v>
      </c>
      <c r="BK113" s="679">
        <f t="shared" ref="BK113" si="301">SUM(BK111:BK112)</f>
        <v>150365833.33333334</v>
      </c>
      <c r="BL113" s="679">
        <f t="shared" ref="BL113" si="302">SUM(BL111:BL112)</f>
        <v>150365833.33333334</v>
      </c>
      <c r="BM113" s="679">
        <f t="shared" ref="BM113" si="303">SUM(BM111:BM112)</f>
        <v>150365833.33333334</v>
      </c>
      <c r="BN113" s="679">
        <f t="shared" ref="BN113" si="304">SUM(BN111:BN112)</f>
        <v>150365833.33333334</v>
      </c>
      <c r="BO113" s="679">
        <f t="shared" ref="BO113" si="305">SUM(BO111:BO112)</f>
        <v>1365833.3333333333</v>
      </c>
      <c r="BP113" s="679">
        <f>SUM(BP110:BP112)</f>
        <v>51901666.666666687</v>
      </c>
      <c r="BQ113" s="679"/>
      <c r="BR113" s="679"/>
      <c r="BS113" s="679"/>
      <c r="BT113" s="679"/>
      <c r="BU113" s="679"/>
      <c r="BV113" s="679"/>
      <c r="BW113" s="679"/>
      <c r="BX113" s="679"/>
      <c r="BY113" s="679"/>
      <c r="BZ113" s="690"/>
      <c r="CA113" s="691"/>
    </row>
    <row r="114" spans="1:79" s="689" customFormat="1" ht="15" hidden="1" customHeight="1">
      <c r="A114" s="1465"/>
      <c r="B114" s="677"/>
      <c r="C114" s="678"/>
      <c r="D114" s="1465" t="s">
        <v>236</v>
      </c>
      <c r="E114" s="1465"/>
      <c r="F114" s="1465" t="s">
        <v>52</v>
      </c>
      <c r="G114" s="1465"/>
      <c r="H114" s="1465"/>
      <c r="I114" s="1465"/>
      <c r="J114" s="1465"/>
      <c r="K114" s="1465"/>
      <c r="L114" s="1465"/>
      <c r="M114" s="1465"/>
      <c r="N114" s="693"/>
      <c r="O114" s="693"/>
      <c r="P114" s="693"/>
      <c r="Q114" s="693"/>
      <c r="R114" s="693"/>
      <c r="S114" s="693"/>
      <c r="T114" s="693"/>
      <c r="U114" s="693"/>
      <c r="V114" s="693"/>
      <c r="W114" s="693"/>
      <c r="X114" s="693"/>
      <c r="Y114" s="693"/>
      <c r="Z114" s="693"/>
      <c r="AA114" s="693">
        <f>IF(AA125&lt;0,-AA125,0)</f>
        <v>0</v>
      </c>
      <c r="AB114" s="693"/>
      <c r="AC114" s="693"/>
      <c r="AD114" s="693"/>
      <c r="AE114" s="693"/>
      <c r="AF114" s="693"/>
      <c r="AG114" s="693"/>
      <c r="AH114" s="693"/>
      <c r="AI114" s="693"/>
      <c r="AJ114" s="693"/>
      <c r="AK114" s="693"/>
      <c r="AL114" s="693">
        <f>IF(AL125&lt;0,-AL125,0)</f>
        <v>0</v>
      </c>
      <c r="AM114" s="693">
        <f>IF(AM125&lt;0,-AM125,0)</f>
        <v>0</v>
      </c>
      <c r="AN114" s="693"/>
      <c r="AO114" s="693"/>
      <c r="AP114" s="693"/>
      <c r="AQ114" s="693">
        <f>IF(AQ125&lt;0,-AQ125,0)</f>
        <v>0</v>
      </c>
      <c r="AR114" s="693">
        <f>IF(AR125&lt;0,-AR125,0)</f>
        <v>0</v>
      </c>
      <c r="AS114" s="693">
        <f>IF(AS125&lt;0,-AS125,0)</f>
        <v>0</v>
      </c>
      <c r="AT114" s="693"/>
      <c r="AU114" s="693"/>
      <c r="AV114" s="693">
        <f>IF(AV125&lt;0,-AV125,0)</f>
        <v>0</v>
      </c>
      <c r="AW114" s="693">
        <f>IF(AW125&lt;0,-AW125,0)</f>
        <v>0</v>
      </c>
      <c r="AX114" s="693"/>
      <c r="AY114" s="693"/>
      <c r="AZ114" s="693"/>
      <c r="BA114" s="693">
        <f>IF(BA125&lt;0,-BA125,0)</f>
        <v>0</v>
      </c>
      <c r="BB114" s="693"/>
      <c r="BC114" s="693"/>
      <c r="BD114" s="693"/>
      <c r="BE114" s="693">
        <f>IF(BE125&lt;0,-BE125,0)</f>
        <v>0</v>
      </c>
      <c r="BF114" s="693">
        <f>IF(BF125&lt;0,-BF125,0)</f>
        <v>0</v>
      </c>
      <c r="BG114" s="693">
        <f>IF(BG125&lt;0,-BG125,0)</f>
        <v>0</v>
      </c>
      <c r="BH114" s="693"/>
      <c r="BI114" s="693">
        <f t="shared" ref="BI114:BP114" si="306">IF(BI125&lt;0,-BI125,0)</f>
        <v>0</v>
      </c>
      <c r="BJ114" s="693">
        <f t="shared" si="306"/>
        <v>0</v>
      </c>
      <c r="BK114" s="693">
        <f t="shared" si="306"/>
        <v>0</v>
      </c>
      <c r="BL114" s="693">
        <f t="shared" si="306"/>
        <v>0</v>
      </c>
      <c r="BM114" s="693">
        <f t="shared" si="306"/>
        <v>0</v>
      </c>
      <c r="BN114" s="693">
        <f t="shared" si="306"/>
        <v>0</v>
      </c>
      <c r="BO114" s="693">
        <f t="shared" si="306"/>
        <v>0</v>
      </c>
      <c r="BP114" s="693">
        <f t="shared" si="306"/>
        <v>0</v>
      </c>
      <c r="BQ114" s="693"/>
      <c r="BR114" s="693"/>
      <c r="BS114" s="693"/>
      <c r="BT114" s="693"/>
      <c r="BU114" s="694"/>
      <c r="BV114" s="694"/>
      <c r="BW114" s="694"/>
      <c r="BX114" s="694"/>
      <c r="BY114" s="695"/>
      <c r="BZ114" s="696"/>
      <c r="CA114" s="688"/>
    </row>
    <row r="115" spans="1:79" s="689" customFormat="1" ht="15" hidden="1" customHeight="1">
      <c r="A115" s="1465"/>
      <c r="B115" s="677"/>
      <c r="C115" s="678"/>
      <c r="D115" s="1465"/>
      <c r="E115" s="1465"/>
      <c r="F115" s="1465" t="s">
        <v>177</v>
      </c>
      <c r="G115" s="1465"/>
      <c r="H115" s="1465"/>
      <c r="I115" s="1465"/>
      <c r="J115" s="1465"/>
      <c r="K115" s="1465"/>
      <c r="L115" s="1465"/>
      <c r="M115" s="1465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>
        <f>IF(AND(P116&gt;X125,X125&gt;0,P116&gt;0),X125,0)+IF(AND(P116&lt;X125,X125&gt;0,P116&gt;0),P116,0)</f>
        <v>0</v>
      </c>
      <c r="Y115" s="373">
        <f t="shared" ref="Y115:Z115" si="307">IF(AND(X116&gt;Y125,Y125&gt;0,X116&gt;0),Y125,0)+IF(AND(X116&lt;Y125,Y125&gt;0,X116&gt;0),X116,0)</f>
        <v>0</v>
      </c>
      <c r="Z115" s="373">
        <f t="shared" si="307"/>
        <v>0</v>
      </c>
      <c r="AA115" s="373">
        <f>IF(AND(Z116&gt;AA125,AA125&gt;0,Z116&gt;0),AA125,0)+IF(AND(Z116&lt;AA125,AA125&gt;0,Z116&gt;0),Z116,0)</f>
        <v>0</v>
      </c>
      <c r="AB115" s="373"/>
      <c r="AC115" s="373"/>
      <c r="AD115" s="373"/>
      <c r="AE115" s="373"/>
      <c r="AF115" s="373"/>
      <c r="AG115" s="373"/>
      <c r="AH115" s="373">
        <f>IF(AND(AA116&gt;AH125,AH125&gt;0,AA116&gt;0),AH125,0)+IF(AND(AA116&lt;AH125,AH125&gt;0,AA116&gt;0),AA116,0)</f>
        <v>0</v>
      </c>
      <c r="AI115" s="373">
        <f t="shared" ref="AI115:BW115" si="308">IF(AND(AH116&gt;AI125,AI125&gt;0,AH116&gt;0),AI125,0)+IF(AND(AH116&lt;AI125,AI125&gt;0,AH116&gt;0),AH116,0)</f>
        <v>0</v>
      </c>
      <c r="AJ115" s="373">
        <f t="shared" si="308"/>
        <v>0</v>
      </c>
      <c r="AK115" s="373">
        <f t="shared" si="308"/>
        <v>0</v>
      </c>
      <c r="AL115" s="373">
        <f t="shared" si="308"/>
        <v>0</v>
      </c>
      <c r="AM115" s="373">
        <f t="shared" si="308"/>
        <v>0</v>
      </c>
      <c r="AN115" s="373">
        <f t="shared" si="308"/>
        <v>0</v>
      </c>
      <c r="AO115" s="373">
        <f t="shared" si="308"/>
        <v>0</v>
      </c>
      <c r="AP115" s="373">
        <f t="shared" si="308"/>
        <v>0</v>
      </c>
      <c r="AQ115" s="373">
        <f t="shared" si="308"/>
        <v>0</v>
      </c>
      <c r="AR115" s="373">
        <f t="shared" si="308"/>
        <v>0</v>
      </c>
      <c r="AS115" s="373">
        <f t="shared" si="308"/>
        <v>0</v>
      </c>
      <c r="AT115" s="373">
        <f t="shared" si="308"/>
        <v>0</v>
      </c>
      <c r="AU115" s="373">
        <f t="shared" si="308"/>
        <v>0</v>
      </c>
      <c r="AV115" s="373">
        <f t="shared" si="308"/>
        <v>0</v>
      </c>
      <c r="AW115" s="373">
        <f t="shared" si="308"/>
        <v>0</v>
      </c>
      <c r="AX115" s="373">
        <f t="shared" si="308"/>
        <v>0</v>
      </c>
      <c r="AY115" s="373">
        <f t="shared" si="308"/>
        <v>0</v>
      </c>
      <c r="AZ115" s="373">
        <f t="shared" si="308"/>
        <v>0</v>
      </c>
      <c r="BA115" s="373">
        <f t="shared" si="308"/>
        <v>0</v>
      </c>
      <c r="BB115" s="373">
        <f t="shared" si="308"/>
        <v>0</v>
      </c>
      <c r="BC115" s="373">
        <f t="shared" si="308"/>
        <v>0</v>
      </c>
      <c r="BD115" s="373">
        <f t="shared" si="308"/>
        <v>0</v>
      </c>
      <c r="BE115" s="373">
        <f t="shared" si="308"/>
        <v>0</v>
      </c>
      <c r="BF115" s="373">
        <f t="shared" si="308"/>
        <v>0</v>
      </c>
      <c r="BG115" s="373">
        <f t="shared" si="308"/>
        <v>0</v>
      </c>
      <c r="BH115" s="373">
        <f t="shared" si="308"/>
        <v>0</v>
      </c>
      <c r="BI115" s="373">
        <f t="shared" si="308"/>
        <v>0</v>
      </c>
      <c r="BJ115" s="373">
        <f t="shared" si="308"/>
        <v>0</v>
      </c>
      <c r="BK115" s="373">
        <f t="shared" si="308"/>
        <v>0</v>
      </c>
      <c r="BL115" s="373">
        <f t="shared" si="308"/>
        <v>0</v>
      </c>
      <c r="BM115" s="373">
        <f>IF(AND(BL116&gt;BM125,BM125&gt;0,BL116&gt;0),BM125,0)+IF(AND(BL116&lt;BM125,BM125&gt;0,BL116&gt;0),BL116,0)</f>
        <v>0</v>
      </c>
      <c r="BN115" s="373">
        <f t="shared" si="308"/>
        <v>0</v>
      </c>
      <c r="BO115" s="373">
        <f t="shared" si="308"/>
        <v>0</v>
      </c>
      <c r="BP115" s="373">
        <f t="shared" si="308"/>
        <v>0</v>
      </c>
      <c r="BQ115" s="373">
        <f>IF(AND(BP116&gt;BQ125,BQ125&gt;0,BP116&gt;0),BQ125,0)+IF(AND(BP116&lt;BQ125,BQ125&gt;0,BP116&gt;0),BP116,0)</f>
        <v>0</v>
      </c>
      <c r="BR115" s="373">
        <f t="shared" si="308"/>
        <v>0</v>
      </c>
      <c r="BS115" s="373">
        <f t="shared" si="308"/>
        <v>0</v>
      </c>
      <c r="BT115" s="373">
        <f t="shared" si="308"/>
        <v>0</v>
      </c>
      <c r="BU115" s="373">
        <f t="shared" si="308"/>
        <v>0</v>
      </c>
      <c r="BV115" s="373">
        <f t="shared" si="308"/>
        <v>0</v>
      </c>
      <c r="BW115" s="373">
        <f t="shared" si="308"/>
        <v>0</v>
      </c>
      <c r="BX115" s="373"/>
      <c r="BY115" s="695"/>
      <c r="BZ115" s="687"/>
      <c r="CA115" s="688"/>
    </row>
    <row r="116" spans="1:79" s="689" customFormat="1" ht="15" hidden="1" customHeight="1">
      <c r="A116" s="1465"/>
      <c r="B116" s="677"/>
      <c r="C116" s="678"/>
      <c r="D116" s="1465"/>
      <c r="E116" s="1465"/>
      <c r="F116" s="1465" t="s">
        <v>97</v>
      </c>
      <c r="G116" s="1465"/>
      <c r="H116" s="1465"/>
      <c r="I116" s="1465"/>
      <c r="J116" s="1465"/>
      <c r="K116" s="1465"/>
      <c r="L116" s="1465"/>
      <c r="M116" s="146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3">
        <f>P116+X114-X115</f>
        <v>0</v>
      </c>
      <c r="Y116" s="373">
        <f t="shared" ref="Y116:BL116" si="309">X116+Y114-Y115</f>
        <v>0</v>
      </c>
      <c r="Z116" s="373">
        <f t="shared" si="309"/>
        <v>0</v>
      </c>
      <c r="AA116" s="373">
        <f>Z116+AA114-AA115</f>
        <v>0</v>
      </c>
      <c r="AB116" s="373"/>
      <c r="AC116" s="373"/>
      <c r="AD116" s="373"/>
      <c r="AE116" s="373"/>
      <c r="AF116" s="373"/>
      <c r="AG116" s="373"/>
      <c r="AH116" s="373">
        <f>AA116+AH114-AH115</f>
        <v>0</v>
      </c>
      <c r="AI116" s="373">
        <f t="shared" si="309"/>
        <v>0</v>
      </c>
      <c r="AJ116" s="373">
        <f t="shared" si="309"/>
        <v>0</v>
      </c>
      <c r="AK116" s="373">
        <f t="shared" si="309"/>
        <v>0</v>
      </c>
      <c r="AL116" s="373">
        <f t="shared" si="309"/>
        <v>0</v>
      </c>
      <c r="AM116" s="373">
        <f t="shared" si="309"/>
        <v>0</v>
      </c>
      <c r="AN116" s="373">
        <f t="shared" si="309"/>
        <v>0</v>
      </c>
      <c r="AO116" s="373">
        <f t="shared" si="309"/>
        <v>0</v>
      </c>
      <c r="AP116" s="373">
        <f t="shared" si="309"/>
        <v>0</v>
      </c>
      <c r="AQ116" s="373">
        <f t="shared" si="309"/>
        <v>0</v>
      </c>
      <c r="AR116" s="373">
        <f t="shared" si="309"/>
        <v>0</v>
      </c>
      <c r="AS116" s="373">
        <f t="shared" si="309"/>
        <v>0</v>
      </c>
      <c r="AT116" s="373">
        <f t="shared" si="309"/>
        <v>0</v>
      </c>
      <c r="AU116" s="373">
        <f t="shared" si="309"/>
        <v>0</v>
      </c>
      <c r="AV116" s="373">
        <f t="shared" si="309"/>
        <v>0</v>
      </c>
      <c r="AW116" s="373">
        <f t="shared" si="309"/>
        <v>0</v>
      </c>
      <c r="AX116" s="373">
        <f t="shared" si="309"/>
        <v>0</v>
      </c>
      <c r="AY116" s="373">
        <f t="shared" si="309"/>
        <v>0</v>
      </c>
      <c r="AZ116" s="373">
        <f t="shared" si="309"/>
        <v>0</v>
      </c>
      <c r="BA116" s="373">
        <f t="shared" si="309"/>
        <v>0</v>
      </c>
      <c r="BB116" s="373">
        <f t="shared" si="309"/>
        <v>0</v>
      </c>
      <c r="BC116" s="373">
        <f t="shared" si="309"/>
        <v>0</v>
      </c>
      <c r="BD116" s="373">
        <f t="shared" si="309"/>
        <v>0</v>
      </c>
      <c r="BE116" s="373">
        <f t="shared" si="309"/>
        <v>0</v>
      </c>
      <c r="BF116" s="373">
        <f t="shared" si="309"/>
        <v>0</v>
      </c>
      <c r="BG116" s="373">
        <f t="shared" si="309"/>
        <v>0</v>
      </c>
      <c r="BH116" s="373">
        <f t="shared" si="309"/>
        <v>0</v>
      </c>
      <c r="BI116" s="373">
        <f t="shared" si="309"/>
        <v>0</v>
      </c>
      <c r="BJ116" s="373">
        <f t="shared" si="309"/>
        <v>0</v>
      </c>
      <c r="BK116" s="373">
        <f t="shared" si="309"/>
        <v>0</v>
      </c>
      <c r="BL116" s="373">
        <f t="shared" si="309"/>
        <v>0</v>
      </c>
      <c r="BM116" s="373">
        <f>BL116+BM114-BM115</f>
        <v>0</v>
      </c>
      <c r="BN116" s="373">
        <f>BM116+BN114-BN115</f>
        <v>0</v>
      </c>
      <c r="BO116" s="373">
        <f t="shared" ref="BO116:BP116" si="310">BN116+BO114-BO115</f>
        <v>0</v>
      </c>
      <c r="BP116" s="373">
        <f t="shared" si="310"/>
        <v>0</v>
      </c>
      <c r="BQ116" s="373">
        <f>BP116+BQ114-BQ115</f>
        <v>0</v>
      </c>
      <c r="BR116" s="375"/>
      <c r="BS116" s="375"/>
      <c r="BT116" s="375"/>
      <c r="BU116" s="501"/>
      <c r="BV116" s="501"/>
      <c r="BW116" s="501"/>
      <c r="BX116" s="501"/>
      <c r="BY116" s="695"/>
      <c r="BZ116" s="687"/>
      <c r="CA116" s="688"/>
    </row>
    <row r="117" spans="1:79" s="689" customFormat="1" ht="15" hidden="1" customHeight="1">
      <c r="A117" s="1465"/>
      <c r="B117" s="681"/>
      <c r="C117" s="682"/>
      <c r="D117" s="1465"/>
      <c r="E117" s="1465"/>
      <c r="F117" s="1465" t="s">
        <v>237</v>
      </c>
      <c r="G117" s="1465"/>
      <c r="H117" s="1465"/>
      <c r="I117" s="1465"/>
      <c r="J117" s="1465"/>
      <c r="K117" s="1465"/>
      <c r="L117" s="1465"/>
      <c r="M117" s="146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>
        <f>P116*사업수지표!$BD$82/12</f>
        <v>0</v>
      </c>
      <c r="Y117" s="375">
        <f>(X116)*$AK$3/12</f>
        <v>0</v>
      </c>
      <c r="Z117" s="375">
        <f>(Y116)*$AK$3/12</f>
        <v>0</v>
      </c>
      <c r="AA117" s="375">
        <f>Z116*AK3/12</f>
        <v>0</v>
      </c>
      <c r="AB117" s="375"/>
      <c r="AC117" s="375"/>
      <c r="AD117" s="375"/>
      <c r="AE117" s="375"/>
      <c r="AF117" s="375"/>
      <c r="AG117" s="375"/>
      <c r="AH117" s="375">
        <f>AA116*AK3/12</f>
        <v>0</v>
      </c>
      <c r="AI117" s="375"/>
      <c r="AJ117" s="375">
        <f t="shared" ref="AJ117:AO117" si="311">(AI116)*$AK$3/12</f>
        <v>0</v>
      </c>
      <c r="AK117" s="375">
        <f t="shared" si="311"/>
        <v>0</v>
      </c>
      <c r="AL117" s="375">
        <f t="shared" si="311"/>
        <v>0</v>
      </c>
      <c r="AM117" s="375">
        <f t="shared" si="311"/>
        <v>0</v>
      </c>
      <c r="AN117" s="375">
        <f t="shared" si="311"/>
        <v>0</v>
      </c>
      <c r="AO117" s="375">
        <f t="shared" si="311"/>
        <v>0</v>
      </c>
      <c r="AP117" s="375">
        <f t="shared" ref="AP117:BO117" si="312">(AO116)*$AK$3/12</f>
        <v>0</v>
      </c>
      <c r="AQ117" s="375">
        <f t="shared" si="312"/>
        <v>0</v>
      </c>
      <c r="AR117" s="375">
        <f t="shared" si="312"/>
        <v>0</v>
      </c>
      <c r="AS117" s="375">
        <f t="shared" si="312"/>
        <v>0</v>
      </c>
      <c r="AT117" s="375">
        <f t="shared" si="312"/>
        <v>0</v>
      </c>
      <c r="AU117" s="375">
        <f t="shared" si="312"/>
        <v>0</v>
      </c>
      <c r="AV117" s="375">
        <f t="shared" si="312"/>
        <v>0</v>
      </c>
      <c r="AW117" s="375">
        <f t="shared" si="312"/>
        <v>0</v>
      </c>
      <c r="AX117" s="375">
        <f t="shared" si="312"/>
        <v>0</v>
      </c>
      <c r="AY117" s="375">
        <f t="shared" si="312"/>
        <v>0</v>
      </c>
      <c r="AZ117" s="375">
        <f t="shared" si="312"/>
        <v>0</v>
      </c>
      <c r="BA117" s="375">
        <f t="shared" si="312"/>
        <v>0</v>
      </c>
      <c r="BB117" s="375">
        <f t="shared" si="312"/>
        <v>0</v>
      </c>
      <c r="BC117" s="375">
        <f t="shared" si="312"/>
        <v>0</v>
      </c>
      <c r="BD117" s="375">
        <f t="shared" si="312"/>
        <v>0</v>
      </c>
      <c r="BE117" s="375">
        <f>(BD116)*$AK$3/12</f>
        <v>0</v>
      </c>
      <c r="BF117" s="375">
        <f t="shared" si="312"/>
        <v>0</v>
      </c>
      <c r="BG117" s="375">
        <f t="shared" si="312"/>
        <v>0</v>
      </c>
      <c r="BH117" s="375">
        <f t="shared" si="312"/>
        <v>0</v>
      </c>
      <c r="BI117" s="375">
        <f t="shared" si="312"/>
        <v>0</v>
      </c>
      <c r="BJ117" s="375">
        <f t="shared" si="312"/>
        <v>0</v>
      </c>
      <c r="BK117" s="375">
        <f t="shared" si="312"/>
        <v>0</v>
      </c>
      <c r="BL117" s="375">
        <f t="shared" si="312"/>
        <v>0</v>
      </c>
      <c r="BM117" s="375">
        <f>(BL116)*$AK$3/12</f>
        <v>0</v>
      </c>
      <c r="BN117" s="375">
        <f t="shared" si="312"/>
        <v>0</v>
      </c>
      <c r="BO117" s="375">
        <f t="shared" si="312"/>
        <v>0</v>
      </c>
      <c r="BP117" s="375">
        <f>BO116*사업수지표!$BD$82/12</f>
        <v>0</v>
      </c>
      <c r="BQ117" s="375">
        <f>BP116*사업수지표!$BD$82/12</f>
        <v>0</v>
      </c>
      <c r="BR117" s="375"/>
      <c r="BS117" s="375"/>
      <c r="BT117" s="375"/>
      <c r="BU117" s="375"/>
      <c r="BV117" s="375"/>
      <c r="BW117" s="375"/>
      <c r="BX117" s="375"/>
      <c r="BY117" s="695"/>
      <c r="BZ117" s="687"/>
      <c r="CA117" s="688"/>
    </row>
    <row r="118" spans="1:79" s="689" customFormat="1" ht="15" hidden="1" customHeight="1" thickBot="1">
      <c r="A118" s="1465"/>
      <c r="B118" s="665"/>
      <c r="C118" s="665"/>
      <c r="D118" s="1465" t="s">
        <v>387</v>
      </c>
      <c r="E118" s="1465"/>
      <c r="F118" s="1465"/>
      <c r="G118" s="1465"/>
      <c r="H118" s="1465"/>
      <c r="I118" s="1465"/>
      <c r="J118" s="1465"/>
      <c r="K118" s="1465"/>
      <c r="L118" s="1465"/>
      <c r="M118" s="1465"/>
      <c r="N118" s="391"/>
      <c r="O118" s="375"/>
      <c r="P118" s="389" t="e">
        <f>P117*사업수지표!#REF!/12</f>
        <v>#REF!</v>
      </c>
      <c r="Q118" s="375"/>
      <c r="R118" s="375"/>
      <c r="S118" s="375"/>
      <c r="T118" s="375"/>
      <c r="U118" s="375"/>
      <c r="V118" s="375"/>
      <c r="W118" s="375"/>
      <c r="X118" s="389" t="e">
        <f>X117*사업수지표!#REF!/12</f>
        <v>#REF!</v>
      </c>
      <c r="Y118" s="389" t="e">
        <f>Y117*사업수지표!#REF!/12</f>
        <v>#REF!</v>
      </c>
      <c r="Z118" s="375"/>
      <c r="AA118" s="375"/>
      <c r="AB118" s="375"/>
      <c r="AC118" s="375"/>
      <c r="AD118" s="375"/>
      <c r="AE118" s="375"/>
      <c r="AF118" s="375"/>
      <c r="AG118" s="375"/>
      <c r="AH118" s="389" t="e">
        <f>AH117*사업수지표!#REF!/12</f>
        <v>#REF!</v>
      </c>
      <c r="AI118" s="389" t="e">
        <f>AI117*사업수지표!#REF!/12</f>
        <v>#REF!</v>
      </c>
      <c r="AJ118" s="389" t="e">
        <f>AJ117*사업수지표!#REF!/12</f>
        <v>#REF!</v>
      </c>
      <c r="AK118" s="389" t="e">
        <f>AK117*사업수지표!#REF!/12</f>
        <v>#REF!</v>
      </c>
      <c r="AL118" s="389" t="e">
        <f>AL117*사업수지표!#REF!/12</f>
        <v>#REF!</v>
      </c>
      <c r="AM118" s="389" t="e">
        <f>AM117*사업수지표!#REF!/12</f>
        <v>#REF!</v>
      </c>
      <c r="AN118" s="389" t="e">
        <f>AN117*사업수지표!#REF!/12</f>
        <v>#REF!</v>
      </c>
      <c r="AO118" s="389" t="e">
        <f>AO117*사업수지표!#REF!/12</f>
        <v>#REF!</v>
      </c>
      <c r="AP118" s="389" t="e">
        <f>AP117*사업수지표!#REF!/12</f>
        <v>#REF!</v>
      </c>
      <c r="AQ118" s="389" t="e">
        <f>AQ117*사업수지표!#REF!/12</f>
        <v>#REF!</v>
      </c>
      <c r="AR118" s="389" t="e">
        <f>AR117*사업수지표!#REF!/12</f>
        <v>#REF!</v>
      </c>
      <c r="AS118" s="389" t="e">
        <f>AS117*사업수지표!#REF!/12</f>
        <v>#REF!</v>
      </c>
      <c r="AT118" s="389" t="e">
        <f>AT117*사업수지표!#REF!/12</f>
        <v>#REF!</v>
      </c>
      <c r="AU118" s="389" t="e">
        <f>AU117*사업수지표!#REF!/12</f>
        <v>#REF!</v>
      </c>
      <c r="AV118" s="389" t="e">
        <f>AV117*사업수지표!#REF!/12</f>
        <v>#REF!</v>
      </c>
      <c r="AW118" s="389" t="e">
        <f>AW117*사업수지표!#REF!/12</f>
        <v>#REF!</v>
      </c>
      <c r="AX118" s="389" t="e">
        <f>AX117*사업수지표!#REF!/12</f>
        <v>#REF!</v>
      </c>
      <c r="AY118" s="389" t="e">
        <f>AY117*사업수지표!#REF!/12</f>
        <v>#REF!</v>
      </c>
      <c r="AZ118" s="389" t="e">
        <f>AZ117*사업수지표!#REF!/12</f>
        <v>#REF!</v>
      </c>
      <c r="BA118" s="389" t="e">
        <f>BA117*사업수지표!#REF!/12</f>
        <v>#REF!</v>
      </c>
      <c r="BB118" s="389" t="e">
        <f>BB117*사업수지표!#REF!/12</f>
        <v>#REF!</v>
      </c>
      <c r="BC118" s="389" t="e">
        <f>BC117*사업수지표!#REF!/12</f>
        <v>#REF!</v>
      </c>
      <c r="BD118" s="389" t="e">
        <f>BD117*사업수지표!#REF!/12</f>
        <v>#REF!</v>
      </c>
      <c r="BE118" s="389" t="e">
        <f>BE117*사업수지표!#REF!/12</f>
        <v>#REF!</v>
      </c>
      <c r="BF118" s="389" t="e">
        <f>BF117*사업수지표!#REF!/12</f>
        <v>#REF!</v>
      </c>
      <c r="BG118" s="389" t="e">
        <f>BG117*사업수지표!#REF!/12</f>
        <v>#REF!</v>
      </c>
      <c r="BH118" s="389" t="e">
        <f>BH117*사업수지표!#REF!/12</f>
        <v>#REF!</v>
      </c>
      <c r="BI118" s="389" t="e">
        <f>BI117*사업수지표!#REF!/12</f>
        <v>#REF!</v>
      </c>
      <c r="BJ118" s="389" t="e">
        <f>BJ117*사업수지표!#REF!/12</f>
        <v>#REF!</v>
      </c>
      <c r="BK118" s="389" t="e">
        <f>BK117*사업수지표!#REF!/12</f>
        <v>#REF!</v>
      </c>
      <c r="BL118" s="389" t="e">
        <f>BL117*사업수지표!#REF!/12</f>
        <v>#REF!</v>
      </c>
      <c r="BM118" s="389" t="e">
        <f>BM117*사업수지표!#REF!/12</f>
        <v>#REF!</v>
      </c>
      <c r="BN118" s="389" t="e">
        <f>BN117*사업수지표!#REF!/12</f>
        <v>#REF!</v>
      </c>
      <c r="BO118" s="389" t="e">
        <f>BO117*사업수지표!#REF!/12</f>
        <v>#REF!</v>
      </c>
      <c r="BP118" s="389" t="e">
        <f>BP117*사업수지표!#REF!/12</f>
        <v>#REF!</v>
      </c>
      <c r="BQ118" s="389" t="e">
        <f>BQ117*사업수지표!#REF!/12</f>
        <v>#REF!</v>
      </c>
      <c r="BR118" s="389" t="e">
        <f>BR117*사업수지표!#REF!/12</f>
        <v>#REF!</v>
      </c>
      <c r="BS118" s="389" t="e">
        <f>BS117*사업수지표!#REF!/12</f>
        <v>#REF!</v>
      </c>
      <c r="BT118" s="389" t="e">
        <f>BT117*사업수지표!#REF!/12</f>
        <v>#REF!</v>
      </c>
      <c r="BU118" s="501"/>
      <c r="BV118" s="501"/>
      <c r="BW118" s="501"/>
      <c r="BX118" s="501"/>
      <c r="BY118" s="695"/>
      <c r="BZ118" s="687"/>
      <c r="CA118" s="688"/>
    </row>
    <row r="119" spans="1:79" s="64" customFormat="1" ht="15" customHeight="1" thickBot="1">
      <c r="A119" s="61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115"/>
      <c r="CA119" s="75"/>
    </row>
    <row r="120" spans="1:79" s="64" customFormat="1" ht="15" customHeight="1" thickBot="1">
      <c r="A120" s="1555" t="s">
        <v>81</v>
      </c>
      <c r="B120" s="1621" t="s">
        <v>59</v>
      </c>
      <c r="C120" s="1621"/>
      <c r="D120" s="1621"/>
      <c r="E120" s="1622"/>
      <c r="F120" s="1622"/>
      <c r="G120" s="1621"/>
      <c r="H120" s="1621"/>
      <c r="I120" s="1621"/>
      <c r="J120" s="1621"/>
      <c r="K120" s="1621"/>
      <c r="L120" s="1621"/>
      <c r="M120" s="1621"/>
      <c r="N120" s="78"/>
      <c r="O120" s="88">
        <f>O43+O105+O109+O114</f>
        <v>6585203</v>
      </c>
      <c r="P120" s="88">
        <f>P43+P105+P109+P114</f>
        <v>149000000</v>
      </c>
      <c r="Q120" s="88">
        <f t="shared" ref="Q120:Z120" si="313">Q43+Q105+Q109+Q114</f>
        <v>0</v>
      </c>
      <c r="R120" s="88">
        <f t="shared" si="313"/>
        <v>0</v>
      </c>
      <c r="S120" s="88">
        <f t="shared" si="313"/>
        <v>0</v>
      </c>
      <c r="T120" s="88">
        <f t="shared" si="313"/>
        <v>0</v>
      </c>
      <c r="U120" s="88">
        <f t="shared" si="313"/>
        <v>0</v>
      </c>
      <c r="V120" s="88">
        <f t="shared" si="313"/>
        <v>0</v>
      </c>
      <c r="W120" s="88">
        <f t="shared" si="313"/>
        <v>0</v>
      </c>
      <c r="X120" s="88">
        <f t="shared" si="313"/>
        <v>0</v>
      </c>
      <c r="Y120" s="88">
        <f t="shared" si="313"/>
        <v>0</v>
      </c>
      <c r="Z120" s="88">
        <f t="shared" si="313"/>
        <v>0</v>
      </c>
      <c r="AA120" s="88">
        <f t="shared" ref="AA120:BP120" si="314">AA43+AA105+AA109</f>
        <v>18190066.785</v>
      </c>
      <c r="AB120" s="88">
        <f t="shared" ref="AB120:AH120" si="315">AB43+AB105+AB109</f>
        <v>9095033.3925000001</v>
      </c>
      <c r="AC120" s="88">
        <f t="shared" si="315"/>
        <v>4547516.69625</v>
      </c>
      <c r="AD120" s="88">
        <f t="shared" si="315"/>
        <v>4547516.69625</v>
      </c>
      <c r="AE120" s="88">
        <f t="shared" si="315"/>
        <v>9095033.3925000001</v>
      </c>
      <c r="AF120" s="88">
        <f t="shared" si="315"/>
        <v>2728510.0177499996</v>
      </c>
      <c r="AG120" s="88">
        <f t="shared" si="315"/>
        <v>49560840.337250002</v>
      </c>
      <c r="AH120" s="88">
        <f t="shared" si="315"/>
        <v>7110146.7139999997</v>
      </c>
      <c r="AI120" s="88">
        <f t="shared" si="314"/>
        <v>5332610.0354999993</v>
      </c>
      <c r="AJ120" s="88">
        <f t="shared" si="314"/>
        <v>8887683.3925000001</v>
      </c>
      <c r="AK120" s="88">
        <f t="shared" si="314"/>
        <v>8887683.3925000001</v>
      </c>
      <c r="AL120" s="88">
        <f t="shared" si="314"/>
        <v>5332610.0354999993</v>
      </c>
      <c r="AM120" s="88">
        <f t="shared" si="314"/>
        <v>73039210.497000024</v>
      </c>
      <c r="AN120" s="88">
        <f t="shared" si="314"/>
        <v>10582280.070999999</v>
      </c>
      <c r="AO120" s="88">
        <f t="shared" si="314"/>
        <v>10582280.070999999</v>
      </c>
      <c r="AP120" s="88">
        <f t="shared" si="314"/>
        <v>7936710.0532499989</v>
      </c>
      <c r="AQ120" s="88">
        <f t="shared" si="314"/>
        <v>8088229.7432499994</v>
      </c>
      <c r="AR120" s="88">
        <f t="shared" si="314"/>
        <v>2683449.9402499995</v>
      </c>
      <c r="AS120" s="88">
        <f t="shared" si="314"/>
        <v>84278583.829750031</v>
      </c>
      <c r="AT120" s="88">
        <f t="shared" si="314"/>
        <v>3551483.2794999997</v>
      </c>
      <c r="AU120" s="88">
        <f t="shared" si="314"/>
        <v>3551483.2794999997</v>
      </c>
      <c r="AV120" s="88">
        <f t="shared" si="314"/>
        <v>3892402.5819999999</v>
      </c>
      <c r="AW120" s="88">
        <f t="shared" si="314"/>
        <v>3589363.202</v>
      </c>
      <c r="AX120" s="88">
        <f t="shared" si="314"/>
        <v>3589363.202</v>
      </c>
      <c r="AY120" s="88">
        <f t="shared" si="314"/>
        <v>86086820.275750026</v>
      </c>
      <c r="AZ120" s="88">
        <f t="shared" si="314"/>
        <v>75759.845000000016</v>
      </c>
      <c r="BA120" s="88">
        <f t="shared" si="314"/>
        <v>643958.6825</v>
      </c>
      <c r="BB120" s="88">
        <f t="shared" si="314"/>
        <v>113639.76750000002</v>
      </c>
      <c r="BC120" s="88">
        <f t="shared" si="314"/>
        <v>113639.76750000002</v>
      </c>
      <c r="BD120" s="88">
        <f t="shared" si="314"/>
        <v>113639.76750000002</v>
      </c>
      <c r="BE120" s="88">
        <f t="shared" si="314"/>
        <v>86617139.190750033</v>
      </c>
      <c r="BF120" s="88">
        <f t="shared" si="314"/>
        <v>151519.69000000003</v>
      </c>
      <c r="BG120" s="88">
        <f t="shared" si="314"/>
        <v>0</v>
      </c>
      <c r="BH120" s="88">
        <f t="shared" si="314"/>
        <v>151519.69000000003</v>
      </c>
      <c r="BI120" s="88">
        <f t="shared" si="314"/>
        <v>92810602.41050005</v>
      </c>
      <c r="BJ120" s="88">
        <f t="shared" si="314"/>
        <v>0</v>
      </c>
      <c r="BK120" s="88">
        <f t="shared" si="314"/>
        <v>0</v>
      </c>
      <c r="BL120" s="88">
        <f t="shared" si="314"/>
        <v>150760497.01249999</v>
      </c>
      <c r="BM120" s="88">
        <f t="shared" si="314"/>
        <v>150760497.01249999</v>
      </c>
      <c r="BN120" s="88">
        <f t="shared" si="314"/>
        <v>0</v>
      </c>
      <c r="BO120" s="88">
        <f t="shared" si="314"/>
        <v>0</v>
      </c>
      <c r="BP120" s="88">
        <f t="shared" si="314"/>
        <v>0</v>
      </c>
      <c r="BQ120" s="88">
        <f>BQ43+BQ105+BQ109+BQ114</f>
        <v>0</v>
      </c>
      <c r="BR120" s="88">
        <f>BR43+BR105+BR109+BR114</f>
        <v>0</v>
      </c>
      <c r="BS120" s="88">
        <f>SUM(BG110,BL110)+BS43+BS105+BS109+BS114</f>
        <v>0</v>
      </c>
      <c r="BT120" s="88">
        <f t="shared" ref="BT120:BY120" si="316">BT43+BT105+BT109+BT114</f>
        <v>0</v>
      </c>
      <c r="BU120" s="88">
        <f t="shared" si="316"/>
        <v>0</v>
      </c>
      <c r="BV120" s="88">
        <f t="shared" si="316"/>
        <v>0</v>
      </c>
      <c r="BW120" s="88">
        <f t="shared" si="316"/>
        <v>0</v>
      </c>
      <c r="BX120" s="88">
        <f t="shared" si="316"/>
        <v>0</v>
      </c>
      <c r="BY120" s="88">
        <f t="shared" si="316"/>
        <v>917079323.75000024</v>
      </c>
      <c r="BZ120" s="115"/>
      <c r="CA120" s="75"/>
    </row>
    <row r="121" spans="1:79" s="64" customFormat="1" ht="15" customHeight="1" thickBot="1">
      <c r="A121" s="1556"/>
      <c r="B121" s="1615" t="s">
        <v>327</v>
      </c>
      <c r="C121" s="1613"/>
      <c r="D121" s="1613"/>
      <c r="E121" s="1616">
        <v>37</v>
      </c>
      <c r="F121" s="1617"/>
      <c r="G121" s="1613" t="s">
        <v>330</v>
      </c>
      <c r="H121" s="1613"/>
      <c r="I121" s="1613"/>
      <c r="J121" s="1614"/>
      <c r="K121" s="1615" t="s">
        <v>331</v>
      </c>
      <c r="L121" s="1613"/>
      <c r="M121" s="1614"/>
      <c r="N121" s="536"/>
      <c r="O121" s="536"/>
      <c r="P121" s="537"/>
      <c r="Q121" s="537"/>
      <c r="R121" s="537"/>
      <c r="S121" s="537"/>
      <c r="T121" s="537"/>
      <c r="U121" s="537"/>
      <c r="V121" s="537"/>
      <c r="W121" s="537"/>
      <c r="X121" s="537"/>
      <c r="Y121" s="537"/>
      <c r="Z121" s="537"/>
      <c r="AA121" s="537"/>
      <c r="AB121" s="537"/>
      <c r="AC121" s="537"/>
      <c r="AD121" s="537"/>
      <c r="AE121" s="537"/>
      <c r="AF121" s="537"/>
      <c r="AG121" s="537"/>
      <c r="AH121" s="537"/>
      <c r="AI121" s="537"/>
      <c r="AJ121" s="537"/>
      <c r="AK121" s="537"/>
      <c r="AL121" s="537"/>
      <c r="AM121" s="537"/>
      <c r="AN121" s="537"/>
      <c r="AO121" s="537"/>
      <c r="AP121" s="537"/>
      <c r="AQ121" s="537"/>
      <c r="AR121" s="537"/>
      <c r="AS121" s="537"/>
      <c r="AT121" s="537"/>
      <c r="AU121" s="537"/>
      <c r="AV121" s="537"/>
      <c r="AW121" s="537"/>
      <c r="AX121" s="537"/>
      <c r="AY121" s="537"/>
      <c r="AZ121" s="537"/>
      <c r="BA121" s="537"/>
      <c r="BB121" s="537"/>
      <c r="BC121" s="537"/>
      <c r="BD121" s="537"/>
      <c r="BE121" s="537"/>
      <c r="BF121" s="537"/>
      <c r="BG121" s="537"/>
      <c r="BH121" s="537"/>
      <c r="BI121" s="537"/>
      <c r="BJ121" s="537"/>
      <c r="BK121" s="537"/>
      <c r="BL121" s="537"/>
      <c r="BM121" s="537"/>
      <c r="BN121" s="537"/>
      <c r="BO121" s="537"/>
      <c r="BP121" s="537"/>
      <c r="BQ121" s="537"/>
      <c r="BR121" s="537"/>
      <c r="BS121" s="537"/>
      <c r="BT121" s="537"/>
      <c r="BU121" s="537"/>
      <c r="BV121" s="537"/>
      <c r="BW121" s="537"/>
      <c r="BX121" s="537"/>
      <c r="BY121" s="537"/>
      <c r="BZ121" s="115"/>
      <c r="CA121" s="75"/>
    </row>
    <row r="122" spans="1:79" s="64" customFormat="1" ht="15" customHeight="1">
      <c r="A122" s="1556"/>
      <c r="B122" s="1611" t="s">
        <v>326</v>
      </c>
      <c r="C122" s="1611"/>
      <c r="D122" s="1611"/>
      <c r="E122" s="1612"/>
      <c r="F122" s="1612"/>
      <c r="G122" s="1610">
        <f>1-G123</f>
        <v>1</v>
      </c>
      <c r="H122" s="1611"/>
      <c r="I122" s="1611"/>
      <c r="J122" s="1611"/>
      <c r="K122" s="1609"/>
      <c r="L122" s="1609"/>
      <c r="M122" s="1609"/>
      <c r="N122" s="538"/>
      <c r="O122" s="539">
        <f t="shared" ref="O122:BK122" si="317">O120-O123</f>
        <v>6585203</v>
      </c>
      <c r="P122" s="539">
        <f t="shared" si="317"/>
        <v>149000000</v>
      </c>
      <c r="Q122" s="539">
        <f t="shared" si="317"/>
        <v>0</v>
      </c>
      <c r="R122" s="539">
        <f t="shared" si="317"/>
        <v>0</v>
      </c>
      <c r="S122" s="539">
        <f t="shared" si="317"/>
        <v>0</v>
      </c>
      <c r="T122" s="539">
        <f t="shared" si="317"/>
        <v>0</v>
      </c>
      <c r="U122" s="539">
        <f t="shared" si="317"/>
        <v>0</v>
      </c>
      <c r="V122" s="539">
        <f t="shared" si="317"/>
        <v>0</v>
      </c>
      <c r="W122" s="539">
        <f t="shared" si="317"/>
        <v>0</v>
      </c>
      <c r="X122" s="539">
        <f t="shared" si="317"/>
        <v>0</v>
      </c>
      <c r="Y122" s="539">
        <f t="shared" si="317"/>
        <v>0</v>
      </c>
      <c r="Z122" s="539">
        <f t="shared" si="317"/>
        <v>0</v>
      </c>
      <c r="AA122" s="539">
        <f t="shared" ref="AA122:AH122" si="318">AA120-AA123</f>
        <v>18190066.785</v>
      </c>
      <c r="AB122" s="539">
        <f t="shared" si="318"/>
        <v>9095033.3925000001</v>
      </c>
      <c r="AC122" s="539">
        <f t="shared" si="318"/>
        <v>4547516.69625</v>
      </c>
      <c r="AD122" s="539">
        <f t="shared" si="318"/>
        <v>4547516.69625</v>
      </c>
      <c r="AE122" s="539">
        <f t="shared" si="318"/>
        <v>9095033.3925000001</v>
      </c>
      <c r="AF122" s="539">
        <f t="shared" si="318"/>
        <v>2728510.0177499996</v>
      </c>
      <c r="AG122" s="539">
        <f t="shared" si="318"/>
        <v>49560840.337250002</v>
      </c>
      <c r="AH122" s="539">
        <f t="shared" si="318"/>
        <v>7110146.7139999997</v>
      </c>
      <c r="AI122" s="539">
        <f t="shared" si="317"/>
        <v>5332610.0354999993</v>
      </c>
      <c r="AJ122" s="539">
        <f t="shared" si="317"/>
        <v>8887683.3925000001</v>
      </c>
      <c r="AK122" s="539">
        <f t="shared" si="317"/>
        <v>8887683.3925000001</v>
      </c>
      <c r="AL122" s="539">
        <f t="shared" si="317"/>
        <v>5332610.0354999993</v>
      </c>
      <c r="AM122" s="539">
        <f t="shared" si="317"/>
        <v>73039210.497000024</v>
      </c>
      <c r="AN122" s="539">
        <f t="shared" si="317"/>
        <v>10582280.070999999</v>
      </c>
      <c r="AO122" s="539">
        <f t="shared" si="317"/>
        <v>10582280.070999999</v>
      </c>
      <c r="AP122" s="539">
        <f t="shared" si="317"/>
        <v>7936710.0532499989</v>
      </c>
      <c r="AQ122" s="539">
        <f t="shared" si="317"/>
        <v>8088229.7432499994</v>
      </c>
      <c r="AR122" s="539">
        <f t="shared" si="317"/>
        <v>2683449.9402499995</v>
      </c>
      <c r="AS122" s="539">
        <f t="shared" si="317"/>
        <v>84278583.829750031</v>
      </c>
      <c r="AT122" s="539">
        <f t="shared" si="317"/>
        <v>3551483.2794999997</v>
      </c>
      <c r="AU122" s="539">
        <f t="shared" si="317"/>
        <v>3551483.2794999997</v>
      </c>
      <c r="AV122" s="539">
        <f t="shared" si="317"/>
        <v>3892402.5819999999</v>
      </c>
      <c r="AW122" s="539">
        <f t="shared" si="317"/>
        <v>3589363.202</v>
      </c>
      <c r="AX122" s="539">
        <f t="shared" si="317"/>
        <v>3589363.202</v>
      </c>
      <c r="AY122" s="539">
        <f t="shared" si="317"/>
        <v>86086820.275750026</v>
      </c>
      <c r="AZ122" s="539">
        <f t="shared" si="317"/>
        <v>75759.845000000016</v>
      </c>
      <c r="BA122" s="539">
        <f t="shared" si="317"/>
        <v>643958.6825</v>
      </c>
      <c r="BB122" s="539">
        <f t="shared" si="317"/>
        <v>113639.76750000002</v>
      </c>
      <c r="BC122" s="539">
        <f t="shared" si="317"/>
        <v>113639.76750000002</v>
      </c>
      <c r="BD122" s="539">
        <f t="shared" si="317"/>
        <v>113639.76750000002</v>
      </c>
      <c r="BE122" s="539">
        <f t="shared" si="317"/>
        <v>86617139.190750033</v>
      </c>
      <c r="BF122" s="539">
        <f t="shared" si="317"/>
        <v>151519.69000000003</v>
      </c>
      <c r="BG122" s="539">
        <f t="shared" si="317"/>
        <v>0</v>
      </c>
      <c r="BH122" s="539">
        <f t="shared" si="317"/>
        <v>151519.69000000003</v>
      </c>
      <c r="BI122" s="539">
        <f t="shared" si="317"/>
        <v>92810602.41050005</v>
      </c>
      <c r="BJ122" s="539">
        <f t="shared" si="317"/>
        <v>0</v>
      </c>
      <c r="BK122" s="539">
        <f t="shared" si="317"/>
        <v>0</v>
      </c>
      <c r="BL122" s="539">
        <f>BL120-BL123</f>
        <v>150760497.01249999</v>
      </c>
      <c r="BM122" s="539">
        <f t="shared" ref="BM122:BT122" si="319">BM120-BM123</f>
        <v>0</v>
      </c>
      <c r="BN122" s="539">
        <f t="shared" ref="BN122" si="320">BN120-BN123</f>
        <v>0</v>
      </c>
      <c r="BO122" s="539">
        <f t="shared" si="319"/>
        <v>0</v>
      </c>
      <c r="BP122" s="539">
        <f t="shared" si="319"/>
        <v>0</v>
      </c>
      <c r="BQ122" s="539">
        <f t="shared" si="319"/>
        <v>0</v>
      </c>
      <c r="BR122" s="539">
        <f t="shared" si="319"/>
        <v>0</v>
      </c>
      <c r="BS122" s="539">
        <f t="shared" si="319"/>
        <v>0</v>
      </c>
      <c r="BT122" s="539">
        <f t="shared" si="319"/>
        <v>0</v>
      </c>
      <c r="BU122" s="539">
        <f>IF(BU5&lt;26, (BU23+BU39+BU40)+BU105+(BU109+BU114), BU40+BU23*$K$122+BU39+BU105+BU109+BU114)</f>
        <v>0</v>
      </c>
      <c r="BV122" s="539">
        <f>IF(BV5&lt;26, (BV23+BV39+BV40)+BV105+(BV109+BV114), BV40+BV23*$K$122+BV39+BV105+BV109+BV114)</f>
        <v>0</v>
      </c>
      <c r="BW122" s="539">
        <f>IF(BW5&lt;26, (BW23+BW39+BW40)+BW105+(BW109+BW114), BW40+BW23*$K$122+BW39+BW105+BW109+BW114)</f>
        <v>0</v>
      </c>
      <c r="BX122" s="539">
        <f>IF(BX5&lt;26, (BX23+BX39+BX40)+BX105+(BX109+BX114), BX40+BX23*$K$122+BX39+BX105+BX109+BX114)</f>
        <v>0</v>
      </c>
      <c r="BY122" s="539"/>
      <c r="BZ122" s="115"/>
      <c r="CA122" s="75"/>
    </row>
    <row r="123" spans="1:79" s="64" customFormat="1" ht="15" customHeight="1">
      <c r="A123" s="1556"/>
      <c r="B123" s="1611" t="s">
        <v>332</v>
      </c>
      <c r="C123" s="1611"/>
      <c r="D123" s="1611"/>
      <c r="E123" s="1611"/>
      <c r="F123" s="1611"/>
      <c r="G123" s="1610">
        <v>0</v>
      </c>
      <c r="H123" s="1611"/>
      <c r="I123" s="1611"/>
      <c r="J123" s="1611"/>
      <c r="K123" s="1609">
        <v>1</v>
      </c>
      <c r="L123" s="1609"/>
      <c r="M123" s="1609"/>
      <c r="N123" s="540"/>
      <c r="O123" s="540"/>
      <c r="P123" s="539"/>
      <c r="Q123" s="539"/>
      <c r="R123" s="539"/>
      <c r="S123" s="539"/>
      <c r="T123" s="539"/>
      <c r="U123" s="539"/>
      <c r="V123" s="539"/>
      <c r="W123" s="539"/>
      <c r="X123" s="539"/>
      <c r="Y123" s="539"/>
      <c r="Z123" s="539"/>
      <c r="AA123" s="539"/>
      <c r="AB123" s="539"/>
      <c r="AC123" s="539"/>
      <c r="AD123" s="539"/>
      <c r="AE123" s="539"/>
      <c r="AF123" s="539"/>
      <c r="AG123" s="539"/>
      <c r="AH123" s="539"/>
      <c r="AI123" s="539"/>
      <c r="AJ123" s="539"/>
      <c r="AK123" s="539"/>
      <c r="AL123" s="539"/>
      <c r="AM123" s="539"/>
      <c r="AN123" s="539"/>
      <c r="AO123" s="539"/>
      <c r="AP123" s="539"/>
      <c r="AQ123" s="539"/>
      <c r="AR123" s="539"/>
      <c r="AS123" s="539"/>
      <c r="AT123" s="539"/>
      <c r="AU123" s="539"/>
      <c r="AV123" s="539"/>
      <c r="AW123" s="539"/>
      <c r="AX123" s="539"/>
      <c r="AY123" s="539"/>
      <c r="AZ123" s="539"/>
      <c r="BA123" s="539"/>
      <c r="BB123" s="539"/>
      <c r="BC123" s="539"/>
      <c r="BD123" s="539"/>
      <c r="BE123" s="539"/>
      <c r="BF123" s="539"/>
      <c r="BG123" s="539"/>
      <c r="BH123" s="539"/>
      <c r="BI123" s="539"/>
      <c r="BJ123" s="539"/>
      <c r="BK123" s="539"/>
      <c r="BL123" s="539"/>
      <c r="BM123" s="539">
        <f>BM120</f>
        <v>150760497.01249999</v>
      </c>
      <c r="BN123" s="539">
        <f>BN120</f>
        <v>0</v>
      </c>
      <c r="BO123" s="539">
        <f>BO120</f>
        <v>0</v>
      </c>
      <c r="BP123" s="539">
        <f>BP120</f>
        <v>0</v>
      </c>
      <c r="BQ123" s="539">
        <f>BQ120</f>
        <v>0</v>
      </c>
      <c r="BR123" s="539"/>
      <c r="BS123" s="539"/>
      <c r="BT123" s="539"/>
      <c r="BU123" s="539"/>
      <c r="BV123" s="539"/>
      <c r="BW123" s="539"/>
      <c r="BX123" s="539"/>
      <c r="BY123" s="539"/>
      <c r="BZ123" s="115"/>
      <c r="CA123" s="75"/>
    </row>
    <row r="124" spans="1:79" s="64" customFormat="1" ht="15" customHeight="1">
      <c r="A124" s="1557"/>
      <c r="B124" s="1605" t="s">
        <v>60</v>
      </c>
      <c r="C124" s="1605"/>
      <c r="D124" s="1605"/>
      <c r="E124" s="1605"/>
      <c r="F124" s="1605"/>
      <c r="G124" s="1605"/>
      <c r="H124" s="1605"/>
      <c r="I124" s="1605"/>
      <c r="J124" s="1605"/>
      <c r="K124" s="1605"/>
      <c r="L124" s="1605"/>
      <c r="M124" s="1605"/>
      <c r="N124" s="77"/>
      <c r="O124" s="89">
        <f>O102+O106+O110+O115</f>
        <v>6585203</v>
      </c>
      <c r="P124" s="89">
        <f>P102+P106+P110+P115</f>
        <v>148069288.39525002</v>
      </c>
      <c r="Q124" s="89">
        <f t="shared" ref="Q124:W124" si="321">Q102+Q106+Q110</f>
        <v>0</v>
      </c>
      <c r="R124" s="89">
        <f t="shared" si="321"/>
        <v>0</v>
      </c>
      <c r="S124" s="89">
        <f t="shared" si="321"/>
        <v>0</v>
      </c>
      <c r="T124" s="89">
        <f t="shared" si="321"/>
        <v>0</v>
      </c>
      <c r="U124" s="89">
        <f t="shared" si="321"/>
        <v>0</v>
      </c>
      <c r="V124" s="89">
        <f t="shared" si="321"/>
        <v>0</v>
      </c>
      <c r="W124" s="89">
        <f t="shared" si="321"/>
        <v>0</v>
      </c>
      <c r="X124" s="89">
        <f>X102+X106+X110</f>
        <v>1139964.4221625</v>
      </c>
      <c r="Y124" s="89">
        <f t="shared" ref="Y124:BW124" si="322">Y102+Y106+Y110</f>
        <v>890337.12307399604</v>
      </c>
      <c r="Z124" s="89">
        <f t="shared" si="322"/>
        <v>1983376.2438359004</v>
      </c>
      <c r="AA124" s="89">
        <f t="shared" si="322"/>
        <v>14070301.533396112</v>
      </c>
      <c r="AB124" s="89">
        <f t="shared" ref="AB124:AH124" si="323">AB102+AB106+AB110</f>
        <v>4553554.4560317919</v>
      </c>
      <c r="AC124" s="89">
        <f t="shared" si="323"/>
        <v>4713774.1343717473</v>
      </c>
      <c r="AD124" s="89">
        <f t="shared" si="323"/>
        <v>4713774.1343717473</v>
      </c>
      <c r="AE124" s="89">
        <f t="shared" si="323"/>
        <v>5506493.8127117045</v>
      </c>
      <c r="AF124" s="89">
        <f t="shared" si="323"/>
        <v>5506493.8127117045</v>
      </c>
      <c r="AG124" s="89">
        <f t="shared" si="323"/>
        <v>8688293.0085615963</v>
      </c>
      <c r="AH124" s="89">
        <f t="shared" si="323"/>
        <v>18595399.380461596</v>
      </c>
      <c r="AI124" s="89">
        <f t="shared" si="322"/>
        <v>8775192.6342991553</v>
      </c>
      <c r="AJ124" s="89">
        <f t="shared" si="322"/>
        <v>9317677.5870715305</v>
      </c>
      <c r="AK124" s="89">
        <f t="shared" si="322"/>
        <v>10567722.135081464</v>
      </c>
      <c r="AL124" s="89">
        <f t="shared" si="322"/>
        <v>16184840.97915384</v>
      </c>
      <c r="AM124" s="89">
        <f t="shared" si="322"/>
        <v>13639370.015668923</v>
      </c>
      <c r="AN124" s="89">
        <f t="shared" si="322"/>
        <v>10297697.265261922</v>
      </c>
      <c r="AO124" s="89">
        <f t="shared" si="322"/>
        <v>13067565.46949725</v>
      </c>
      <c r="AP124" s="89">
        <f t="shared" si="322"/>
        <v>14606576.052684251</v>
      </c>
      <c r="AQ124" s="89">
        <f t="shared" si="322"/>
        <v>17649127.0527835</v>
      </c>
      <c r="AR124" s="89">
        <f t="shared" si="322"/>
        <v>12847791.48784475</v>
      </c>
      <c r="AS124" s="89">
        <f t="shared" si="322"/>
        <v>12101024.128823126</v>
      </c>
      <c r="AT124" s="89">
        <f t="shared" si="322"/>
        <v>12275707.572895501</v>
      </c>
      <c r="AU124" s="89">
        <f t="shared" si="322"/>
        <v>13947360.951609584</v>
      </c>
      <c r="AV124" s="89">
        <f t="shared" si="322"/>
        <v>20277373.512934707</v>
      </c>
      <c r="AW124" s="89">
        <f t="shared" si="322"/>
        <v>13213858.610480582</v>
      </c>
      <c r="AX124" s="89">
        <f t="shared" si="322"/>
        <v>13910029.799083458</v>
      </c>
      <c r="AY124" s="89">
        <f t="shared" si="322"/>
        <v>14639966.499417918</v>
      </c>
      <c r="AZ124" s="89">
        <f t="shared" si="322"/>
        <v>15447951.728409918</v>
      </c>
      <c r="BA124" s="89">
        <f t="shared" si="322"/>
        <v>21790758.978365622</v>
      </c>
      <c r="BB124" s="89">
        <f t="shared" si="322"/>
        <v>14834514.302138621</v>
      </c>
      <c r="BC124" s="89">
        <f t="shared" si="322"/>
        <v>15627499.139936082</v>
      </c>
      <c r="BD124" s="89">
        <f t="shared" si="322"/>
        <v>15414559.407621207</v>
      </c>
      <c r="BE124" s="89">
        <f t="shared" si="322"/>
        <v>21500417.375826083</v>
      </c>
      <c r="BF124" s="89">
        <f t="shared" si="322"/>
        <v>15931189.446018707</v>
      </c>
      <c r="BG124" s="89">
        <f t="shared" si="322"/>
        <v>16053612.968963955</v>
      </c>
      <c r="BH124" s="89">
        <f t="shared" si="322"/>
        <v>15742185.877960656</v>
      </c>
      <c r="BI124" s="89">
        <f t="shared" si="322"/>
        <v>22532703.25452625</v>
      </c>
      <c r="BJ124" s="89">
        <f t="shared" si="322"/>
        <v>17375286.932665206</v>
      </c>
      <c r="BK124" s="89">
        <f t="shared" si="322"/>
        <v>17433805.440366756</v>
      </c>
      <c r="BL124" s="89">
        <f t="shared" si="322"/>
        <v>19152151.312002003</v>
      </c>
      <c r="BM124" s="89">
        <f t="shared" si="322"/>
        <v>1398299.1878900002</v>
      </c>
      <c r="BN124" s="89">
        <f t="shared" si="322"/>
        <v>142198841.52076423</v>
      </c>
      <c r="BO124" s="89">
        <f t="shared" si="322"/>
        <v>149000000</v>
      </c>
      <c r="BP124" s="89">
        <f t="shared" si="322"/>
        <v>0</v>
      </c>
      <c r="BQ124" s="89">
        <f t="shared" si="322"/>
        <v>0</v>
      </c>
      <c r="BR124" s="89">
        <f t="shared" si="322"/>
        <v>0</v>
      </c>
      <c r="BS124" s="89">
        <f t="shared" si="322"/>
        <v>0</v>
      </c>
      <c r="BT124" s="89">
        <f t="shared" si="322"/>
        <v>0</v>
      </c>
      <c r="BU124" s="89">
        <f t="shared" si="322"/>
        <v>0</v>
      </c>
      <c r="BV124" s="89">
        <f t="shared" si="322"/>
        <v>0</v>
      </c>
      <c r="BW124" s="89">
        <f t="shared" si="322"/>
        <v>0</v>
      </c>
      <c r="BX124" s="89">
        <f>BX102+BX106+BX110+BX115</f>
        <v>0</v>
      </c>
      <c r="BY124" s="89">
        <f>BY102+BY106+BY110+BY115</f>
        <v>824768912.08498752</v>
      </c>
      <c r="BZ124" s="115"/>
      <c r="CA124" s="75"/>
    </row>
    <row r="125" spans="1:79" s="64" customFormat="1" ht="15" customHeight="1" thickBot="1">
      <c r="A125" s="1558"/>
      <c r="B125" s="1560" t="s">
        <v>82</v>
      </c>
      <c r="C125" s="1560"/>
      <c r="D125" s="1560"/>
      <c r="E125" s="1560"/>
      <c r="F125" s="1560"/>
      <c r="G125" s="1560"/>
      <c r="H125" s="1560"/>
      <c r="I125" s="1560"/>
      <c r="J125" s="1560"/>
      <c r="K125" s="1560"/>
      <c r="L125" s="1560"/>
      <c r="M125" s="1560"/>
      <c r="N125" s="120"/>
      <c r="O125" s="117">
        <f>M135+O120-O124</f>
        <v>0</v>
      </c>
      <c r="P125" s="117">
        <f>N135+P120-P124</f>
        <v>930711.60474997759</v>
      </c>
      <c r="Q125" s="117">
        <f t="shared" ref="Q125:V125" si="324">I135+Q120-Q124</f>
        <v>0</v>
      </c>
      <c r="R125" s="117">
        <f t="shared" si="324"/>
        <v>0</v>
      </c>
      <c r="S125" s="117">
        <f t="shared" si="324"/>
        <v>0</v>
      </c>
      <c r="T125" s="117">
        <f t="shared" si="324"/>
        <v>0</v>
      </c>
      <c r="U125" s="117">
        <f t="shared" si="324"/>
        <v>0</v>
      </c>
      <c r="V125" s="117">
        <f t="shared" si="324"/>
        <v>0</v>
      </c>
      <c r="W125" s="117">
        <f>P135+W120-W124</f>
        <v>930711.60474997759</v>
      </c>
      <c r="X125" s="117">
        <f>W135+X120-X124</f>
        <v>-209252.81741252239</v>
      </c>
      <c r="Y125" s="117">
        <f t="shared" ref="Y125:BO125" si="325">X135+Y120-Y124</f>
        <v>-890337.12307399604</v>
      </c>
      <c r="Z125" s="117">
        <f t="shared" si="325"/>
        <v>-1983376.2438359004</v>
      </c>
      <c r="AA125" s="117">
        <f t="shared" si="325"/>
        <v>4119765.2516038883</v>
      </c>
      <c r="AB125" s="117">
        <f t="shared" ref="AB125" si="326">AA135+AB120-AB124</f>
        <v>5578278.0037496779</v>
      </c>
      <c r="AC125" s="117">
        <f t="shared" ref="AC125" si="327">AB135+AC120-AC124</f>
        <v>5412020.5656279316</v>
      </c>
      <c r="AD125" s="117">
        <f t="shared" ref="AD125" si="328">AC135+AD120-AD124</f>
        <v>5245763.1275061844</v>
      </c>
      <c r="AE125" s="117">
        <f t="shared" ref="AE125" si="329">AD135+AE120-AE124</f>
        <v>8834302.707294479</v>
      </c>
      <c r="AF125" s="117">
        <f t="shared" ref="AF125" si="330">AE135+AF120-AF124</f>
        <v>6056318.9123327732</v>
      </c>
      <c r="AG125" s="117">
        <f t="shared" ref="AG125" si="331">AF135+AG120-AG124</f>
        <v>46928866.241021179</v>
      </c>
      <c r="AH125" s="117">
        <f t="shared" ref="AH125" si="332">AG135+AH120-AH124</f>
        <v>35443613.574559584</v>
      </c>
      <c r="AI125" s="117">
        <f t="shared" si="325"/>
        <v>32001030.975760426</v>
      </c>
      <c r="AJ125" s="117">
        <f t="shared" si="325"/>
        <v>31571036.781188898</v>
      </c>
      <c r="AK125" s="117">
        <f t="shared" si="325"/>
        <v>29890998.038607433</v>
      </c>
      <c r="AL125" s="117">
        <f t="shared" si="325"/>
        <v>19038767.094953589</v>
      </c>
      <c r="AM125" s="117">
        <f t="shared" si="325"/>
        <v>78438607.576284677</v>
      </c>
      <c r="AN125" s="117">
        <f t="shared" si="325"/>
        <v>78723190.382022753</v>
      </c>
      <c r="AO125" s="117">
        <f t="shared" si="325"/>
        <v>76237904.9835255</v>
      </c>
      <c r="AP125" s="117">
        <f t="shared" si="325"/>
        <v>69568038.984091252</v>
      </c>
      <c r="AQ125" s="117">
        <f t="shared" si="325"/>
        <v>60007141.674557745</v>
      </c>
      <c r="AR125" s="117">
        <f t="shared" si="325"/>
        <v>49842800.126962997</v>
      </c>
      <c r="AS125" s="117">
        <f t="shared" si="325"/>
        <v>122020359.82788989</v>
      </c>
      <c r="AT125" s="117">
        <f t="shared" si="325"/>
        <v>113296135.53449439</v>
      </c>
      <c r="AU125" s="117">
        <f t="shared" si="325"/>
        <v>102900257.8623848</v>
      </c>
      <c r="AV125" s="117">
        <f t="shared" si="325"/>
        <v>86515286.931450099</v>
      </c>
      <c r="AW125" s="117">
        <f t="shared" si="325"/>
        <v>76890791.522969529</v>
      </c>
      <c r="AX125" s="117">
        <f t="shared" si="325"/>
        <v>66570124.92588608</v>
      </c>
      <c r="AY125" s="117">
        <f t="shared" si="325"/>
        <v>138016978.70221817</v>
      </c>
      <c r="AZ125" s="117">
        <f t="shared" si="325"/>
        <v>122644786.81880826</v>
      </c>
      <c r="BA125" s="117">
        <f t="shared" si="325"/>
        <v>101497986.52294263</v>
      </c>
      <c r="BB125" s="117">
        <f t="shared" si="325"/>
        <v>86777111.988304004</v>
      </c>
      <c r="BC125" s="117">
        <f t="shared" si="325"/>
        <v>71263252.615867913</v>
      </c>
      <c r="BD125" s="117">
        <f t="shared" si="325"/>
        <v>55962332.975746706</v>
      </c>
      <c r="BE125" s="117">
        <f t="shared" si="325"/>
        <v>121079054.79067066</v>
      </c>
      <c r="BF125" s="117">
        <f t="shared" si="325"/>
        <v>105299385.03465195</v>
      </c>
      <c r="BG125" s="117">
        <f t="shared" si="325"/>
        <v>89245772.065687999</v>
      </c>
      <c r="BH125" s="117">
        <f t="shared" si="325"/>
        <v>73655105.877727345</v>
      </c>
      <c r="BI125" s="117">
        <f t="shared" si="325"/>
        <v>143933005.03370112</v>
      </c>
      <c r="BJ125" s="117">
        <f t="shared" si="325"/>
        <v>126557718.10103592</v>
      </c>
      <c r="BK125" s="117">
        <f t="shared" si="325"/>
        <v>109123912.66066916</v>
      </c>
      <c r="BL125" s="117">
        <f t="shared" si="325"/>
        <v>240732258.36116713</v>
      </c>
      <c r="BM125" s="117">
        <f t="shared" si="325"/>
        <v>390094456.18577713</v>
      </c>
      <c r="BN125" s="117">
        <f t="shared" si="325"/>
        <v>247895614.6650129</v>
      </c>
      <c r="BO125" s="117">
        <f t="shared" si="325"/>
        <v>98895614.665012896</v>
      </c>
      <c r="BP125" s="117">
        <f>BO135+BP120-BP124</f>
        <v>98895614.665012896</v>
      </c>
      <c r="BQ125" s="117">
        <f>BP135+BQ120-BQ124</f>
        <v>98895614.665012896</v>
      </c>
      <c r="BR125" s="117">
        <f t="shared" ref="BR125:BX125" si="333">BQ135+BR120-BR124</f>
        <v>98895614.665012896</v>
      </c>
      <c r="BS125" s="117">
        <f t="shared" si="333"/>
        <v>98895614.665012896</v>
      </c>
      <c r="BT125" s="117">
        <f t="shared" si="333"/>
        <v>98895614.665012896</v>
      </c>
      <c r="BU125" s="117">
        <f t="shared" si="333"/>
        <v>98895614.665012896</v>
      </c>
      <c r="BV125" s="117">
        <f t="shared" si="333"/>
        <v>98895614.665012896</v>
      </c>
      <c r="BW125" s="117">
        <f t="shared" si="333"/>
        <v>98895614.665012896</v>
      </c>
      <c r="BX125" s="117">
        <f t="shared" si="333"/>
        <v>98895614.665012896</v>
      </c>
      <c r="BY125" s="118">
        <f>BP125</f>
        <v>98895614.665012896</v>
      </c>
      <c r="BZ125" s="115"/>
      <c r="CA125" s="287"/>
    </row>
    <row r="126" spans="1:79" s="64" customFormat="1" ht="15" customHeight="1" thickBo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115"/>
      <c r="CA126" s="75"/>
    </row>
    <row r="127" spans="1:79" s="64" customFormat="1" ht="15" customHeight="1">
      <c r="A127" s="1606" t="s">
        <v>38</v>
      </c>
      <c r="B127" s="1594" t="s">
        <v>61</v>
      </c>
      <c r="C127" s="1595"/>
      <c r="D127" s="1595"/>
      <c r="E127" s="1595"/>
      <c r="F127" s="1595"/>
      <c r="G127" s="1595"/>
      <c r="H127" s="1595"/>
      <c r="I127" s="1595"/>
      <c r="J127" s="1595"/>
      <c r="K127" s="1595"/>
      <c r="L127" s="1595"/>
      <c r="M127" s="1595"/>
      <c r="N127" s="92"/>
      <c r="O127" s="92"/>
      <c r="P127" s="92">
        <f t="shared" ref="P127:W127" si="334">IF(P125&lt;0,-P125,0)</f>
        <v>0</v>
      </c>
      <c r="Q127" s="92">
        <f t="shared" si="334"/>
        <v>0</v>
      </c>
      <c r="R127" s="92">
        <f t="shared" si="334"/>
        <v>0</v>
      </c>
      <c r="S127" s="92">
        <f t="shared" si="334"/>
        <v>0</v>
      </c>
      <c r="T127" s="92">
        <f t="shared" si="334"/>
        <v>0</v>
      </c>
      <c r="U127" s="92">
        <f t="shared" si="334"/>
        <v>0</v>
      </c>
      <c r="V127" s="92">
        <f t="shared" si="334"/>
        <v>0</v>
      </c>
      <c r="W127" s="92">
        <f t="shared" si="334"/>
        <v>0</v>
      </c>
      <c r="X127" s="92">
        <f>IF(X125&lt;0,-X125,0)</f>
        <v>209252.81741252239</v>
      </c>
      <c r="Y127" s="92">
        <f t="shared" ref="Y127:BP127" si="335">IF(Y125&lt;0,-Y125,0)</f>
        <v>890337.12307399604</v>
      </c>
      <c r="Z127" s="92">
        <f t="shared" si="335"/>
        <v>1983376.2438359004</v>
      </c>
      <c r="AA127" s="92">
        <f t="shared" si="335"/>
        <v>0</v>
      </c>
      <c r="AB127" s="92">
        <f t="shared" si="335"/>
        <v>0</v>
      </c>
      <c r="AC127" s="92">
        <f t="shared" si="335"/>
        <v>0</v>
      </c>
      <c r="AD127" s="92">
        <f t="shared" si="335"/>
        <v>0</v>
      </c>
      <c r="AE127" s="92">
        <f t="shared" si="335"/>
        <v>0</v>
      </c>
      <c r="AF127" s="92">
        <f t="shared" si="335"/>
        <v>0</v>
      </c>
      <c r="AG127" s="92">
        <f t="shared" si="335"/>
        <v>0</v>
      </c>
      <c r="AH127" s="92">
        <f t="shared" si="335"/>
        <v>0</v>
      </c>
      <c r="AI127" s="92">
        <f t="shared" si="335"/>
        <v>0</v>
      </c>
      <c r="AJ127" s="92">
        <f t="shared" si="335"/>
        <v>0</v>
      </c>
      <c r="AK127" s="92">
        <f t="shared" si="335"/>
        <v>0</v>
      </c>
      <c r="AL127" s="92">
        <f t="shared" si="335"/>
        <v>0</v>
      </c>
      <c r="AM127" s="92">
        <f t="shared" si="335"/>
        <v>0</v>
      </c>
      <c r="AN127" s="92">
        <f t="shared" si="335"/>
        <v>0</v>
      </c>
      <c r="AO127" s="92">
        <f>IF(AO125&lt;0,-AO125,0)</f>
        <v>0</v>
      </c>
      <c r="AP127" s="92">
        <f t="shared" si="335"/>
        <v>0</v>
      </c>
      <c r="AQ127" s="92">
        <f t="shared" si="335"/>
        <v>0</v>
      </c>
      <c r="AR127" s="92">
        <f t="shared" si="335"/>
        <v>0</v>
      </c>
      <c r="AS127" s="92">
        <f t="shared" si="335"/>
        <v>0</v>
      </c>
      <c r="AT127" s="92">
        <f t="shared" si="335"/>
        <v>0</v>
      </c>
      <c r="AU127" s="92">
        <f t="shared" si="335"/>
        <v>0</v>
      </c>
      <c r="AV127" s="92">
        <f t="shared" si="335"/>
        <v>0</v>
      </c>
      <c r="AW127" s="92">
        <f t="shared" si="335"/>
        <v>0</v>
      </c>
      <c r="AX127" s="92">
        <f t="shared" si="335"/>
        <v>0</v>
      </c>
      <c r="AY127" s="92">
        <f t="shared" si="335"/>
        <v>0</v>
      </c>
      <c r="AZ127" s="92">
        <f t="shared" si="335"/>
        <v>0</v>
      </c>
      <c r="BA127" s="92">
        <f t="shared" si="335"/>
        <v>0</v>
      </c>
      <c r="BB127" s="92">
        <f t="shared" si="335"/>
        <v>0</v>
      </c>
      <c r="BC127" s="92">
        <f t="shared" si="335"/>
        <v>0</v>
      </c>
      <c r="BD127" s="92">
        <f t="shared" si="335"/>
        <v>0</v>
      </c>
      <c r="BE127" s="92">
        <f t="shared" si="335"/>
        <v>0</v>
      </c>
      <c r="BF127" s="92">
        <f t="shared" si="335"/>
        <v>0</v>
      </c>
      <c r="BG127" s="92">
        <f t="shared" si="335"/>
        <v>0</v>
      </c>
      <c r="BH127" s="92">
        <f t="shared" si="335"/>
        <v>0</v>
      </c>
      <c r="BI127" s="92">
        <f t="shared" si="335"/>
        <v>0</v>
      </c>
      <c r="BJ127" s="92">
        <f t="shared" si="335"/>
        <v>0</v>
      </c>
      <c r="BK127" s="92">
        <f t="shared" si="335"/>
        <v>0</v>
      </c>
      <c r="BL127" s="92">
        <f t="shared" si="335"/>
        <v>0</v>
      </c>
      <c r="BM127" s="92">
        <f t="shared" si="335"/>
        <v>0</v>
      </c>
      <c r="BN127" s="92">
        <f t="shared" si="335"/>
        <v>0</v>
      </c>
      <c r="BO127" s="92">
        <f t="shared" si="335"/>
        <v>0</v>
      </c>
      <c r="BP127" s="92">
        <f t="shared" si="335"/>
        <v>0</v>
      </c>
      <c r="BQ127" s="92">
        <f t="shared" ref="BQ127:BR127" si="336">IF(BQ125&lt;0,-BQ125,0)</f>
        <v>0</v>
      </c>
      <c r="BR127" s="92">
        <f t="shared" si="336"/>
        <v>0</v>
      </c>
      <c r="BS127" s="92">
        <f t="shared" ref="BS127:BX127" si="337">IF(BS125&lt;0,-BS125,0)</f>
        <v>0</v>
      </c>
      <c r="BT127" s="92">
        <f t="shared" si="337"/>
        <v>0</v>
      </c>
      <c r="BU127" s="92">
        <f t="shared" si="337"/>
        <v>0</v>
      </c>
      <c r="BV127" s="92">
        <f t="shared" si="337"/>
        <v>0</v>
      </c>
      <c r="BW127" s="92">
        <f t="shared" si="337"/>
        <v>0</v>
      </c>
      <c r="BX127" s="92">
        <f t="shared" si="337"/>
        <v>0</v>
      </c>
      <c r="BY127" s="426">
        <f>SUM(P127:BP127)</f>
        <v>3082966.1843224186</v>
      </c>
      <c r="BZ127" s="115"/>
      <c r="CA127" s="75"/>
    </row>
    <row r="128" spans="1:79" s="64" customFormat="1" ht="15" customHeight="1" thickBot="1">
      <c r="A128" s="1607"/>
      <c r="B128" s="1596" t="s">
        <v>31</v>
      </c>
      <c r="C128" s="1597"/>
      <c r="D128" s="1597"/>
      <c r="E128" s="1597"/>
      <c r="F128" s="1597"/>
      <c r="G128" s="1597"/>
      <c r="H128" s="1597"/>
      <c r="I128" s="1597"/>
      <c r="J128" s="1597"/>
      <c r="K128" s="1597"/>
      <c r="L128" s="1597"/>
      <c r="M128" s="1597"/>
      <c r="N128" s="93"/>
      <c r="O128" s="525"/>
      <c r="P128" s="156">
        <f>IF(AND(N129&gt;P125,P125&gt;0,N129&gt;0),P125,0)+IF(AND(N129&lt;P125,P125&gt;0,N129&gt;0),N129,0)</f>
        <v>0</v>
      </c>
      <c r="Q128" s="525"/>
      <c r="R128" s="525"/>
      <c r="S128" s="525"/>
      <c r="T128" s="525"/>
      <c r="U128" s="525"/>
      <c r="V128" s="525"/>
      <c r="W128" s="525"/>
      <c r="X128" s="156">
        <f>IF(AND(P129&gt;X125,X125&gt;0,P129&gt;0),X125,0)+IF(AND(P129&lt;X125,X125&gt;0,P129&gt;0),P129,0)</f>
        <v>0</v>
      </c>
      <c r="Y128" s="156">
        <f t="shared" ref="Y128:BP128" si="338">IF(AND(X129&gt;Y125,Y125&gt;0,X129&gt;0),Y125,0)+IF(AND(X129&lt;Y125,Y125&gt;0,X129&gt;0),X129,0)</f>
        <v>0</v>
      </c>
      <c r="Z128" s="156">
        <f t="shared" si="338"/>
        <v>0</v>
      </c>
      <c r="AA128" s="156">
        <f t="shared" si="338"/>
        <v>3082966.1843224186</v>
      </c>
      <c r="AB128" s="156">
        <f t="shared" ref="AB128" si="339">IF(AND(AA129&gt;AB125,AB125&gt;0,AA129&gt;0),AB125,0)+IF(AND(AA129&lt;AB125,AB125&gt;0,AA129&gt;0),AA129,0)</f>
        <v>0</v>
      </c>
      <c r="AC128" s="156">
        <f t="shared" ref="AC128" si="340">IF(AND(AB129&gt;AC125,AC125&gt;0,AB129&gt;0),AC125,0)+IF(AND(AB129&lt;AC125,AC125&gt;0,AB129&gt;0),AB129,0)</f>
        <v>0</v>
      </c>
      <c r="AD128" s="156">
        <f t="shared" ref="AD128" si="341">IF(AND(AC129&gt;AD125,AD125&gt;0,AC129&gt;0),AD125,0)+IF(AND(AC129&lt;AD125,AD125&gt;0,AC129&gt;0),AC129,0)</f>
        <v>0</v>
      </c>
      <c r="AE128" s="156">
        <f t="shared" ref="AE128" si="342">IF(AND(AD129&gt;AE125,AE125&gt;0,AD129&gt;0),AE125,0)+IF(AND(AD129&lt;AE125,AE125&gt;0,AD129&gt;0),AD129,0)</f>
        <v>0</v>
      </c>
      <c r="AF128" s="156">
        <f t="shared" ref="AF128" si="343">IF(AND(AE129&gt;AF125,AF125&gt;0,AE129&gt;0),AF125,0)+IF(AND(AE129&lt;AF125,AF125&gt;0,AE129&gt;0),AE129,0)</f>
        <v>0</v>
      </c>
      <c r="AG128" s="156">
        <f t="shared" ref="AG128" si="344">IF(AND(AF129&gt;AG125,AG125&gt;0,AF129&gt;0),AG125,0)+IF(AND(AF129&lt;AG125,AG125&gt;0,AF129&gt;0),AF129,0)</f>
        <v>0</v>
      </c>
      <c r="AH128" s="156">
        <f t="shared" ref="AH128" si="345">IF(AND(AG129&gt;AH125,AH125&gt;0,AG129&gt;0),AH125,0)+IF(AND(AG129&lt;AH125,AH125&gt;0,AG129&gt;0),AG129,0)</f>
        <v>0</v>
      </c>
      <c r="AI128" s="156">
        <f t="shared" si="338"/>
        <v>0</v>
      </c>
      <c r="AJ128" s="156">
        <f t="shared" si="338"/>
        <v>0</v>
      </c>
      <c r="AK128" s="156">
        <f>IF(AND(AJ129&gt;AK125,AK125&gt;0,AJ129&gt;0),AK125,0)+IF(AND(AJ129&lt;AK125,AK125&gt;0,AJ129&gt;0),AJ129,0)</f>
        <v>0</v>
      </c>
      <c r="AL128" s="156">
        <f t="shared" si="338"/>
        <v>0</v>
      </c>
      <c r="AM128" s="156">
        <f t="shared" si="338"/>
        <v>0</v>
      </c>
      <c r="AN128" s="156">
        <f t="shared" si="338"/>
        <v>0</v>
      </c>
      <c r="AO128" s="156">
        <f t="shared" si="338"/>
        <v>0</v>
      </c>
      <c r="AP128" s="156">
        <f t="shared" si="338"/>
        <v>0</v>
      </c>
      <c r="AQ128" s="156">
        <f t="shared" si="338"/>
        <v>0</v>
      </c>
      <c r="AR128" s="156">
        <f t="shared" si="338"/>
        <v>0</v>
      </c>
      <c r="AS128" s="156">
        <f t="shared" si="338"/>
        <v>0</v>
      </c>
      <c r="AT128" s="156">
        <f t="shared" si="338"/>
        <v>0</v>
      </c>
      <c r="AU128" s="156">
        <f t="shared" si="338"/>
        <v>0</v>
      </c>
      <c r="AV128" s="156">
        <f t="shared" si="338"/>
        <v>0</v>
      </c>
      <c r="AW128" s="156">
        <f t="shared" si="338"/>
        <v>0</v>
      </c>
      <c r="AX128" s="156">
        <f t="shared" si="338"/>
        <v>0</v>
      </c>
      <c r="AY128" s="156">
        <f t="shared" si="338"/>
        <v>0</v>
      </c>
      <c r="AZ128" s="156">
        <f t="shared" si="338"/>
        <v>0</v>
      </c>
      <c r="BA128" s="156">
        <f t="shared" si="338"/>
        <v>0</v>
      </c>
      <c r="BB128" s="156">
        <f t="shared" si="338"/>
        <v>0</v>
      </c>
      <c r="BC128" s="156">
        <f t="shared" si="338"/>
        <v>0</v>
      </c>
      <c r="BD128" s="156">
        <f t="shared" si="338"/>
        <v>0</v>
      </c>
      <c r="BE128" s="156">
        <f t="shared" si="338"/>
        <v>0</v>
      </c>
      <c r="BF128" s="156">
        <f t="shared" si="338"/>
        <v>0</v>
      </c>
      <c r="BG128" s="156">
        <f t="shared" si="338"/>
        <v>0</v>
      </c>
      <c r="BH128" s="156">
        <f t="shared" si="338"/>
        <v>0</v>
      </c>
      <c r="BI128" s="156">
        <f t="shared" si="338"/>
        <v>0</v>
      </c>
      <c r="BJ128" s="156">
        <f t="shared" si="338"/>
        <v>0</v>
      </c>
      <c r="BK128" s="156">
        <f t="shared" si="338"/>
        <v>0</v>
      </c>
      <c r="BL128" s="156">
        <f t="shared" si="338"/>
        <v>0</v>
      </c>
      <c r="BM128" s="156">
        <f t="shared" si="338"/>
        <v>0</v>
      </c>
      <c r="BN128" s="156">
        <f t="shared" si="338"/>
        <v>0</v>
      </c>
      <c r="BO128" s="156">
        <f t="shared" si="338"/>
        <v>0</v>
      </c>
      <c r="BP128" s="156">
        <f t="shared" si="338"/>
        <v>0</v>
      </c>
      <c r="BQ128" s="156"/>
      <c r="BR128" s="156"/>
      <c r="BS128" s="156"/>
      <c r="BT128" s="156"/>
      <c r="BU128" s="156"/>
      <c r="BV128" s="156"/>
      <c r="BW128" s="156"/>
      <c r="BX128" s="156"/>
      <c r="BY128" s="427">
        <f>SUM(P128:BL128)</f>
        <v>3082966.1843224186</v>
      </c>
      <c r="BZ128" s="115"/>
      <c r="CA128" s="75"/>
    </row>
    <row r="129" spans="1:153" s="64" customFormat="1" ht="15" customHeight="1" thickBot="1">
      <c r="A129" s="1607"/>
      <c r="B129" s="1600" t="s">
        <v>62</v>
      </c>
      <c r="C129" s="1601"/>
      <c r="D129" s="1601"/>
      <c r="E129" s="1601"/>
      <c r="F129" s="1601"/>
      <c r="G129" s="1601"/>
      <c r="H129" s="1601"/>
      <c r="I129" s="1601"/>
      <c r="J129" s="1601"/>
      <c r="K129" s="1601"/>
      <c r="L129" s="1601"/>
      <c r="M129" s="1601"/>
      <c r="N129" s="94"/>
      <c r="O129" s="94"/>
      <c r="P129" s="94">
        <f>N129+P127-P128</f>
        <v>0</v>
      </c>
      <c r="Q129" s="94">
        <f t="shared" ref="Q129" si="346">I129+Q127-Q128</f>
        <v>0</v>
      </c>
      <c r="R129" s="94">
        <f>Q129+R127-R128</f>
        <v>0</v>
      </c>
      <c r="S129" s="94">
        <f t="shared" ref="S129:Z129" si="347">R129+S127-S128</f>
        <v>0</v>
      </c>
      <c r="T129" s="94">
        <f t="shared" si="347"/>
        <v>0</v>
      </c>
      <c r="U129" s="94">
        <f t="shared" si="347"/>
        <v>0</v>
      </c>
      <c r="V129" s="94">
        <f t="shared" si="347"/>
        <v>0</v>
      </c>
      <c r="W129" s="94">
        <f t="shared" si="347"/>
        <v>0</v>
      </c>
      <c r="X129" s="94">
        <f t="shared" si="347"/>
        <v>209252.81741252239</v>
      </c>
      <c r="Y129" s="94">
        <f t="shared" si="347"/>
        <v>1099589.9404865184</v>
      </c>
      <c r="Z129" s="94">
        <f t="shared" si="347"/>
        <v>3082966.1843224186</v>
      </c>
      <c r="AA129" s="94">
        <f t="shared" ref="AA129" si="348">Z129+AA127-AA128</f>
        <v>0</v>
      </c>
      <c r="AB129" s="94">
        <f t="shared" ref="AB129" si="349">AA129+AB127-AB128</f>
        <v>0</v>
      </c>
      <c r="AC129" s="94">
        <f t="shared" ref="AC129" si="350">AB129+AC127-AC128</f>
        <v>0</v>
      </c>
      <c r="AD129" s="94">
        <f t="shared" ref="AD129" si="351">AC129+AD127-AD128</f>
        <v>0</v>
      </c>
      <c r="AE129" s="94">
        <f t="shared" ref="AE129" si="352">AD129+AE127-AE128</f>
        <v>0</v>
      </c>
      <c r="AF129" s="94">
        <f t="shared" ref="AF129" si="353">AE129+AF127-AF128</f>
        <v>0</v>
      </c>
      <c r="AG129" s="94">
        <f t="shared" ref="AG129" si="354">AF129+AG127-AG128</f>
        <v>0</v>
      </c>
      <c r="AH129" s="94">
        <f>AA129+AH127-AH128</f>
        <v>0</v>
      </c>
      <c r="AI129" s="94">
        <f>AH129+AI127-AI128</f>
        <v>0</v>
      </c>
      <c r="AJ129" s="94">
        <f t="shared" ref="AJ129" si="355">AI129+AJ127-AJ128</f>
        <v>0</v>
      </c>
      <c r="AK129" s="94">
        <f t="shared" ref="AK129" si="356">AJ129+AK127-AK128</f>
        <v>0</v>
      </c>
      <c r="AL129" s="94">
        <f t="shared" ref="AL129" si="357">AK129+AL127-AL128</f>
        <v>0</v>
      </c>
      <c r="AM129" s="94">
        <f t="shared" ref="AM129" si="358">AL129+AM127-AM128</f>
        <v>0</v>
      </c>
      <c r="AN129" s="94">
        <f t="shared" ref="AN129" si="359">AM129+AN127-AN128</f>
        <v>0</v>
      </c>
      <c r="AO129" s="94">
        <f t="shared" ref="AO129" si="360">AN129+AO127-AO128</f>
        <v>0</v>
      </c>
      <c r="AP129" s="94">
        <f t="shared" ref="AP129" si="361">AO129+AP127-AP128</f>
        <v>0</v>
      </c>
      <c r="AQ129" s="94">
        <f t="shared" ref="AQ129" si="362">AP129+AQ127-AQ128</f>
        <v>0</v>
      </c>
      <c r="AR129" s="94">
        <f t="shared" ref="AR129" si="363">AQ129+AR127-AR128</f>
        <v>0</v>
      </c>
      <c r="AS129" s="94">
        <f t="shared" ref="AS129" si="364">AR129+AS127-AS128</f>
        <v>0</v>
      </c>
      <c r="AT129" s="94">
        <f t="shared" ref="AT129" si="365">AS129+AT127-AT128</f>
        <v>0</v>
      </c>
      <c r="AU129" s="94">
        <f t="shared" ref="AU129" si="366">AT129+AU127-AU128</f>
        <v>0</v>
      </c>
      <c r="AV129" s="94">
        <f t="shared" ref="AV129" si="367">AU129+AV127-AV128</f>
        <v>0</v>
      </c>
      <c r="AW129" s="94">
        <f t="shared" ref="AW129" si="368">AV129+AW127-AW128</f>
        <v>0</v>
      </c>
      <c r="AX129" s="94">
        <f t="shared" ref="AX129" si="369">AW129+AX127-AX128</f>
        <v>0</v>
      </c>
      <c r="AY129" s="94">
        <f t="shared" ref="AY129" si="370">AX129+AY127-AY128</f>
        <v>0</v>
      </c>
      <c r="AZ129" s="94">
        <f t="shared" ref="AZ129" si="371">AY129+AZ127-AZ128</f>
        <v>0</v>
      </c>
      <c r="BA129" s="94">
        <f t="shared" ref="BA129" si="372">AZ129+BA127-BA128</f>
        <v>0</v>
      </c>
      <c r="BB129" s="94">
        <f t="shared" ref="BB129" si="373">BA129+BB127-BB128</f>
        <v>0</v>
      </c>
      <c r="BC129" s="94">
        <f t="shared" ref="BC129" si="374">BB129+BC127-BC128</f>
        <v>0</v>
      </c>
      <c r="BD129" s="94">
        <f t="shared" ref="BD129" si="375">BC129+BD127-BD128</f>
        <v>0</v>
      </c>
      <c r="BE129" s="94">
        <f t="shared" ref="BE129" si="376">BD129+BE127-BE128</f>
        <v>0</v>
      </c>
      <c r="BF129" s="94">
        <f t="shared" ref="BF129" si="377">BE129+BF127-BF128</f>
        <v>0</v>
      </c>
      <c r="BG129" s="94">
        <f t="shared" ref="BG129" si="378">BF129+BG127-BG128</f>
        <v>0</v>
      </c>
      <c r="BH129" s="94">
        <f t="shared" ref="BH129" si="379">BG129+BH127-BH128</f>
        <v>0</v>
      </c>
      <c r="BI129" s="94">
        <f t="shared" ref="BI129" si="380">BH129+BI127-BI128</f>
        <v>0</v>
      </c>
      <c r="BJ129" s="94">
        <f t="shared" ref="BJ129" si="381">BI129+BJ127-BJ128</f>
        <v>0</v>
      </c>
      <c r="BK129" s="94">
        <f t="shared" ref="BK129" si="382">BJ129+BK127-BK128</f>
        <v>0</v>
      </c>
      <c r="BL129" s="94">
        <f t="shared" ref="BL129" si="383">BK129+BL127-BL128</f>
        <v>0</v>
      </c>
      <c r="BM129" s="94"/>
      <c r="BN129" s="94">
        <f t="shared" ref="BN129" si="384">BM129+BN127-BN128</f>
        <v>0</v>
      </c>
      <c r="BO129" s="94">
        <f t="shared" ref="BO129" si="385">BN129+BO127-BO128</f>
        <v>0</v>
      </c>
      <c r="BP129" s="94">
        <f t="shared" ref="BP129" si="386">BO129+BP127-BP128</f>
        <v>0</v>
      </c>
      <c r="BQ129" s="94"/>
      <c r="BR129" s="94"/>
      <c r="BS129" s="94"/>
      <c r="BT129" s="94"/>
      <c r="BU129" s="94"/>
      <c r="BV129" s="94"/>
      <c r="BW129" s="94"/>
      <c r="BX129" s="94"/>
      <c r="BY129" s="122">
        <f>MAX(P129:BX129)</f>
        <v>3082966.1843224186</v>
      </c>
      <c r="BZ129" s="115"/>
      <c r="CA129" s="75"/>
    </row>
    <row r="130" spans="1:153" s="64" customFormat="1" ht="15" customHeight="1" thickBot="1">
      <c r="A130" s="1607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428" t="s">
        <v>63</v>
      </c>
      <c r="BZ130" s="115"/>
      <c r="CA130" s="75"/>
    </row>
    <row r="131" spans="1:153" s="64" customFormat="1" ht="15" hidden="1" customHeight="1" thickBot="1">
      <c r="A131" s="1607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123" t="str">
        <f>IF(BZ128&gt;0,"차입금 미회수","차입금 회수")</f>
        <v>차입금 회수</v>
      </c>
      <c r="BZ131" s="115"/>
      <c r="CA131" s="75"/>
    </row>
    <row r="132" spans="1:153" s="64" customFormat="1" ht="15" customHeight="1">
      <c r="A132" s="1607"/>
      <c r="B132" s="1602" t="s">
        <v>64</v>
      </c>
      <c r="C132" s="1603"/>
      <c r="D132" s="1603"/>
      <c r="E132" s="1603"/>
      <c r="F132" s="1603"/>
      <c r="G132" s="1603"/>
      <c r="H132" s="1603"/>
      <c r="I132" s="1603"/>
      <c r="J132" s="1603"/>
      <c r="K132" s="1603"/>
      <c r="L132" s="1603"/>
      <c r="M132" s="1604"/>
      <c r="N132" s="525"/>
      <c r="O132" s="525"/>
      <c r="P132" s="525">
        <f>N129*$AK$3/12</f>
        <v>0</v>
      </c>
      <c r="Q132" s="525">
        <f t="shared" ref="Q132:X132" si="387">(P129)*$AK$3/12</f>
        <v>0</v>
      </c>
      <c r="R132" s="525">
        <f t="shared" si="387"/>
        <v>0</v>
      </c>
      <c r="S132" s="525">
        <f t="shared" si="387"/>
        <v>0</v>
      </c>
      <c r="T132" s="525">
        <f t="shared" si="387"/>
        <v>0</v>
      </c>
      <c r="U132" s="525">
        <f t="shared" si="387"/>
        <v>0</v>
      </c>
      <c r="V132" s="525">
        <f t="shared" si="387"/>
        <v>0</v>
      </c>
      <c r="W132" s="525">
        <f t="shared" si="387"/>
        <v>0</v>
      </c>
      <c r="X132" s="525">
        <f t="shared" si="387"/>
        <v>0</v>
      </c>
      <c r="Y132" s="525">
        <f>(X129)*$AK$3/12</f>
        <v>1354.9119927460827</v>
      </c>
      <c r="Z132" s="525">
        <f>(Y129)*$AK$3/12</f>
        <v>7119.8448646502075</v>
      </c>
      <c r="AA132" s="525">
        <f>(Z129)*$AK$3/12</f>
        <v>19962.206043487662</v>
      </c>
      <c r="AB132" s="525">
        <f t="shared" ref="AB132:BP132" si="388">(AA129)*$AK$3/12</f>
        <v>0</v>
      </c>
      <c r="AC132" s="525">
        <f t="shared" si="388"/>
        <v>0</v>
      </c>
      <c r="AD132" s="525">
        <f t="shared" si="388"/>
        <v>0</v>
      </c>
      <c r="AE132" s="525">
        <f t="shared" si="388"/>
        <v>0</v>
      </c>
      <c r="AF132" s="525">
        <f t="shared" si="388"/>
        <v>0</v>
      </c>
      <c r="AG132" s="525">
        <f t="shared" si="388"/>
        <v>0</v>
      </c>
      <c r="AH132" s="525">
        <f t="shared" si="388"/>
        <v>0</v>
      </c>
      <c r="AI132" s="525">
        <f t="shared" si="388"/>
        <v>0</v>
      </c>
      <c r="AJ132" s="525">
        <f t="shared" si="388"/>
        <v>0</v>
      </c>
      <c r="AK132" s="525">
        <f t="shared" si="388"/>
        <v>0</v>
      </c>
      <c r="AL132" s="525">
        <f t="shared" si="388"/>
        <v>0</v>
      </c>
      <c r="AM132" s="525">
        <f t="shared" si="388"/>
        <v>0</v>
      </c>
      <c r="AN132" s="525">
        <f t="shared" si="388"/>
        <v>0</v>
      </c>
      <c r="AO132" s="525">
        <f t="shared" si="388"/>
        <v>0</v>
      </c>
      <c r="AP132" s="525">
        <f t="shared" si="388"/>
        <v>0</v>
      </c>
      <c r="AQ132" s="525">
        <f t="shared" si="388"/>
        <v>0</v>
      </c>
      <c r="AR132" s="525">
        <f t="shared" si="388"/>
        <v>0</v>
      </c>
      <c r="AS132" s="525">
        <f t="shared" si="388"/>
        <v>0</v>
      </c>
      <c r="AT132" s="525">
        <f t="shared" si="388"/>
        <v>0</v>
      </c>
      <c r="AU132" s="525">
        <f t="shared" si="388"/>
        <v>0</v>
      </c>
      <c r="AV132" s="525">
        <f t="shared" si="388"/>
        <v>0</v>
      </c>
      <c r="AW132" s="525">
        <f t="shared" si="388"/>
        <v>0</v>
      </c>
      <c r="AX132" s="525">
        <f t="shared" si="388"/>
        <v>0</v>
      </c>
      <c r="AY132" s="525">
        <f t="shared" si="388"/>
        <v>0</v>
      </c>
      <c r="AZ132" s="525">
        <f t="shared" si="388"/>
        <v>0</v>
      </c>
      <c r="BA132" s="525">
        <f t="shared" si="388"/>
        <v>0</v>
      </c>
      <c r="BB132" s="525">
        <f t="shared" si="388"/>
        <v>0</v>
      </c>
      <c r="BC132" s="525">
        <f t="shared" si="388"/>
        <v>0</v>
      </c>
      <c r="BD132" s="525">
        <f t="shared" si="388"/>
        <v>0</v>
      </c>
      <c r="BE132" s="525">
        <f t="shared" si="388"/>
        <v>0</v>
      </c>
      <c r="BF132" s="525">
        <f t="shared" si="388"/>
        <v>0</v>
      </c>
      <c r="BG132" s="525">
        <f t="shared" si="388"/>
        <v>0</v>
      </c>
      <c r="BH132" s="525">
        <f t="shared" si="388"/>
        <v>0</v>
      </c>
      <c r="BI132" s="525">
        <f t="shared" si="388"/>
        <v>0</v>
      </c>
      <c r="BJ132" s="525">
        <f t="shared" si="388"/>
        <v>0</v>
      </c>
      <c r="BK132" s="525">
        <f t="shared" si="388"/>
        <v>0</v>
      </c>
      <c r="BL132" s="525">
        <f t="shared" si="388"/>
        <v>0</v>
      </c>
      <c r="BM132" s="525">
        <f t="shared" si="388"/>
        <v>0</v>
      </c>
      <c r="BN132" s="525">
        <f t="shared" si="388"/>
        <v>0</v>
      </c>
      <c r="BO132" s="525">
        <f t="shared" si="388"/>
        <v>0</v>
      </c>
      <c r="BP132" s="525">
        <f t="shared" si="388"/>
        <v>0</v>
      </c>
      <c r="BQ132" s="525"/>
      <c r="BR132" s="525"/>
      <c r="BS132" s="525"/>
      <c r="BT132" s="525"/>
      <c r="BU132" s="525"/>
      <c r="BV132" s="525"/>
      <c r="BW132" s="525"/>
      <c r="BX132" s="525"/>
      <c r="BY132" s="427">
        <f>SUM(P132:BL132)</f>
        <v>28436.962900883955</v>
      </c>
      <c r="BZ132" s="115"/>
      <c r="CA132" s="75"/>
    </row>
    <row r="133" spans="1:153" s="64" customFormat="1" ht="15" customHeight="1" thickBot="1">
      <c r="A133" s="1608"/>
      <c r="B133" s="1598" t="s">
        <v>65</v>
      </c>
      <c r="C133" s="1599"/>
      <c r="D133" s="1599"/>
      <c r="E133" s="1599"/>
      <c r="F133" s="1599"/>
      <c r="G133" s="1599"/>
      <c r="H133" s="1599"/>
      <c r="I133" s="1599"/>
      <c r="J133" s="1599"/>
      <c r="K133" s="1599"/>
      <c r="L133" s="1599"/>
      <c r="M133" s="1600"/>
      <c r="N133" s="94"/>
      <c r="O133" s="94"/>
      <c r="P133" s="94">
        <f>SUM(P132:P132)+N133</f>
        <v>0</v>
      </c>
      <c r="Q133" s="94">
        <f t="shared" ref="Q133" si="389">SUM(Q132:Q132)+I133</f>
        <v>0</v>
      </c>
      <c r="R133" s="94">
        <f>SUM(R132:R132)+Q133</f>
        <v>0</v>
      </c>
      <c r="S133" s="94">
        <f t="shared" ref="S133:Y133" si="390">SUM(S132:S132)+R133</f>
        <v>0</v>
      </c>
      <c r="T133" s="94">
        <f t="shared" si="390"/>
        <v>0</v>
      </c>
      <c r="U133" s="94">
        <f t="shared" si="390"/>
        <v>0</v>
      </c>
      <c r="V133" s="94">
        <f t="shared" si="390"/>
        <v>0</v>
      </c>
      <c r="W133" s="94">
        <f t="shared" si="390"/>
        <v>0</v>
      </c>
      <c r="X133" s="94">
        <f t="shared" si="390"/>
        <v>0</v>
      </c>
      <c r="Y133" s="94">
        <f t="shared" si="390"/>
        <v>1354.9119927460827</v>
      </c>
      <c r="Z133" s="94">
        <f t="shared" ref="Z133:AA133" si="391">SUM(Z132:Z132)+Y133</f>
        <v>8474.7568573962908</v>
      </c>
      <c r="AA133" s="94">
        <f t="shared" si="391"/>
        <v>28436.962900883955</v>
      </c>
      <c r="AB133" s="94">
        <f t="shared" ref="AB133" si="392">SUM(AB132:AB132)+AA133</f>
        <v>28436.962900883955</v>
      </c>
      <c r="AC133" s="94">
        <f t="shared" ref="AC133" si="393">SUM(AC132:AC132)+AB133</f>
        <v>28436.962900883955</v>
      </c>
      <c r="AD133" s="94">
        <f t="shared" ref="AD133" si="394">SUM(AD132:AD132)+AC133</f>
        <v>28436.962900883955</v>
      </c>
      <c r="AE133" s="94">
        <f t="shared" ref="AE133" si="395">SUM(AE132:AE132)+AD133</f>
        <v>28436.962900883955</v>
      </c>
      <c r="AF133" s="94">
        <f t="shared" ref="AF133" si="396">SUM(AF132:AF132)+AE133</f>
        <v>28436.962900883955</v>
      </c>
      <c r="AG133" s="94">
        <f t="shared" ref="AG133" si="397">SUM(AG132:AG132)+AF133</f>
        <v>28436.962900883955</v>
      </c>
      <c r="AH133" s="94">
        <f t="shared" ref="AH133" si="398">SUM(AH132:AH132)+AG133</f>
        <v>28436.962900883955</v>
      </c>
      <c r="AI133" s="94">
        <f t="shared" ref="AI133" si="399">SUM(AI132:AI132)+AH133</f>
        <v>28436.962900883955</v>
      </c>
      <c r="AJ133" s="94">
        <f t="shared" ref="AJ133" si="400">SUM(AJ132:AJ132)+AI133</f>
        <v>28436.962900883955</v>
      </c>
      <c r="AK133" s="94">
        <f t="shared" ref="AK133" si="401">SUM(AK132:AK132)+AJ133</f>
        <v>28436.962900883955</v>
      </c>
      <c r="AL133" s="94">
        <f t="shared" ref="AL133" si="402">SUM(AL132:AL132)+AK133</f>
        <v>28436.962900883955</v>
      </c>
      <c r="AM133" s="94">
        <f t="shared" ref="AM133" si="403">SUM(AM132:AM132)+AL133</f>
        <v>28436.962900883955</v>
      </c>
      <c r="AN133" s="94">
        <f t="shared" ref="AN133" si="404">SUM(AN132:AN132)+AM133</f>
        <v>28436.962900883955</v>
      </c>
      <c r="AO133" s="94">
        <f t="shared" ref="AO133" si="405">SUM(AO132:AO132)+AN133</f>
        <v>28436.962900883955</v>
      </c>
      <c r="AP133" s="94">
        <f t="shared" ref="AP133" si="406">SUM(AP132:AP132)+AO133</f>
        <v>28436.962900883955</v>
      </c>
      <c r="AQ133" s="94">
        <f t="shared" ref="AQ133" si="407">SUM(AQ132:AQ132)+AP133</f>
        <v>28436.962900883955</v>
      </c>
      <c r="AR133" s="94">
        <f t="shared" ref="AR133" si="408">SUM(AR132:AR132)+AQ133</f>
        <v>28436.962900883955</v>
      </c>
      <c r="AS133" s="94">
        <f t="shared" ref="AS133" si="409">SUM(AS132:AS132)+AR133</f>
        <v>28436.962900883955</v>
      </c>
      <c r="AT133" s="94">
        <f t="shared" ref="AT133" si="410">SUM(AT132:AT132)+AS133</f>
        <v>28436.962900883955</v>
      </c>
      <c r="AU133" s="94">
        <f t="shared" ref="AU133" si="411">SUM(AU132:AU132)+AT133</f>
        <v>28436.962900883955</v>
      </c>
      <c r="AV133" s="94">
        <f t="shared" ref="AV133" si="412">SUM(AV132:AV132)+AU133</f>
        <v>28436.962900883955</v>
      </c>
      <c r="AW133" s="94">
        <f t="shared" ref="AW133" si="413">SUM(AW132:AW132)+AV133</f>
        <v>28436.962900883955</v>
      </c>
      <c r="AX133" s="94">
        <f t="shared" ref="AX133" si="414">SUM(AX132:AX132)+AW133</f>
        <v>28436.962900883955</v>
      </c>
      <c r="AY133" s="94">
        <f t="shared" ref="AY133" si="415">SUM(AY132:AY132)+AX133</f>
        <v>28436.962900883955</v>
      </c>
      <c r="AZ133" s="94">
        <f t="shared" ref="AZ133" si="416">SUM(AZ132:AZ132)+AY133</f>
        <v>28436.962900883955</v>
      </c>
      <c r="BA133" s="94">
        <f t="shared" ref="BA133" si="417">SUM(BA132:BA132)+AZ133</f>
        <v>28436.962900883955</v>
      </c>
      <c r="BB133" s="94">
        <f t="shared" ref="BB133" si="418">SUM(BB132:BB132)+BA133</f>
        <v>28436.962900883955</v>
      </c>
      <c r="BC133" s="94">
        <f t="shared" ref="BC133" si="419">SUM(BC132:BC132)+BB133</f>
        <v>28436.962900883955</v>
      </c>
      <c r="BD133" s="94">
        <f t="shared" ref="BD133" si="420">SUM(BD132:BD132)+BC133</f>
        <v>28436.962900883955</v>
      </c>
      <c r="BE133" s="94">
        <f t="shared" ref="BE133" si="421">SUM(BE132:BE132)+BD133</f>
        <v>28436.962900883955</v>
      </c>
      <c r="BF133" s="94">
        <f t="shared" ref="BF133" si="422">SUM(BF132:BF132)+BE133</f>
        <v>28436.962900883955</v>
      </c>
      <c r="BG133" s="94">
        <f t="shared" ref="BG133" si="423">SUM(BG132:BG132)+BF133</f>
        <v>28436.962900883955</v>
      </c>
      <c r="BH133" s="94">
        <f t="shared" ref="BH133" si="424">SUM(BH132:BH132)+BG133</f>
        <v>28436.962900883955</v>
      </c>
      <c r="BI133" s="94">
        <f t="shared" ref="BI133" si="425">SUM(BI132:BI132)+BH133</f>
        <v>28436.962900883955</v>
      </c>
      <c r="BJ133" s="94">
        <f t="shared" ref="BJ133" si="426">SUM(BJ132:BJ132)+BI133</f>
        <v>28436.962900883955</v>
      </c>
      <c r="BK133" s="94">
        <f t="shared" ref="BK133" si="427">SUM(BK132:BK132)+BJ133</f>
        <v>28436.962900883955</v>
      </c>
      <c r="BL133" s="94">
        <f t="shared" ref="BL133" si="428">SUM(BL132:BL132)+BK133</f>
        <v>28436.962900883955</v>
      </c>
      <c r="BM133" s="94">
        <f t="shared" ref="BM133" si="429">SUM(BM132:BM132)+BL133</f>
        <v>28436.962900883955</v>
      </c>
      <c r="BN133" s="94">
        <f t="shared" ref="BN133" si="430">SUM(BN132:BN132)+BM133</f>
        <v>28436.962900883955</v>
      </c>
      <c r="BO133" s="94">
        <f t="shared" ref="BO133" si="431">SUM(BO132:BO132)+BN133</f>
        <v>28436.962900883955</v>
      </c>
      <c r="BP133" s="94">
        <f t="shared" ref="BP133" si="432">SUM(BP132:BP132)+BO133</f>
        <v>28436.962900883955</v>
      </c>
      <c r="BQ133" s="94"/>
      <c r="BR133" s="94">
        <f t="shared" ref="BR133" si="433">SUM(BR132:BR132)+BQ133</f>
        <v>0</v>
      </c>
      <c r="BS133" s="94">
        <f t="shared" ref="BS133" si="434">SUM(BS132:BS132)+BR133</f>
        <v>0</v>
      </c>
      <c r="BT133" s="94">
        <f t="shared" ref="BT133" si="435">SUM(BT132:BT132)+BS133</f>
        <v>0</v>
      </c>
      <c r="BU133" s="94">
        <f t="shared" ref="BU133" si="436">SUM(BU132:BU132)+BT133</f>
        <v>0</v>
      </c>
      <c r="BV133" s="94">
        <f t="shared" ref="BV133" si="437">SUM(BV132:BV132)+BU133</f>
        <v>0</v>
      </c>
      <c r="BW133" s="94">
        <f t="shared" ref="BW133" si="438">SUM(BW132:BW132)+BV133</f>
        <v>0</v>
      </c>
      <c r="BX133" s="94">
        <f t="shared" ref="BX133" si="439">SUM(BX132:BX132)+BW133</f>
        <v>0</v>
      </c>
      <c r="BY133" s="429">
        <f>SUM(P133:BL133)</f>
        <v>1090434.2590837334</v>
      </c>
      <c r="BZ133" s="115"/>
      <c r="CA133" s="75"/>
    </row>
    <row r="134" spans="1:153" s="23" customFormat="1" ht="1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  <c r="BS134" s="97"/>
      <c r="BT134" s="97"/>
      <c r="BU134" s="97"/>
      <c r="BV134" s="97"/>
      <c r="BW134" s="97"/>
      <c r="BX134" s="97"/>
      <c r="BY134" s="97"/>
      <c r="BZ134" s="113"/>
      <c r="CA134" s="71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</row>
    <row r="135" spans="1:153" s="67" customFormat="1" ht="20.100000000000001" customHeight="1" thickBot="1">
      <c r="A135" s="121" t="s">
        <v>83</v>
      </c>
      <c r="B135" s="1593" t="s">
        <v>13</v>
      </c>
      <c r="C135" s="1593"/>
      <c r="D135" s="1593"/>
      <c r="E135" s="1593"/>
      <c r="F135" s="1593"/>
      <c r="G135" s="1593"/>
      <c r="H135" s="1593"/>
      <c r="I135" s="1593"/>
      <c r="J135" s="1593"/>
      <c r="K135" s="1593"/>
      <c r="L135" s="1593"/>
      <c r="M135" s="1593"/>
      <c r="N135" s="90"/>
      <c r="O135" s="90"/>
      <c r="P135" s="90">
        <f>P125+P127-P128+O135</f>
        <v>930711.60474997759</v>
      </c>
      <c r="Q135" s="90">
        <f t="shared" ref="Q135:Z135" si="440">Q125+Q127-Q128</f>
        <v>0</v>
      </c>
      <c r="R135" s="90">
        <f t="shared" si="440"/>
        <v>0</v>
      </c>
      <c r="S135" s="90">
        <f t="shared" si="440"/>
        <v>0</v>
      </c>
      <c r="T135" s="90">
        <f t="shared" si="440"/>
        <v>0</v>
      </c>
      <c r="U135" s="90">
        <f t="shared" si="440"/>
        <v>0</v>
      </c>
      <c r="V135" s="90">
        <f t="shared" si="440"/>
        <v>0</v>
      </c>
      <c r="W135" s="90">
        <f t="shared" si="440"/>
        <v>930711.60474997759</v>
      </c>
      <c r="X135" s="90">
        <f t="shared" si="440"/>
        <v>0</v>
      </c>
      <c r="Y135" s="90">
        <f t="shared" si="440"/>
        <v>0</v>
      </c>
      <c r="Z135" s="90">
        <f t="shared" si="440"/>
        <v>0</v>
      </c>
      <c r="AA135" s="90">
        <f t="shared" ref="AA135:BX135" si="441">AA125+AA127-AA128</f>
        <v>1036799.0672814697</v>
      </c>
      <c r="AB135" s="90">
        <f t="shared" si="441"/>
        <v>5578278.0037496779</v>
      </c>
      <c r="AC135" s="90">
        <f t="shared" si="441"/>
        <v>5412020.5656279316</v>
      </c>
      <c r="AD135" s="90">
        <f t="shared" si="441"/>
        <v>5245763.1275061844</v>
      </c>
      <c r="AE135" s="90">
        <f t="shared" si="441"/>
        <v>8834302.707294479</v>
      </c>
      <c r="AF135" s="90">
        <f t="shared" si="441"/>
        <v>6056318.9123327732</v>
      </c>
      <c r="AG135" s="90">
        <f t="shared" si="441"/>
        <v>46928866.241021179</v>
      </c>
      <c r="AH135" s="90">
        <f t="shared" si="441"/>
        <v>35443613.574559584</v>
      </c>
      <c r="AI135" s="90">
        <f t="shared" si="441"/>
        <v>32001030.975760426</v>
      </c>
      <c r="AJ135" s="90">
        <f t="shared" si="441"/>
        <v>31571036.781188898</v>
      </c>
      <c r="AK135" s="90">
        <f t="shared" si="441"/>
        <v>29890998.038607433</v>
      </c>
      <c r="AL135" s="90">
        <f t="shared" si="441"/>
        <v>19038767.094953589</v>
      </c>
      <c r="AM135" s="90">
        <f t="shared" si="441"/>
        <v>78438607.576284677</v>
      </c>
      <c r="AN135" s="90">
        <f t="shared" si="441"/>
        <v>78723190.382022753</v>
      </c>
      <c r="AO135" s="90">
        <f t="shared" si="441"/>
        <v>76237904.9835255</v>
      </c>
      <c r="AP135" s="90">
        <f t="shared" si="441"/>
        <v>69568038.984091252</v>
      </c>
      <c r="AQ135" s="90">
        <f t="shared" si="441"/>
        <v>60007141.674557745</v>
      </c>
      <c r="AR135" s="90">
        <f t="shared" si="441"/>
        <v>49842800.126962997</v>
      </c>
      <c r="AS135" s="90">
        <f t="shared" si="441"/>
        <v>122020359.82788989</v>
      </c>
      <c r="AT135" s="90">
        <f t="shared" si="441"/>
        <v>113296135.53449439</v>
      </c>
      <c r="AU135" s="90">
        <f t="shared" si="441"/>
        <v>102900257.8623848</v>
      </c>
      <c r="AV135" s="90">
        <f t="shared" si="441"/>
        <v>86515286.931450099</v>
      </c>
      <c r="AW135" s="90">
        <f t="shared" si="441"/>
        <v>76890791.522969529</v>
      </c>
      <c r="AX135" s="90">
        <f t="shared" si="441"/>
        <v>66570124.92588608</v>
      </c>
      <c r="AY135" s="90">
        <f t="shared" si="441"/>
        <v>138016978.70221817</v>
      </c>
      <c r="AZ135" s="90">
        <f t="shared" si="441"/>
        <v>122644786.81880826</v>
      </c>
      <c r="BA135" s="90">
        <f t="shared" si="441"/>
        <v>101497986.52294263</v>
      </c>
      <c r="BB135" s="90">
        <f t="shared" si="441"/>
        <v>86777111.988304004</v>
      </c>
      <c r="BC135" s="90">
        <f t="shared" si="441"/>
        <v>71263252.615867913</v>
      </c>
      <c r="BD135" s="90">
        <f t="shared" si="441"/>
        <v>55962332.975746706</v>
      </c>
      <c r="BE135" s="90">
        <f t="shared" si="441"/>
        <v>121079054.79067066</v>
      </c>
      <c r="BF135" s="90">
        <f t="shared" si="441"/>
        <v>105299385.03465195</v>
      </c>
      <c r="BG135" s="90">
        <f t="shared" si="441"/>
        <v>89245772.065687999</v>
      </c>
      <c r="BH135" s="90">
        <f t="shared" si="441"/>
        <v>73655105.877727345</v>
      </c>
      <c r="BI135" s="90">
        <f t="shared" si="441"/>
        <v>143933005.03370112</v>
      </c>
      <c r="BJ135" s="90">
        <f t="shared" si="441"/>
        <v>126557718.10103592</v>
      </c>
      <c r="BK135" s="90">
        <f t="shared" si="441"/>
        <v>109123912.66066916</v>
      </c>
      <c r="BL135" s="90">
        <f t="shared" si="441"/>
        <v>240732258.36116713</v>
      </c>
      <c r="BM135" s="90">
        <f t="shared" si="441"/>
        <v>390094456.18577713</v>
      </c>
      <c r="BN135" s="90">
        <f t="shared" si="441"/>
        <v>247895614.6650129</v>
      </c>
      <c r="BO135" s="90">
        <f t="shared" si="441"/>
        <v>98895614.665012896</v>
      </c>
      <c r="BP135" s="90">
        <f t="shared" si="441"/>
        <v>98895614.665012896</v>
      </c>
      <c r="BQ135" s="90">
        <f t="shared" si="441"/>
        <v>98895614.665012896</v>
      </c>
      <c r="BR135" s="90">
        <f t="shared" si="441"/>
        <v>98895614.665012896</v>
      </c>
      <c r="BS135" s="90">
        <f t="shared" si="441"/>
        <v>98895614.665012896</v>
      </c>
      <c r="BT135" s="90">
        <f t="shared" si="441"/>
        <v>98895614.665012896</v>
      </c>
      <c r="BU135" s="90">
        <f t="shared" si="441"/>
        <v>98895614.665012896</v>
      </c>
      <c r="BV135" s="90">
        <f t="shared" si="441"/>
        <v>98895614.665012896</v>
      </c>
      <c r="BW135" s="90">
        <f t="shared" si="441"/>
        <v>98895614.665012896</v>
      </c>
      <c r="BX135" s="90">
        <f t="shared" si="441"/>
        <v>98895614.665012896</v>
      </c>
      <c r="BY135" s="91">
        <f>BX135</f>
        <v>98895614.665012896</v>
      </c>
      <c r="BZ135" s="851"/>
      <c r="CA135" s="126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  <c r="EM135" s="53"/>
      <c r="EN135" s="53"/>
      <c r="EO135" s="53"/>
      <c r="EP135" s="53"/>
      <c r="EQ135" s="53"/>
    </row>
    <row r="136" spans="1:153" s="53" customFormat="1" ht="15" customHeight="1" thickBot="1">
      <c r="A136" s="69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3">
        <v>37</v>
      </c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113"/>
      <c r="CA136" s="71"/>
    </row>
    <row r="137" spans="1:153" ht="19.5" customHeight="1">
      <c r="A137" s="1581" t="s">
        <v>101</v>
      </c>
      <c r="B137" s="1584" t="s">
        <v>100</v>
      </c>
      <c r="C137" s="1585"/>
      <c r="D137" s="1585"/>
      <c r="E137" s="1585"/>
      <c r="F137" s="1585"/>
      <c r="G137" s="1585"/>
      <c r="H137" s="1585"/>
      <c r="I137" s="1585"/>
      <c r="J137" s="1585"/>
      <c r="K137" s="1585"/>
      <c r="L137" s="1590">
        <v>1</v>
      </c>
      <c r="M137" s="1590"/>
      <c r="N137" s="152">
        <f>N53</f>
        <v>440399821.29997587</v>
      </c>
      <c r="O137" s="737"/>
      <c r="P137" s="737"/>
      <c r="Q137" s="737"/>
      <c r="R137" s="737"/>
      <c r="S137" s="737"/>
      <c r="T137" s="737"/>
      <c r="U137" s="737"/>
      <c r="V137" s="737"/>
      <c r="W137" s="737"/>
      <c r="X137" s="737"/>
      <c r="Y137" s="737"/>
      <c r="Z137" s="737"/>
      <c r="AA137" s="737">
        <f>SUM(AA7)*$N$137</f>
        <v>4227838.284479768</v>
      </c>
      <c r="AB137" s="737">
        <f t="shared" ref="AB137:BP137" si="442">SUM(AB7)*$N$137</f>
        <v>4227838.284479768</v>
      </c>
      <c r="AC137" s="737">
        <f t="shared" si="442"/>
        <v>5108637.9270797195</v>
      </c>
      <c r="AD137" s="737">
        <f t="shared" si="442"/>
        <v>5108637.9270797195</v>
      </c>
      <c r="AE137" s="737">
        <f t="shared" si="442"/>
        <v>5989437.5696796719</v>
      </c>
      <c r="AF137" s="737">
        <f t="shared" si="442"/>
        <v>5989437.5696796719</v>
      </c>
      <c r="AG137" s="737">
        <f t="shared" si="442"/>
        <v>8191436.6761795506</v>
      </c>
      <c r="AH137" s="737">
        <f t="shared" si="442"/>
        <v>8191436.6761795506</v>
      </c>
      <c r="AI137" s="737">
        <f t="shared" si="442"/>
        <v>9512636.1400794778</v>
      </c>
      <c r="AJ137" s="737">
        <f t="shared" si="442"/>
        <v>9512636.1400794778</v>
      </c>
      <c r="AK137" s="737">
        <f t="shared" si="442"/>
        <v>10833835.603979405</v>
      </c>
      <c r="AL137" s="737">
        <f t="shared" si="442"/>
        <v>10833835.603979405</v>
      </c>
      <c r="AM137" s="737">
        <f t="shared" si="442"/>
        <v>11714635.246579358</v>
      </c>
      <c r="AN137" s="737">
        <f t="shared" si="442"/>
        <v>11714635.246579358</v>
      </c>
      <c r="AO137" s="737">
        <f t="shared" si="442"/>
        <v>12595434.889179308</v>
      </c>
      <c r="AP137" s="737">
        <f t="shared" si="442"/>
        <v>12595434.889179308</v>
      </c>
      <c r="AQ137" s="737">
        <f t="shared" si="442"/>
        <v>12595434.889179308</v>
      </c>
      <c r="AR137" s="737">
        <f t="shared" si="442"/>
        <v>12595434.889179308</v>
      </c>
      <c r="AS137" s="737">
        <f t="shared" si="442"/>
        <v>12595434.889179308</v>
      </c>
      <c r="AT137" s="737">
        <f t="shared" si="442"/>
        <v>12595434.889179308</v>
      </c>
      <c r="AU137" s="737">
        <f t="shared" si="442"/>
        <v>13476234.531779261</v>
      </c>
      <c r="AV137" s="737">
        <f t="shared" si="442"/>
        <v>13476234.531779261</v>
      </c>
      <c r="AW137" s="737">
        <f t="shared" si="442"/>
        <v>13476234.531779261</v>
      </c>
      <c r="AX137" s="737">
        <f t="shared" si="442"/>
        <v>13476234.531779261</v>
      </c>
      <c r="AY137" s="737">
        <f t="shared" si="442"/>
        <v>14357034.174379215</v>
      </c>
      <c r="AZ137" s="737">
        <f t="shared" si="442"/>
        <v>14357034.174379215</v>
      </c>
      <c r="BA137" s="737">
        <f t="shared" si="442"/>
        <v>15237833.816979164</v>
      </c>
      <c r="BB137" s="737">
        <f t="shared" si="442"/>
        <v>15237833.816979164</v>
      </c>
      <c r="BC137" s="737">
        <f t="shared" si="442"/>
        <v>16118633.459579119</v>
      </c>
      <c r="BD137" s="737">
        <f t="shared" si="442"/>
        <v>16118633.459579119</v>
      </c>
      <c r="BE137" s="737">
        <f t="shared" si="442"/>
        <v>16118633.459579119</v>
      </c>
      <c r="BF137" s="737">
        <f t="shared" si="442"/>
        <v>16118633.459579119</v>
      </c>
      <c r="BG137" s="737">
        <f t="shared" si="442"/>
        <v>15237833.816979164</v>
      </c>
      <c r="BH137" s="737">
        <f t="shared" si="442"/>
        <v>15237833.816979164</v>
      </c>
      <c r="BI137" s="737">
        <f t="shared" si="442"/>
        <v>15237833.816979164</v>
      </c>
      <c r="BJ137" s="737">
        <f t="shared" si="442"/>
        <v>15237833.816979164</v>
      </c>
      <c r="BK137" s="737">
        <f t="shared" si="442"/>
        <v>15149753.852719311</v>
      </c>
      <c r="BL137" s="737">
        <f t="shared" si="442"/>
        <v>0</v>
      </c>
      <c r="BM137" s="737">
        <f t="shared" si="442"/>
        <v>0</v>
      </c>
      <c r="BN137" s="737">
        <f t="shared" si="442"/>
        <v>0</v>
      </c>
      <c r="BO137" s="737">
        <f t="shared" si="442"/>
        <v>0</v>
      </c>
      <c r="BP137" s="737">
        <f t="shared" si="442"/>
        <v>0</v>
      </c>
      <c r="BQ137" s="737"/>
      <c r="BR137" s="737">
        <f>SUM(BQ7:BR7)*$N$137</f>
        <v>0</v>
      </c>
      <c r="BS137" s="737"/>
      <c r="BT137" s="737">
        <f>SUM(BS7:BT7)*$N$137</f>
        <v>0</v>
      </c>
      <c r="BU137" s="737"/>
      <c r="BV137" s="737"/>
      <c r="BW137" s="737"/>
      <c r="BX137" s="737"/>
      <c r="BY137" s="737">
        <f>SUM(P137:BX137)</f>
        <v>440399821.29997605</v>
      </c>
      <c r="BZ137" s="113">
        <f>BY137-N137</f>
        <v>0</v>
      </c>
    </row>
    <row r="138" spans="1:153" ht="19.5" customHeight="1">
      <c r="A138" s="1582"/>
      <c r="B138" s="1586" t="s">
        <v>93</v>
      </c>
      <c r="C138" s="1587"/>
      <c r="D138" s="1587"/>
      <c r="E138" s="1587"/>
      <c r="F138" s="1587"/>
      <c r="G138" s="1587"/>
      <c r="H138" s="1587"/>
      <c r="I138" s="1587"/>
      <c r="J138" s="1587"/>
      <c r="K138" s="1587"/>
      <c r="L138" s="1591">
        <f>N138/N137</f>
        <v>0.89999999999999991</v>
      </c>
      <c r="M138" s="1591"/>
      <c r="N138" s="153">
        <f>N137-N139</f>
        <v>396359839.16997826</v>
      </c>
      <c r="O138" s="737"/>
      <c r="P138" s="737"/>
      <c r="Q138" s="737"/>
      <c r="R138" s="737"/>
      <c r="S138" s="737"/>
      <c r="T138" s="737"/>
      <c r="U138" s="737"/>
      <c r="V138" s="737"/>
      <c r="W138" s="737"/>
      <c r="X138" s="737"/>
      <c r="Y138" s="737"/>
      <c r="Z138" s="737"/>
      <c r="AA138" s="737">
        <f>AA137-AA140</f>
        <v>3805054.4560317914</v>
      </c>
      <c r="AB138" s="737">
        <f t="shared" ref="AB138:BP138" si="443">AB137-AB140</f>
        <v>3805054.4560317914</v>
      </c>
      <c r="AC138" s="737">
        <f t="shared" si="443"/>
        <v>4597774.1343717473</v>
      </c>
      <c r="AD138" s="737">
        <f t="shared" si="443"/>
        <v>4597774.1343717473</v>
      </c>
      <c r="AE138" s="737">
        <f t="shared" si="443"/>
        <v>5390493.8127117045</v>
      </c>
      <c r="AF138" s="737">
        <f t="shared" si="443"/>
        <v>5390493.8127117045</v>
      </c>
      <c r="AG138" s="737">
        <f t="shared" si="443"/>
        <v>7372293.0085615953</v>
      </c>
      <c r="AH138" s="737">
        <f t="shared" si="443"/>
        <v>7372293.0085615953</v>
      </c>
      <c r="AI138" s="737">
        <f t="shared" si="443"/>
        <v>8561372.5260715298</v>
      </c>
      <c r="AJ138" s="737">
        <f t="shared" si="443"/>
        <v>8561372.5260715298</v>
      </c>
      <c r="AK138" s="737">
        <f t="shared" si="443"/>
        <v>9750452.0435814653</v>
      </c>
      <c r="AL138" s="737">
        <f t="shared" si="443"/>
        <v>9750452.0435814653</v>
      </c>
      <c r="AM138" s="737">
        <f t="shared" si="443"/>
        <v>10543171.721921422</v>
      </c>
      <c r="AN138" s="737">
        <f t="shared" si="443"/>
        <v>10543171.721921422</v>
      </c>
      <c r="AO138" s="737">
        <f t="shared" si="443"/>
        <v>11335891.400261376</v>
      </c>
      <c r="AP138" s="737">
        <f t="shared" si="443"/>
        <v>11335891.400261376</v>
      </c>
      <c r="AQ138" s="737">
        <f t="shared" si="443"/>
        <v>11335891.400261376</v>
      </c>
      <c r="AR138" s="737">
        <f t="shared" si="443"/>
        <v>11335891.400261376</v>
      </c>
      <c r="AS138" s="737">
        <f t="shared" si="443"/>
        <v>11335891.400261376</v>
      </c>
      <c r="AT138" s="737">
        <f t="shared" si="443"/>
        <v>11335891.400261376</v>
      </c>
      <c r="AU138" s="737">
        <f t="shared" si="443"/>
        <v>12128611.078601334</v>
      </c>
      <c r="AV138" s="737">
        <f t="shared" si="443"/>
        <v>12128611.078601334</v>
      </c>
      <c r="AW138" s="737">
        <f t="shared" si="443"/>
        <v>12128611.078601334</v>
      </c>
      <c r="AX138" s="737">
        <f t="shared" si="443"/>
        <v>12128611.078601334</v>
      </c>
      <c r="AY138" s="737">
        <f t="shared" si="443"/>
        <v>12921330.756941292</v>
      </c>
      <c r="AZ138" s="737">
        <f t="shared" si="443"/>
        <v>12921330.756941292</v>
      </c>
      <c r="BA138" s="737">
        <f t="shared" si="443"/>
        <v>13714050.435281247</v>
      </c>
      <c r="BB138" s="737">
        <f t="shared" si="443"/>
        <v>13714050.435281247</v>
      </c>
      <c r="BC138" s="737">
        <f t="shared" si="443"/>
        <v>14506770.113621207</v>
      </c>
      <c r="BD138" s="737">
        <f t="shared" si="443"/>
        <v>14506770.113621207</v>
      </c>
      <c r="BE138" s="737">
        <f t="shared" si="443"/>
        <v>14506770.113621207</v>
      </c>
      <c r="BF138" s="737">
        <f t="shared" si="443"/>
        <v>14506770.113621207</v>
      </c>
      <c r="BG138" s="737">
        <f t="shared" si="443"/>
        <v>13714050.435281247</v>
      </c>
      <c r="BH138" s="737">
        <f t="shared" si="443"/>
        <v>13714050.435281247</v>
      </c>
      <c r="BI138" s="737">
        <f t="shared" si="443"/>
        <v>13714050.435281247</v>
      </c>
      <c r="BJ138" s="737">
        <f t="shared" si="443"/>
        <v>13714050.435281247</v>
      </c>
      <c r="BK138" s="737">
        <f t="shared" si="443"/>
        <v>13634778.46744738</v>
      </c>
      <c r="BL138" s="737">
        <f t="shared" si="443"/>
        <v>0</v>
      </c>
      <c r="BM138" s="737">
        <f t="shared" si="443"/>
        <v>0</v>
      </c>
      <c r="BN138" s="737">
        <f t="shared" si="443"/>
        <v>0</v>
      </c>
      <c r="BO138" s="737">
        <f t="shared" si="443"/>
        <v>0</v>
      </c>
      <c r="BP138" s="737">
        <f t="shared" si="443"/>
        <v>0</v>
      </c>
      <c r="BQ138" s="737"/>
      <c r="BR138" s="737">
        <f>BR137-BR140</f>
        <v>0</v>
      </c>
      <c r="BS138" s="737"/>
      <c r="BT138" s="737">
        <f>BT137-BT140</f>
        <v>0</v>
      </c>
      <c r="BU138" s="737"/>
      <c r="BV138" s="737"/>
      <c r="BW138" s="737"/>
      <c r="BX138" s="737"/>
      <c r="BY138" s="737">
        <f>SUM(P138:BX138)</f>
        <v>396359839.16997862</v>
      </c>
      <c r="BZ138" s="113">
        <f>BY138-N138</f>
        <v>0</v>
      </c>
    </row>
    <row r="139" spans="1:153" ht="19.5" customHeight="1" thickBot="1">
      <c r="A139" s="1583"/>
      <c r="B139" s="1588" t="s">
        <v>328</v>
      </c>
      <c r="C139" s="1589"/>
      <c r="D139" s="1589"/>
      <c r="E139" s="1589"/>
      <c r="F139" s="1589"/>
      <c r="G139" s="1589"/>
      <c r="H139" s="1589"/>
      <c r="I139" s="1589"/>
      <c r="J139" s="1589"/>
      <c r="K139" s="1589"/>
      <c r="L139" s="1592">
        <f>N139/N137</f>
        <v>0.1</v>
      </c>
      <c r="M139" s="1592"/>
      <c r="N139" s="154">
        <f>N137*0.1</f>
        <v>44039982.129997589</v>
      </c>
      <c r="O139" s="737"/>
      <c r="P139" s="737"/>
      <c r="Q139" s="737"/>
      <c r="R139" s="737"/>
      <c r="S139" s="737"/>
      <c r="T139" s="737"/>
      <c r="U139" s="737"/>
      <c r="V139" s="737"/>
      <c r="W139" s="737"/>
      <c r="X139" s="737"/>
      <c r="Y139" s="737"/>
      <c r="Z139" s="737"/>
      <c r="AA139" s="737"/>
      <c r="AB139" s="737"/>
      <c r="AC139" s="737"/>
      <c r="AD139" s="737"/>
      <c r="AE139" s="737"/>
      <c r="AF139" s="737"/>
      <c r="AG139" s="737"/>
      <c r="AH139" s="737"/>
      <c r="AI139" s="737"/>
      <c r="AJ139" s="737"/>
      <c r="AK139" s="737"/>
      <c r="AL139" s="737"/>
      <c r="AM139" s="737"/>
      <c r="AN139" s="737"/>
      <c r="AO139" s="737"/>
      <c r="AP139" s="737"/>
      <c r="AQ139" s="737"/>
      <c r="AR139" s="737"/>
      <c r="AS139" s="737"/>
      <c r="AT139" s="737"/>
      <c r="AU139" s="737"/>
      <c r="AV139" s="737"/>
      <c r="AW139" s="737"/>
      <c r="AX139" s="737"/>
      <c r="AY139" s="737"/>
      <c r="AZ139" s="737"/>
      <c r="BA139" s="737"/>
      <c r="BB139" s="737"/>
      <c r="BC139" s="737"/>
      <c r="BD139" s="737"/>
      <c r="BE139" s="737"/>
      <c r="BF139" s="737"/>
      <c r="BG139" s="737"/>
      <c r="BH139" s="737"/>
      <c r="BI139" s="737"/>
      <c r="BJ139" s="737"/>
      <c r="BK139" s="737"/>
      <c r="BL139" s="737"/>
      <c r="BM139" s="737"/>
      <c r="BN139" s="737">
        <f>SUM(X140:BN140)</f>
        <v>44039982.129997596</v>
      </c>
      <c r="BO139" s="737"/>
      <c r="BP139" s="737"/>
      <c r="BQ139" s="737"/>
      <c r="BR139" s="737"/>
      <c r="BS139" s="737"/>
      <c r="BT139" s="737"/>
      <c r="BU139" s="737"/>
      <c r="BV139" s="737"/>
      <c r="BW139" s="737"/>
      <c r="BX139" s="737"/>
      <c r="BY139" s="737">
        <f>SUM(P139:BX139)</f>
        <v>44039982.129997596</v>
      </c>
      <c r="BZ139" s="113">
        <f>BY139-N139</f>
        <v>0</v>
      </c>
    </row>
    <row r="140" spans="1:153" ht="19.5" customHeight="1" thickBot="1">
      <c r="AA140" s="736">
        <f>SUM(AA7)*$N$139</f>
        <v>422783.82844797679</v>
      </c>
      <c r="AB140" s="736">
        <f t="shared" ref="AB140:BP140" si="444">SUM(AB7)*$N$139</f>
        <v>422783.82844797679</v>
      </c>
      <c r="AC140" s="736">
        <f t="shared" si="444"/>
        <v>510863.792707972</v>
      </c>
      <c r="AD140" s="736">
        <f t="shared" si="444"/>
        <v>510863.792707972</v>
      </c>
      <c r="AE140" s="736">
        <f t="shared" si="444"/>
        <v>598943.75696796726</v>
      </c>
      <c r="AF140" s="736">
        <f t="shared" si="444"/>
        <v>598943.75696796726</v>
      </c>
      <c r="AG140" s="736">
        <f t="shared" si="444"/>
        <v>819143.66761795513</v>
      </c>
      <c r="AH140" s="736">
        <f t="shared" si="444"/>
        <v>819143.66761795513</v>
      </c>
      <c r="AI140" s="736">
        <f t="shared" si="444"/>
        <v>951263.61400794785</v>
      </c>
      <c r="AJ140" s="736">
        <f t="shared" si="444"/>
        <v>951263.61400794785</v>
      </c>
      <c r="AK140" s="736">
        <f t="shared" si="444"/>
        <v>1083383.5603979405</v>
      </c>
      <c r="AL140" s="736">
        <f t="shared" si="444"/>
        <v>1083383.5603979405</v>
      </c>
      <c r="AM140" s="736">
        <f t="shared" si="444"/>
        <v>1171463.5246579358</v>
      </c>
      <c r="AN140" s="736">
        <f t="shared" si="444"/>
        <v>1171463.5246579358</v>
      </c>
      <c r="AO140" s="736">
        <f t="shared" si="444"/>
        <v>1259543.488917931</v>
      </c>
      <c r="AP140" s="736">
        <f t="shared" si="444"/>
        <v>1259543.488917931</v>
      </c>
      <c r="AQ140" s="736">
        <f t="shared" si="444"/>
        <v>1259543.488917931</v>
      </c>
      <c r="AR140" s="736">
        <f t="shared" si="444"/>
        <v>1259543.488917931</v>
      </c>
      <c r="AS140" s="736">
        <f t="shared" si="444"/>
        <v>1259543.488917931</v>
      </c>
      <c r="AT140" s="736">
        <f t="shared" si="444"/>
        <v>1259543.488917931</v>
      </c>
      <c r="AU140" s="736">
        <f t="shared" si="444"/>
        <v>1347623.4531779261</v>
      </c>
      <c r="AV140" s="736">
        <f t="shared" si="444"/>
        <v>1347623.4531779261</v>
      </c>
      <c r="AW140" s="736">
        <f t="shared" si="444"/>
        <v>1347623.4531779261</v>
      </c>
      <c r="AX140" s="736">
        <f t="shared" si="444"/>
        <v>1347623.4531779261</v>
      </c>
      <c r="AY140" s="736">
        <f t="shared" si="444"/>
        <v>1435703.4174379215</v>
      </c>
      <c r="AZ140" s="736">
        <f t="shared" si="444"/>
        <v>1435703.4174379215</v>
      </c>
      <c r="BA140" s="736">
        <f t="shared" si="444"/>
        <v>1523783.3816979164</v>
      </c>
      <c r="BB140" s="736">
        <f t="shared" si="444"/>
        <v>1523783.3816979164</v>
      </c>
      <c r="BC140" s="736">
        <f t="shared" si="444"/>
        <v>1611863.345957912</v>
      </c>
      <c r="BD140" s="736">
        <f t="shared" si="444"/>
        <v>1611863.345957912</v>
      </c>
      <c r="BE140" s="736">
        <f t="shared" si="444"/>
        <v>1611863.345957912</v>
      </c>
      <c r="BF140" s="736">
        <f t="shared" si="444"/>
        <v>1611863.345957912</v>
      </c>
      <c r="BG140" s="736">
        <f t="shared" si="444"/>
        <v>1523783.3816979164</v>
      </c>
      <c r="BH140" s="736">
        <f t="shared" si="444"/>
        <v>1523783.3816979164</v>
      </c>
      <c r="BI140" s="736">
        <f t="shared" si="444"/>
        <v>1523783.3816979164</v>
      </c>
      <c r="BJ140" s="736">
        <f t="shared" si="444"/>
        <v>1523783.3816979164</v>
      </c>
      <c r="BK140" s="736">
        <f t="shared" si="444"/>
        <v>1514975.3852719311</v>
      </c>
      <c r="BL140" s="736">
        <f t="shared" si="444"/>
        <v>0</v>
      </c>
      <c r="BM140" s="736">
        <f t="shared" si="444"/>
        <v>0</v>
      </c>
      <c r="BN140" s="736">
        <f t="shared" si="444"/>
        <v>0</v>
      </c>
      <c r="BO140" s="736">
        <f t="shared" si="444"/>
        <v>0</v>
      </c>
      <c r="BP140" s="736">
        <f t="shared" si="444"/>
        <v>0</v>
      </c>
      <c r="BQ140" s="143"/>
      <c r="BR140" s="736">
        <f>SUM(BQ7:BR7)*$N$139</f>
        <v>0</v>
      </c>
      <c r="BS140" s="143"/>
      <c r="BT140" s="736">
        <f>SUM(BS7:BT7)*$N$139</f>
        <v>0</v>
      </c>
      <c r="BU140" s="143"/>
      <c r="BV140" s="143"/>
      <c r="BW140" s="143"/>
      <c r="BX140" s="143"/>
      <c r="BY140" s="143"/>
    </row>
    <row r="141" spans="1:153" s="23" customFormat="1" ht="15" customHeight="1">
      <c r="A141" s="1575" t="s">
        <v>316</v>
      </c>
      <c r="B141" s="1578" t="s">
        <v>317</v>
      </c>
      <c r="C141" s="1578"/>
      <c r="D141" s="1578"/>
      <c r="E141" s="1578"/>
      <c r="F141" s="1578"/>
      <c r="G141" s="1578"/>
      <c r="H141" s="1578"/>
      <c r="I141" s="1578"/>
      <c r="J141" s="1578"/>
      <c r="K141" s="1578"/>
      <c r="L141" s="1578"/>
      <c r="M141" s="1578"/>
      <c r="N141" s="527"/>
      <c r="O141" s="527"/>
      <c r="P141" s="527">
        <f t="shared" ref="P141:BX141" si="445">SUM(P16:P21,P34:P36)</f>
        <v>0</v>
      </c>
      <c r="Q141" s="527"/>
      <c r="R141" s="527"/>
      <c r="S141" s="527"/>
      <c r="T141" s="527"/>
      <c r="U141" s="527"/>
      <c r="V141" s="527"/>
      <c r="W141" s="527"/>
      <c r="X141" s="527">
        <f>SUM(X16:X21,X34:X36)</f>
        <v>0</v>
      </c>
      <c r="Y141" s="527">
        <f t="shared" si="445"/>
        <v>0</v>
      </c>
      <c r="Z141" s="527"/>
      <c r="AA141" s="527">
        <f t="shared" ref="AA141:AG141" si="446">SUM(AA16:AA21,AA34:AA36)</f>
        <v>0</v>
      </c>
      <c r="AB141" s="527">
        <f t="shared" si="446"/>
        <v>0</v>
      </c>
      <c r="AC141" s="527">
        <f t="shared" si="446"/>
        <v>0</v>
      </c>
      <c r="AD141" s="527">
        <f t="shared" si="446"/>
        <v>0</v>
      </c>
      <c r="AE141" s="527">
        <f t="shared" si="446"/>
        <v>0</v>
      </c>
      <c r="AF141" s="527">
        <f t="shared" si="446"/>
        <v>0</v>
      </c>
      <c r="AG141" s="527">
        <f t="shared" si="446"/>
        <v>47741833.658750005</v>
      </c>
      <c r="AH141" s="527">
        <f t="shared" si="445"/>
        <v>3472133.3569999998</v>
      </c>
      <c r="AI141" s="527">
        <f t="shared" si="445"/>
        <v>2604100.0177499996</v>
      </c>
      <c r="AJ141" s="527">
        <f t="shared" si="445"/>
        <v>4340166.69625</v>
      </c>
      <c r="AK141" s="527">
        <f t="shared" si="445"/>
        <v>4340166.69625</v>
      </c>
      <c r="AL141" s="527">
        <f>SUM(AL16:AL21,AL34:AL37)</f>
        <v>2604100.0177499996</v>
      </c>
      <c r="AM141" s="527">
        <f t="shared" ref="AM141:BP141" si="447">SUM(AM16:AM21,AM34:AM37)</f>
        <v>70310700.479250014</v>
      </c>
      <c r="AN141" s="527">
        <f t="shared" si="447"/>
        <v>6944266.7139999997</v>
      </c>
      <c r="AO141" s="527">
        <f t="shared" si="447"/>
        <v>6944266.7139999997</v>
      </c>
      <c r="AP141" s="527">
        <f t="shared" si="447"/>
        <v>5208200.0354999993</v>
      </c>
      <c r="AQ141" s="527">
        <f t="shared" si="447"/>
        <v>5208200.0354999993</v>
      </c>
      <c r="AR141" s="527">
        <f t="shared" si="447"/>
        <v>1736066.6784999999</v>
      </c>
      <c r="AS141" s="527">
        <f t="shared" si="447"/>
        <v>83331200.568000033</v>
      </c>
      <c r="AT141" s="527">
        <f t="shared" si="447"/>
        <v>2604100.0177499996</v>
      </c>
      <c r="AU141" s="527">
        <f t="shared" si="447"/>
        <v>2604100.0177499996</v>
      </c>
      <c r="AV141" s="527">
        <f t="shared" si="447"/>
        <v>2945019.3202499999</v>
      </c>
      <c r="AW141" s="527">
        <f t="shared" si="447"/>
        <v>2641979.9402499995</v>
      </c>
      <c r="AX141" s="527">
        <f t="shared" si="447"/>
        <v>2641979.9402499995</v>
      </c>
      <c r="AY141" s="527">
        <f t="shared" si="447"/>
        <v>86011060.430750027</v>
      </c>
      <c r="AZ141" s="527">
        <f t="shared" si="447"/>
        <v>37879.922500000008</v>
      </c>
      <c r="BA141" s="527">
        <f t="shared" si="447"/>
        <v>606078.76</v>
      </c>
      <c r="BB141" s="527">
        <f t="shared" si="447"/>
        <v>75759.845000000016</v>
      </c>
      <c r="BC141" s="527">
        <f t="shared" si="447"/>
        <v>75759.845000000016</v>
      </c>
      <c r="BD141" s="527">
        <f t="shared" si="447"/>
        <v>75759.845000000016</v>
      </c>
      <c r="BE141" s="527">
        <f t="shared" si="447"/>
        <v>86617139.190750033</v>
      </c>
      <c r="BF141" s="527">
        <f t="shared" si="447"/>
        <v>113639.76750000002</v>
      </c>
      <c r="BG141" s="527">
        <f t="shared" si="447"/>
        <v>0</v>
      </c>
      <c r="BH141" s="527">
        <f t="shared" si="447"/>
        <v>113639.76750000002</v>
      </c>
      <c r="BI141" s="527">
        <f t="shared" si="447"/>
        <v>91901099.071250051</v>
      </c>
      <c r="BJ141" s="527">
        <f t="shared" si="447"/>
        <v>0</v>
      </c>
      <c r="BK141" s="527">
        <f t="shared" si="447"/>
        <v>0</v>
      </c>
      <c r="BL141" s="527">
        <f t="shared" si="447"/>
        <v>0</v>
      </c>
      <c r="BM141" s="527">
        <f t="shared" si="447"/>
        <v>0</v>
      </c>
      <c r="BN141" s="527">
        <f t="shared" si="447"/>
        <v>0</v>
      </c>
      <c r="BO141" s="527">
        <f t="shared" si="447"/>
        <v>0</v>
      </c>
      <c r="BP141" s="527">
        <f t="shared" si="447"/>
        <v>0</v>
      </c>
      <c r="BQ141" s="527"/>
      <c r="BR141" s="527">
        <f t="shared" ref="BR141" si="448">SUM(BR16:BR21,BR34:BR37)</f>
        <v>0</v>
      </c>
      <c r="BS141" s="527">
        <f t="shared" si="445"/>
        <v>0</v>
      </c>
      <c r="BT141" s="527">
        <f t="shared" si="445"/>
        <v>0</v>
      </c>
      <c r="BU141" s="527">
        <f t="shared" si="445"/>
        <v>0</v>
      </c>
      <c r="BV141" s="527">
        <f t="shared" si="445"/>
        <v>0</v>
      </c>
      <c r="BW141" s="527">
        <f t="shared" si="445"/>
        <v>0</v>
      </c>
      <c r="BX141" s="527">
        <f t="shared" si="445"/>
        <v>0</v>
      </c>
      <c r="BY141" s="528">
        <f>SUM(P141:BX141)</f>
        <v>523850397.35000026</v>
      </c>
      <c r="BZ141" s="6"/>
      <c r="CA141" s="6"/>
      <c r="CB141" s="6"/>
      <c r="CC141" s="6"/>
      <c r="CD141" s="6"/>
      <c r="CE141" s="6"/>
      <c r="CF141" s="113"/>
      <c r="CG141" s="71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</row>
    <row r="142" spans="1:153" s="23" customFormat="1" ht="15" customHeight="1" thickBot="1">
      <c r="A142" s="1576"/>
      <c r="B142" s="1579" t="s">
        <v>318</v>
      </c>
      <c r="C142" s="1579"/>
      <c r="D142" s="1579"/>
      <c r="E142" s="1579"/>
      <c r="F142" s="1579"/>
      <c r="G142" s="1579"/>
      <c r="H142" s="1579"/>
      <c r="I142" s="1579"/>
      <c r="J142" s="1579"/>
      <c r="K142" s="1579"/>
      <c r="L142" s="1579"/>
      <c r="M142" s="157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>
        <f>P142+X141</f>
        <v>0</v>
      </c>
      <c r="Y142" s="529">
        <f t="shared" ref="Y142:BJ142" si="449">X142+Y141</f>
        <v>0</v>
      </c>
      <c r="Z142" s="529"/>
      <c r="AA142" s="529">
        <f t="shared" ref="AA142:AG142" si="450">R142+AA141</f>
        <v>0</v>
      </c>
      <c r="AB142" s="529">
        <f t="shared" si="450"/>
        <v>0</v>
      </c>
      <c r="AC142" s="529">
        <f t="shared" si="450"/>
        <v>0</v>
      </c>
      <c r="AD142" s="529">
        <f t="shared" si="450"/>
        <v>0</v>
      </c>
      <c r="AE142" s="529">
        <f t="shared" si="450"/>
        <v>0</v>
      </c>
      <c r="AF142" s="529">
        <f t="shared" si="450"/>
        <v>0</v>
      </c>
      <c r="AG142" s="529">
        <f t="shared" si="450"/>
        <v>47741833.658750005</v>
      </c>
      <c r="AH142" s="529">
        <f>Y142+AH141</f>
        <v>3472133.3569999998</v>
      </c>
      <c r="AI142" s="529">
        <f t="shared" si="449"/>
        <v>6076233.3747499995</v>
      </c>
      <c r="AJ142" s="529">
        <f t="shared" si="449"/>
        <v>10416400.070999999</v>
      </c>
      <c r="AK142" s="529">
        <f t="shared" si="449"/>
        <v>14756566.767249998</v>
      </c>
      <c r="AL142" s="529">
        <f t="shared" si="449"/>
        <v>17360666.784999996</v>
      </c>
      <c r="AM142" s="529">
        <f t="shared" si="449"/>
        <v>87671367.26425001</v>
      </c>
      <c r="AN142" s="529">
        <f t="shared" si="449"/>
        <v>94615633.978250012</v>
      </c>
      <c r="AO142" s="529">
        <f t="shared" si="449"/>
        <v>101559900.69225001</v>
      </c>
      <c r="AP142" s="529">
        <f t="shared" si="449"/>
        <v>106768100.72775002</v>
      </c>
      <c r="AQ142" s="529">
        <f t="shared" si="449"/>
        <v>111976300.76325002</v>
      </c>
      <c r="AR142" s="529">
        <f t="shared" si="449"/>
        <v>113712367.44175002</v>
      </c>
      <c r="AS142" s="529">
        <f t="shared" si="449"/>
        <v>197043568.00975007</v>
      </c>
      <c r="AT142" s="529">
        <f t="shared" si="449"/>
        <v>199647668.02750006</v>
      </c>
      <c r="AU142" s="529">
        <f t="shared" si="449"/>
        <v>202251768.04525006</v>
      </c>
      <c r="AV142" s="529">
        <f t="shared" si="449"/>
        <v>205196787.36550006</v>
      </c>
      <c r="AW142" s="529">
        <f t="shared" si="449"/>
        <v>207838767.30575007</v>
      </c>
      <c r="AX142" s="529">
        <f t="shared" si="449"/>
        <v>210480747.24600008</v>
      </c>
      <c r="AY142" s="529">
        <f t="shared" si="449"/>
        <v>296491807.67675012</v>
      </c>
      <c r="AZ142" s="529">
        <f t="shared" si="449"/>
        <v>296529687.59925014</v>
      </c>
      <c r="BA142" s="529">
        <f t="shared" si="449"/>
        <v>297135766.35925013</v>
      </c>
      <c r="BB142" s="529">
        <f t="shared" si="449"/>
        <v>297211526.20425016</v>
      </c>
      <c r="BC142" s="529">
        <f t="shared" si="449"/>
        <v>297287286.04925019</v>
      </c>
      <c r="BD142" s="529">
        <f t="shared" si="449"/>
        <v>297363045.89425021</v>
      </c>
      <c r="BE142" s="529">
        <f t="shared" si="449"/>
        <v>383980185.08500028</v>
      </c>
      <c r="BF142" s="529">
        <f t="shared" si="449"/>
        <v>384093824.85250026</v>
      </c>
      <c r="BG142" s="529">
        <f t="shared" si="449"/>
        <v>384093824.85250026</v>
      </c>
      <c r="BH142" s="529">
        <f t="shared" si="449"/>
        <v>384207464.62000024</v>
      </c>
      <c r="BI142" s="529">
        <f t="shared" si="449"/>
        <v>476108563.69125032</v>
      </c>
      <c r="BJ142" s="529">
        <f t="shared" si="449"/>
        <v>476108563.69125032</v>
      </c>
      <c r="BK142" s="529">
        <f t="shared" ref="BK142" si="451">BJ142+BK141</f>
        <v>476108563.69125032</v>
      </c>
      <c r="BL142" s="529"/>
      <c r="BM142" s="529"/>
      <c r="BN142" s="529"/>
      <c r="BO142" s="529"/>
      <c r="BP142" s="529"/>
      <c r="BQ142" s="529"/>
      <c r="BR142" s="529"/>
      <c r="BS142" s="529"/>
      <c r="BT142" s="529"/>
      <c r="BU142" s="529"/>
      <c r="BV142" s="529"/>
      <c r="BW142" s="529"/>
      <c r="BX142" s="529"/>
      <c r="BY142" s="532"/>
      <c r="BZ142" s="6"/>
      <c r="CA142" s="6"/>
      <c r="CB142" s="6"/>
      <c r="CC142" s="6"/>
      <c r="CD142" s="6"/>
      <c r="CE142" s="6"/>
      <c r="CF142" s="113"/>
      <c r="CG142" s="71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</row>
    <row r="143" spans="1:153" s="23" customFormat="1" ht="15" customHeight="1">
      <c r="A143" s="1576"/>
      <c r="B143" s="1579" t="s">
        <v>319</v>
      </c>
      <c r="C143" s="1579"/>
      <c r="D143" s="1579"/>
      <c r="E143" s="1579"/>
      <c r="F143" s="1579"/>
      <c r="G143" s="1579"/>
      <c r="H143" s="1579"/>
      <c r="I143" s="1579"/>
      <c r="J143" s="1579"/>
      <c r="K143" s="1579"/>
      <c r="L143" s="1579"/>
      <c r="M143" s="157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  <c r="AI143" s="529"/>
      <c r="AJ143" s="529"/>
      <c r="AK143" s="529"/>
      <c r="AL143" s="529">
        <f>AK142*$AQ$3/12</f>
        <v>51647.983685374995</v>
      </c>
      <c r="AM143" s="529">
        <f>AL142*$AQ$3/12</f>
        <v>60762.333747499993</v>
      </c>
      <c r="AN143" s="529">
        <f>AM142*$AQ$3/12</f>
        <v>306849.78542487504</v>
      </c>
      <c r="AO143" s="529">
        <f t="shared" ref="AO143:BK143" si="452">AN142*$AQ$3/12</f>
        <v>331154.71892387507</v>
      </c>
      <c r="AP143" s="529">
        <f t="shared" si="452"/>
        <v>355459.65242287511</v>
      </c>
      <c r="AQ143" s="529">
        <f t="shared" si="452"/>
        <v>373688.35254712513</v>
      </c>
      <c r="AR143" s="529">
        <f t="shared" si="452"/>
        <v>391917.05267137516</v>
      </c>
      <c r="AS143" s="529">
        <f t="shared" si="452"/>
        <v>397993.28604612505</v>
      </c>
      <c r="AT143" s="529">
        <f t="shared" si="452"/>
        <v>689652.4880341253</v>
      </c>
      <c r="AU143" s="529">
        <f t="shared" si="452"/>
        <v>698766.8380962502</v>
      </c>
      <c r="AV143" s="529">
        <f t="shared" si="452"/>
        <v>707881.18815837521</v>
      </c>
      <c r="AW143" s="529">
        <f t="shared" si="452"/>
        <v>718188.75577925018</v>
      </c>
      <c r="AX143" s="529">
        <f t="shared" si="452"/>
        <v>727435.68557012535</v>
      </c>
      <c r="AY143" s="529">
        <f t="shared" si="452"/>
        <v>736682.61536100029</v>
      </c>
      <c r="AZ143" s="529">
        <f t="shared" si="452"/>
        <v>1037721.3268686255</v>
      </c>
      <c r="BA143" s="529">
        <f t="shared" si="452"/>
        <v>1037853.9065973755</v>
      </c>
      <c r="BB143" s="529">
        <f t="shared" si="452"/>
        <v>1039975.1822573756</v>
      </c>
      <c r="BC143" s="529">
        <f t="shared" si="452"/>
        <v>1040240.3417148757</v>
      </c>
      <c r="BD143" s="529">
        <f t="shared" si="452"/>
        <v>1040505.5011723757</v>
      </c>
      <c r="BE143" s="529">
        <f t="shared" si="452"/>
        <v>1040770.6606298758</v>
      </c>
      <c r="BF143" s="529">
        <f t="shared" si="452"/>
        <v>1343930.6477975009</v>
      </c>
      <c r="BG143" s="529">
        <f t="shared" si="452"/>
        <v>1344328.3869837511</v>
      </c>
      <c r="BH143" s="529">
        <f t="shared" si="452"/>
        <v>1344328.3869837511</v>
      </c>
      <c r="BI143" s="529">
        <f t="shared" si="452"/>
        <v>1344726.126170001</v>
      </c>
      <c r="BJ143" s="529">
        <f t="shared" si="452"/>
        <v>1666379.9729193763</v>
      </c>
      <c r="BK143" s="529">
        <f t="shared" si="452"/>
        <v>1666379.9729193763</v>
      </c>
      <c r="BL143" s="529"/>
      <c r="BM143" s="529"/>
      <c r="BN143" s="529"/>
      <c r="BO143" s="529"/>
      <c r="BP143" s="529"/>
      <c r="BQ143" s="529">
        <f>BP142*$AQ$3/12</f>
        <v>0</v>
      </c>
      <c r="BR143" s="529"/>
      <c r="BS143" s="529"/>
      <c r="BT143" s="782"/>
      <c r="BU143" s="529">
        <f t="shared" ref="BU143:BX143" si="453">BT142*$AY$3/12</f>
        <v>0</v>
      </c>
      <c r="BV143" s="529">
        <f t="shared" si="453"/>
        <v>0</v>
      </c>
      <c r="BW143" s="529">
        <f t="shared" si="453"/>
        <v>0</v>
      </c>
      <c r="BX143" s="529">
        <f t="shared" si="453"/>
        <v>0</v>
      </c>
      <c r="BY143" s="528">
        <f>SUM(P143:BX143)</f>
        <v>21495221.149482507</v>
      </c>
      <c r="BZ143" s="6"/>
      <c r="CA143" s="6"/>
      <c r="CB143" s="6"/>
      <c r="CC143" s="6"/>
      <c r="CD143" s="6"/>
      <c r="CE143" s="6"/>
      <c r="CF143" s="113"/>
      <c r="CG143" s="71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</row>
    <row r="144" spans="1:153" s="23" customFormat="1" ht="15" customHeight="1" thickBot="1">
      <c r="A144" s="1577"/>
      <c r="B144" s="1580" t="s">
        <v>320</v>
      </c>
      <c r="C144" s="1580"/>
      <c r="D144" s="1580"/>
      <c r="E144" s="1580"/>
      <c r="F144" s="1580"/>
      <c r="G144" s="1580"/>
      <c r="H144" s="1580"/>
      <c r="I144" s="1580"/>
      <c r="J144" s="1580"/>
      <c r="K144" s="1580"/>
      <c r="L144" s="1580"/>
      <c r="M144" s="1580"/>
      <c r="N144" s="530"/>
      <c r="O144" s="530"/>
      <c r="P144" s="530"/>
      <c r="Q144" s="530"/>
      <c r="R144" s="530"/>
      <c r="S144" s="530"/>
      <c r="T144" s="530"/>
      <c r="U144" s="530"/>
      <c r="V144" s="530"/>
      <c r="W144" s="530"/>
      <c r="X144" s="530">
        <f>P144+X143</f>
        <v>0</v>
      </c>
      <c r="Y144" s="530">
        <f t="shared" ref="Y144:BK144" si="454">X144+Y143</f>
        <v>0</v>
      </c>
      <c r="Z144" s="530"/>
      <c r="AA144" s="530">
        <f t="shared" ref="AA144:AG144" si="455">R144+AA143</f>
        <v>0</v>
      </c>
      <c r="AB144" s="530">
        <f t="shared" si="455"/>
        <v>0</v>
      </c>
      <c r="AC144" s="530">
        <f t="shared" si="455"/>
        <v>0</v>
      </c>
      <c r="AD144" s="530">
        <f t="shared" si="455"/>
        <v>0</v>
      </c>
      <c r="AE144" s="530">
        <f t="shared" si="455"/>
        <v>0</v>
      </c>
      <c r="AF144" s="530">
        <f t="shared" si="455"/>
        <v>0</v>
      </c>
      <c r="AG144" s="530">
        <f t="shared" si="455"/>
        <v>0</v>
      </c>
      <c r="AH144" s="530">
        <f>Y144+AH143</f>
        <v>0</v>
      </c>
      <c r="AI144" s="530">
        <f t="shared" si="454"/>
        <v>0</v>
      </c>
      <c r="AJ144" s="530">
        <f t="shared" si="454"/>
        <v>0</v>
      </c>
      <c r="AK144" s="530">
        <f t="shared" si="454"/>
        <v>0</v>
      </c>
      <c r="AL144" s="530">
        <f t="shared" si="454"/>
        <v>51647.983685374995</v>
      </c>
      <c r="AM144" s="530">
        <f t="shared" si="454"/>
        <v>112410.31743287499</v>
      </c>
      <c r="AN144" s="530">
        <f t="shared" si="454"/>
        <v>419260.10285775003</v>
      </c>
      <c r="AO144" s="530">
        <f t="shared" si="454"/>
        <v>750414.82178162504</v>
      </c>
      <c r="AP144" s="530">
        <f t="shared" si="454"/>
        <v>1105874.4742045002</v>
      </c>
      <c r="AQ144" s="530">
        <f t="shared" si="454"/>
        <v>1479562.8267516254</v>
      </c>
      <c r="AR144" s="530">
        <f t="shared" si="454"/>
        <v>1871479.8794230006</v>
      </c>
      <c r="AS144" s="530">
        <f t="shared" si="454"/>
        <v>2269473.1654691258</v>
      </c>
      <c r="AT144" s="530">
        <f t="shared" si="454"/>
        <v>2959125.6535032513</v>
      </c>
      <c r="AU144" s="530">
        <f t="shared" si="454"/>
        <v>3657892.4915995016</v>
      </c>
      <c r="AV144" s="530">
        <f t="shared" si="454"/>
        <v>4365773.6797578763</v>
      </c>
      <c r="AW144" s="530">
        <f t="shared" si="454"/>
        <v>5083962.4355371268</v>
      </c>
      <c r="AX144" s="530">
        <f t="shared" si="454"/>
        <v>5811398.1211072523</v>
      </c>
      <c r="AY144" s="530">
        <f t="shared" si="454"/>
        <v>6548080.7364682527</v>
      </c>
      <c r="AZ144" s="530">
        <f t="shared" si="454"/>
        <v>7585802.0633368781</v>
      </c>
      <c r="BA144" s="530">
        <f t="shared" si="454"/>
        <v>8623655.969934253</v>
      </c>
      <c r="BB144" s="530">
        <f t="shared" si="454"/>
        <v>9663631.1521916278</v>
      </c>
      <c r="BC144" s="530">
        <f t="shared" si="454"/>
        <v>10703871.493906504</v>
      </c>
      <c r="BD144" s="530">
        <f t="shared" si="454"/>
        <v>11744376.995078878</v>
      </c>
      <c r="BE144" s="530">
        <f t="shared" si="454"/>
        <v>12785147.655708754</v>
      </c>
      <c r="BF144" s="530">
        <f t="shared" si="454"/>
        <v>14129078.303506255</v>
      </c>
      <c r="BG144" s="530">
        <f t="shared" si="454"/>
        <v>15473406.690490006</v>
      </c>
      <c r="BH144" s="530">
        <f t="shared" si="454"/>
        <v>16817735.077473756</v>
      </c>
      <c r="BI144" s="530">
        <f t="shared" si="454"/>
        <v>18162461.203643758</v>
      </c>
      <c r="BJ144" s="530">
        <f t="shared" si="454"/>
        <v>19828841.176563133</v>
      </c>
      <c r="BK144" s="530">
        <f t="shared" si="454"/>
        <v>21495221.149482507</v>
      </c>
      <c r="BL144" s="530"/>
      <c r="BM144" s="530"/>
      <c r="BN144" s="530"/>
      <c r="BO144" s="530"/>
      <c r="BP144" s="530"/>
      <c r="BQ144" s="530"/>
      <c r="BR144" s="530"/>
      <c r="BS144" s="530"/>
      <c r="BT144" s="530"/>
      <c r="BU144" s="530"/>
      <c r="BV144" s="530"/>
      <c r="BW144" s="530"/>
      <c r="BX144" s="530"/>
      <c r="BY144" s="531">
        <f t="shared" ref="BY144" si="456">+BX144+BY143</f>
        <v>21495221.149482507</v>
      </c>
      <c r="BZ144" s="533">
        <f>BY143-BY144</f>
        <v>0</v>
      </c>
      <c r="CA144" s="6"/>
      <c r="CB144" s="6"/>
      <c r="CC144" s="6"/>
      <c r="CD144" s="6"/>
      <c r="CE144" s="6"/>
      <c r="CF144" s="113"/>
      <c r="CG144" s="71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</row>
  </sheetData>
  <mergeCells count="211">
    <mergeCell ref="A103:M103"/>
    <mergeCell ref="A44:A102"/>
    <mergeCell ref="D101:M101"/>
    <mergeCell ref="B101:C101"/>
    <mergeCell ref="D75:M75"/>
    <mergeCell ref="D50:M50"/>
    <mergeCell ref="D58:M58"/>
    <mergeCell ref="D86:M86"/>
    <mergeCell ref="D46:M46"/>
    <mergeCell ref="D62:M62"/>
    <mergeCell ref="D53:M53"/>
    <mergeCell ref="F114:M114"/>
    <mergeCell ref="F115:M115"/>
    <mergeCell ref="B105:M105"/>
    <mergeCell ref="B106:M106"/>
    <mergeCell ref="B107:M107"/>
    <mergeCell ref="D109:E112"/>
    <mergeCell ref="F109:M109"/>
    <mergeCell ref="K122:M122"/>
    <mergeCell ref="B120:M120"/>
    <mergeCell ref="F110:M110"/>
    <mergeCell ref="F111:M111"/>
    <mergeCell ref="F112:M112"/>
    <mergeCell ref="K123:M123"/>
    <mergeCell ref="G122:J122"/>
    <mergeCell ref="G123:J123"/>
    <mergeCell ref="B122:F122"/>
    <mergeCell ref="B123:F123"/>
    <mergeCell ref="G121:J121"/>
    <mergeCell ref="K121:M121"/>
    <mergeCell ref="B121:D121"/>
    <mergeCell ref="E121:F121"/>
    <mergeCell ref="A141:A144"/>
    <mergeCell ref="B141:M141"/>
    <mergeCell ref="B142:M142"/>
    <mergeCell ref="B143:M143"/>
    <mergeCell ref="B144:M144"/>
    <mergeCell ref="D89:J89"/>
    <mergeCell ref="K89:M89"/>
    <mergeCell ref="A137:A139"/>
    <mergeCell ref="B137:K137"/>
    <mergeCell ref="B138:K138"/>
    <mergeCell ref="B139:K139"/>
    <mergeCell ref="L137:M137"/>
    <mergeCell ref="L138:M138"/>
    <mergeCell ref="L139:M139"/>
    <mergeCell ref="K94:M94"/>
    <mergeCell ref="B135:M135"/>
    <mergeCell ref="B127:M127"/>
    <mergeCell ref="B128:M128"/>
    <mergeCell ref="B133:M133"/>
    <mergeCell ref="B129:M129"/>
    <mergeCell ref="B132:M132"/>
    <mergeCell ref="B124:M124"/>
    <mergeCell ref="A127:A133"/>
    <mergeCell ref="D91:J91"/>
    <mergeCell ref="A120:A125"/>
    <mergeCell ref="D100:M100"/>
    <mergeCell ref="B125:M125"/>
    <mergeCell ref="B43:M43"/>
    <mergeCell ref="D76:M76"/>
    <mergeCell ref="B44:C52"/>
    <mergeCell ref="D44:M44"/>
    <mergeCell ref="D45:M45"/>
    <mergeCell ref="D48:M48"/>
    <mergeCell ref="D64:M64"/>
    <mergeCell ref="D65:M65"/>
    <mergeCell ref="B59:C64"/>
    <mergeCell ref="D54:M54"/>
    <mergeCell ref="D60:M60"/>
    <mergeCell ref="D74:M74"/>
    <mergeCell ref="B74:C80"/>
    <mergeCell ref="D61:M61"/>
    <mergeCell ref="D59:M59"/>
    <mergeCell ref="D73:M73"/>
    <mergeCell ref="D55:M55"/>
    <mergeCell ref="D63:M63"/>
    <mergeCell ref="D70:M70"/>
    <mergeCell ref="D71:M71"/>
    <mergeCell ref="A105:A107"/>
    <mergeCell ref="B2:M2"/>
    <mergeCell ref="A4:M4"/>
    <mergeCell ref="A7:A8"/>
    <mergeCell ref="B3:D3"/>
    <mergeCell ref="A5:M5"/>
    <mergeCell ref="B7:F8"/>
    <mergeCell ref="A6:M6"/>
    <mergeCell ref="G7:M7"/>
    <mergeCell ref="G8:M8"/>
    <mergeCell ref="A9:A10"/>
    <mergeCell ref="B9:F10"/>
    <mergeCell ref="G9:M9"/>
    <mergeCell ref="G10:M10"/>
    <mergeCell ref="A11:A12"/>
    <mergeCell ref="B11:F12"/>
    <mergeCell ref="G11:M11"/>
    <mergeCell ref="G12:M12"/>
    <mergeCell ref="A13:A14"/>
    <mergeCell ref="B13:F14"/>
    <mergeCell ref="G13:M13"/>
    <mergeCell ref="G14:M14"/>
    <mergeCell ref="B81:C87"/>
    <mergeCell ref="D84:M84"/>
    <mergeCell ref="D77:M77"/>
    <mergeCell ref="D87:M87"/>
    <mergeCell ref="B102:M102"/>
    <mergeCell ref="D72:M72"/>
    <mergeCell ref="D83:M83"/>
    <mergeCell ref="D82:M82"/>
    <mergeCell ref="D80:M80"/>
    <mergeCell ref="D81:M81"/>
    <mergeCell ref="D98:J98"/>
    <mergeCell ref="K98:M98"/>
    <mergeCell ref="K95:M95"/>
    <mergeCell ref="K93:M93"/>
    <mergeCell ref="B40:F42"/>
    <mergeCell ref="G42:M42"/>
    <mergeCell ref="B88:C100"/>
    <mergeCell ref="D88:J88"/>
    <mergeCell ref="D78:M78"/>
    <mergeCell ref="D56:M56"/>
    <mergeCell ref="D79:M79"/>
    <mergeCell ref="D92:J92"/>
    <mergeCell ref="K88:M88"/>
    <mergeCell ref="K92:M92"/>
    <mergeCell ref="D90:J90"/>
    <mergeCell ref="K90:M90"/>
    <mergeCell ref="K97:M97"/>
    <mergeCell ref="K91:M91"/>
    <mergeCell ref="D85:M85"/>
    <mergeCell ref="D99:J99"/>
    <mergeCell ref="K99:M99"/>
    <mergeCell ref="D96:J96"/>
    <mergeCell ref="K96:M96"/>
    <mergeCell ref="D97:J97"/>
    <mergeCell ref="D94:F95"/>
    <mergeCell ref="G94:J94"/>
    <mergeCell ref="G95:J95"/>
    <mergeCell ref="D93:J93"/>
    <mergeCell ref="G25:J25"/>
    <mergeCell ref="D52:M52"/>
    <mergeCell ref="B65:C73"/>
    <mergeCell ref="B53:C58"/>
    <mergeCell ref="D51:M51"/>
    <mergeCell ref="G38:J38"/>
    <mergeCell ref="D66:M66"/>
    <mergeCell ref="K25:M25"/>
    <mergeCell ref="G29:J29"/>
    <mergeCell ref="K29:M29"/>
    <mergeCell ref="G30:J30"/>
    <mergeCell ref="K30:M30"/>
    <mergeCell ref="K26:M26"/>
    <mergeCell ref="G27:J27"/>
    <mergeCell ref="K27:M27"/>
    <mergeCell ref="G28:J28"/>
    <mergeCell ref="K28:M28"/>
    <mergeCell ref="G26:J26"/>
    <mergeCell ref="G37:J37"/>
    <mergeCell ref="K37:M37"/>
    <mergeCell ref="G40:J40"/>
    <mergeCell ref="K40:M40"/>
    <mergeCell ref="G41:J41"/>
    <mergeCell ref="K41:M41"/>
    <mergeCell ref="A109:A118"/>
    <mergeCell ref="D118:M118"/>
    <mergeCell ref="D113:M113"/>
    <mergeCell ref="A15:A43"/>
    <mergeCell ref="D49:M49"/>
    <mergeCell ref="D57:M57"/>
    <mergeCell ref="D67:M67"/>
    <mergeCell ref="D68:M68"/>
    <mergeCell ref="D69:M69"/>
    <mergeCell ref="B33:F39"/>
    <mergeCell ref="G33:J33"/>
    <mergeCell ref="K33:M33"/>
    <mergeCell ref="G34:J34"/>
    <mergeCell ref="K34:M34"/>
    <mergeCell ref="G35:J35"/>
    <mergeCell ref="K35:M35"/>
    <mergeCell ref="G36:J36"/>
    <mergeCell ref="K36:M36"/>
    <mergeCell ref="K38:M38"/>
    <mergeCell ref="G39:M39"/>
    <mergeCell ref="G23:M23"/>
    <mergeCell ref="G31:J31"/>
    <mergeCell ref="K31:M31"/>
    <mergeCell ref="G32:M32"/>
    <mergeCell ref="K21:M21"/>
    <mergeCell ref="G22:J22"/>
    <mergeCell ref="B24:F32"/>
    <mergeCell ref="G24:J24"/>
    <mergeCell ref="F117:M117"/>
    <mergeCell ref="F116:M116"/>
    <mergeCell ref="D114:E117"/>
    <mergeCell ref="D47:M47"/>
    <mergeCell ref="B15:F23"/>
    <mergeCell ref="G15:J15"/>
    <mergeCell ref="K15:M15"/>
    <mergeCell ref="G16:J16"/>
    <mergeCell ref="K16:M16"/>
    <mergeCell ref="G17:J17"/>
    <mergeCell ref="K17:M17"/>
    <mergeCell ref="G18:J18"/>
    <mergeCell ref="K18:M18"/>
    <mergeCell ref="G19:J19"/>
    <mergeCell ref="K19:M19"/>
    <mergeCell ref="G20:J20"/>
    <mergeCell ref="K20:M20"/>
    <mergeCell ref="G21:J21"/>
    <mergeCell ref="K22:M22"/>
    <mergeCell ref="K24:M24"/>
  </mergeCells>
  <phoneticPr fontId="20" type="noConversion"/>
  <printOptions horizontalCentered="1" verticalCentered="1"/>
  <pageMargins left="0.25" right="0.25" top="0.75" bottom="0.75" header="0.3" footer="0.3"/>
  <pageSetup paperSize="8" scale="3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J44"/>
  <sheetViews>
    <sheetView topLeftCell="A13" workbookViewId="0">
      <selection activeCell="B39" sqref="B39:F44"/>
    </sheetView>
  </sheetViews>
  <sheetFormatPr defaultRowHeight="13.5"/>
  <cols>
    <col min="1" max="1" width="2.44140625" customWidth="1"/>
    <col min="2" max="2" width="14" bestFit="1" customWidth="1"/>
    <col min="3" max="3" width="21.88671875" bestFit="1" customWidth="1"/>
    <col min="4" max="4" width="25.33203125" bestFit="1" customWidth="1"/>
    <col min="5" max="5" width="17.6640625" bestFit="1" customWidth="1"/>
    <col min="6" max="6" width="11.33203125" bestFit="1" customWidth="1"/>
    <col min="7" max="7" width="9.33203125" bestFit="1" customWidth="1"/>
    <col min="8" max="8" width="9.5546875" bestFit="1" customWidth="1"/>
    <col min="9" max="10" width="11.6640625" bestFit="1" customWidth="1"/>
    <col min="13" max="13" width="14.109375" bestFit="1" customWidth="1"/>
    <col min="14" max="14" width="12.88671875" bestFit="1" customWidth="1"/>
  </cols>
  <sheetData>
    <row r="1" spans="2:10">
      <c r="B1" s="1637" t="s">
        <v>378</v>
      </c>
      <c r="C1" s="1637"/>
      <c r="D1" s="1637"/>
      <c r="E1" s="1637"/>
      <c r="F1" s="1637"/>
      <c r="G1" s="1637"/>
      <c r="H1" s="1637"/>
      <c r="I1" s="1637"/>
      <c r="J1" s="1637"/>
    </row>
    <row r="2" spans="2:10">
      <c r="B2" s="1637"/>
      <c r="C2" s="1637"/>
      <c r="D2" s="1637"/>
      <c r="E2" s="1637"/>
      <c r="F2" s="1637"/>
      <c r="G2" s="1637"/>
      <c r="H2" s="1637"/>
      <c r="I2" s="1637"/>
      <c r="J2" s="1637"/>
    </row>
    <row r="3" spans="2:10">
      <c r="B3" s="1637"/>
      <c r="C3" s="1637"/>
      <c r="D3" s="1637"/>
      <c r="E3" s="1637"/>
      <c r="F3" s="1637"/>
      <c r="G3" s="1637"/>
      <c r="H3" s="1637"/>
      <c r="I3" s="1637"/>
      <c r="J3" s="1637"/>
    </row>
    <row r="4" spans="2:10" ht="19.5" customHeight="1" thickBot="1">
      <c r="B4" s="595" t="s">
        <v>360</v>
      </c>
      <c r="C4" s="595"/>
      <c r="D4" s="595"/>
      <c r="E4" s="595"/>
      <c r="F4" s="596" t="s">
        <v>361</v>
      </c>
      <c r="G4" s="597"/>
      <c r="H4" s="598" t="s">
        <v>362</v>
      </c>
      <c r="I4" s="599"/>
      <c r="J4" s="599"/>
    </row>
    <row r="5" spans="2:10" ht="19.5" customHeight="1">
      <c r="B5" s="600" t="s">
        <v>363</v>
      </c>
      <c r="C5" s="601" t="s">
        <v>364</v>
      </c>
      <c r="D5" s="601" t="s">
        <v>365</v>
      </c>
      <c r="E5" s="601" t="s">
        <v>366</v>
      </c>
      <c r="F5" s="602" t="s">
        <v>367</v>
      </c>
      <c r="G5" s="603"/>
      <c r="H5" s="600" t="s">
        <v>364</v>
      </c>
      <c r="I5" s="601" t="s">
        <v>365</v>
      </c>
      <c r="J5" s="602" t="s">
        <v>366</v>
      </c>
    </row>
    <row r="6" spans="2:10" ht="19.5" customHeight="1" thickBot="1">
      <c r="B6" s="604" t="s">
        <v>368</v>
      </c>
      <c r="C6" s="605">
        <f>사업수지표!Z18</f>
        <v>868033339.24999988</v>
      </c>
      <c r="D6" s="605">
        <f>사업수지표!Z22</f>
        <v>37700000</v>
      </c>
      <c r="E6" s="605">
        <f>사업수지표!Z21</f>
        <v>6929246.5</v>
      </c>
      <c r="F6" s="606">
        <f>C6+D6+E6</f>
        <v>912662585.74999988</v>
      </c>
      <c r="G6" s="603"/>
      <c r="H6" s="607">
        <v>0.3</v>
      </c>
      <c r="I6" s="608">
        <v>1</v>
      </c>
      <c r="J6" s="609">
        <v>0.5</v>
      </c>
    </row>
    <row r="7" spans="2:10" ht="19.5" customHeight="1" thickBot="1">
      <c r="B7" s="610" t="s">
        <v>369</v>
      </c>
      <c r="C7" s="611">
        <f>C6</f>
        <v>868033339.24999988</v>
      </c>
      <c r="D7" s="611">
        <f>C7+D6</f>
        <v>905733339.24999988</v>
      </c>
      <c r="E7" s="611">
        <f>D7+E6</f>
        <v>912662585.74999988</v>
      </c>
      <c r="F7" s="612" t="b">
        <f>E7=F6</f>
        <v>1</v>
      </c>
      <c r="G7" s="603"/>
      <c r="H7" s="603"/>
      <c r="I7" s="603"/>
      <c r="J7" s="603"/>
    </row>
    <row r="8" spans="2:10">
      <c r="B8" s="603"/>
      <c r="C8" s="603"/>
      <c r="D8" s="603"/>
      <c r="E8" s="603"/>
      <c r="F8" s="603"/>
      <c r="G8" s="603"/>
      <c r="H8" s="603"/>
      <c r="I8" s="603"/>
      <c r="J8" s="603"/>
    </row>
    <row r="9" spans="2:10">
      <c r="B9" s="603"/>
      <c r="C9" s="603"/>
      <c r="D9" s="603"/>
      <c r="E9" s="603"/>
      <c r="F9" s="603"/>
      <c r="G9" s="603"/>
      <c r="H9" s="603"/>
      <c r="I9" s="603"/>
      <c r="J9" s="603"/>
    </row>
    <row r="10" spans="2:10" ht="19.5" customHeight="1" thickBot="1">
      <c r="B10" s="1636" t="s">
        <v>370</v>
      </c>
      <c r="C10" s="1636"/>
      <c r="D10" s="1636"/>
      <c r="E10" s="1636"/>
      <c r="F10" s="596" t="s">
        <v>361</v>
      </c>
      <c r="G10" s="603"/>
      <c r="H10" s="603"/>
      <c r="I10" s="603"/>
      <c r="J10" s="603"/>
    </row>
    <row r="11" spans="2:10" ht="19.5" customHeight="1">
      <c r="B11" s="613" t="s">
        <v>363</v>
      </c>
      <c r="C11" s="614" t="s">
        <v>364</v>
      </c>
      <c r="D11" s="614" t="s">
        <v>365</v>
      </c>
      <c r="E11" s="614" t="s">
        <v>366</v>
      </c>
      <c r="F11" s="615" t="s">
        <v>371</v>
      </c>
      <c r="G11" s="603"/>
      <c r="H11" s="603"/>
      <c r="I11" s="603"/>
      <c r="J11" s="603"/>
    </row>
    <row r="12" spans="2:10" ht="19.5" customHeight="1">
      <c r="B12" s="616" t="s">
        <v>368</v>
      </c>
      <c r="C12" s="617">
        <f>C6*H6</f>
        <v>260410001.77499995</v>
      </c>
      <c r="D12" s="618">
        <f>D6*I6</f>
        <v>37700000</v>
      </c>
      <c r="E12" s="618">
        <f>E6*J6</f>
        <v>3464623.25</v>
      </c>
      <c r="F12" s="619">
        <f>C12+D12+E12</f>
        <v>301574625.02499998</v>
      </c>
      <c r="G12" s="603"/>
      <c r="H12" s="603"/>
      <c r="I12" s="603"/>
      <c r="J12" s="603"/>
    </row>
    <row r="13" spans="2:10" ht="19.5" customHeight="1" thickBot="1">
      <c r="B13" s="610" t="s">
        <v>369</v>
      </c>
      <c r="C13" s="620">
        <f>C12</f>
        <v>260410001.77499995</v>
      </c>
      <c r="D13" s="620">
        <f>C13+D12</f>
        <v>298110001.77499998</v>
      </c>
      <c r="E13" s="620">
        <f>E12+D13</f>
        <v>301574625.02499998</v>
      </c>
      <c r="F13" s="612" t="b">
        <f>E13=F12</f>
        <v>1</v>
      </c>
      <c r="G13" s="603"/>
      <c r="H13" s="603"/>
      <c r="I13" s="603"/>
      <c r="J13" s="603"/>
    </row>
    <row r="14" spans="2:10">
      <c r="B14" s="603"/>
      <c r="C14" s="603"/>
      <c r="D14" s="603"/>
      <c r="E14" s="603"/>
      <c r="F14" s="603"/>
      <c r="G14" s="603"/>
      <c r="H14" s="603"/>
      <c r="I14" s="603"/>
      <c r="J14" s="603"/>
    </row>
    <row r="15" spans="2:10">
      <c r="B15" s="603"/>
      <c r="C15" s="603"/>
      <c r="D15" s="603"/>
      <c r="E15" s="632">
        <f>C13+E12</f>
        <v>263874625.02499995</v>
      </c>
      <c r="F15" s="603"/>
      <c r="G15" s="603"/>
      <c r="H15" s="603"/>
      <c r="I15" s="603"/>
      <c r="J15" s="603"/>
    </row>
    <row r="16" spans="2:10" ht="19.5" customHeight="1" thickBot="1">
      <c r="B16" s="1636" t="s">
        <v>372</v>
      </c>
      <c r="C16" s="1636"/>
      <c r="D16" s="1636"/>
      <c r="E16" s="1636"/>
      <c r="F16" s="596" t="s">
        <v>361</v>
      </c>
      <c r="G16" s="603"/>
      <c r="H16" s="603"/>
      <c r="I16" s="603"/>
      <c r="J16" s="603"/>
    </row>
    <row r="17" spans="2:10" ht="19.5" customHeight="1">
      <c r="B17" s="613" t="s">
        <v>373</v>
      </c>
      <c r="C17" s="614" t="s">
        <v>374</v>
      </c>
      <c r="D17" s="614" t="s">
        <v>375</v>
      </c>
      <c r="E17" s="614" t="s">
        <v>376</v>
      </c>
      <c r="F17" s="615" t="s">
        <v>377</v>
      </c>
      <c r="G17" s="603"/>
      <c r="H17" s="603"/>
      <c r="I17" s="603"/>
      <c r="J17" s="603"/>
    </row>
    <row r="18" spans="2:10" ht="19.5" customHeight="1">
      <c r="B18" s="621">
        <v>0</v>
      </c>
      <c r="C18" s="622"/>
      <c r="D18" s="623">
        <f>사업수지표!AW81</f>
        <v>149000000</v>
      </c>
      <c r="E18" s="624">
        <f>IF(($D$18-C18)/($E$13*(1-B18))&gt;0,($D$18-C18)/($E$13*(1-B18)),0)</f>
        <v>0.49407339887315843</v>
      </c>
      <c r="F18" s="625"/>
      <c r="G18" s="603"/>
      <c r="H18" s="603"/>
      <c r="I18" s="603"/>
      <c r="J18" s="603"/>
    </row>
    <row r="19" spans="2:10" ht="19.5" customHeight="1">
      <c r="B19" s="621">
        <v>0.1</v>
      </c>
      <c r="C19" s="626">
        <f>$E$13*B19</f>
        <v>30157462.502499998</v>
      </c>
      <c r="D19" s="623">
        <f>IF($D$18-C19&gt;0,$D$18-C19,0)</f>
        <v>118842537.4975</v>
      </c>
      <c r="E19" s="624">
        <f>IF(($D$18-C19)/($E$13*(1-B19))&gt;0,($D$18-C19)/($E$13*(1-B19)),0)</f>
        <v>0.43785933208128713</v>
      </c>
      <c r="F19" s="625"/>
      <c r="G19" s="603"/>
      <c r="H19" s="603"/>
      <c r="I19" s="603"/>
      <c r="J19" s="603"/>
    </row>
    <row r="20" spans="2:10" ht="19.5" customHeight="1">
      <c r="B20" s="621">
        <v>0.2</v>
      </c>
      <c r="C20" s="626">
        <f t="shared" ref="C20:C24" si="0">$E$13*B20</f>
        <v>60314925.004999995</v>
      </c>
      <c r="D20" s="623">
        <f>IF($D$18-C20&gt;0,$D$18-C20,0)</f>
        <v>88685074.995000005</v>
      </c>
      <c r="E20" s="624">
        <f t="shared" ref="E20:E24" si="1">IF(($D$18-C20)/($E$13*(1-B20))&gt;0,($D$18-C20)/($E$13*(1-B20)),0)</f>
        <v>0.36759174859144805</v>
      </c>
      <c r="F20" s="625"/>
      <c r="G20" s="603"/>
      <c r="H20" s="603"/>
      <c r="I20" s="603"/>
      <c r="J20" s="603"/>
    </row>
    <row r="21" spans="2:10" ht="19.5" customHeight="1">
      <c r="B21" s="621">
        <v>0.3</v>
      </c>
      <c r="C21" s="626">
        <f t="shared" si="0"/>
        <v>90472387.507499993</v>
      </c>
      <c r="D21" s="623">
        <f>IF($D$18-C21&gt;0,$D$18-C21,0)</f>
        <v>58527612.492500007</v>
      </c>
      <c r="E21" s="624">
        <f t="shared" si="1"/>
        <v>0.27724771267594062</v>
      </c>
      <c r="F21" s="625"/>
      <c r="G21" s="603"/>
      <c r="H21" s="603"/>
      <c r="I21" s="603"/>
      <c r="J21" s="603"/>
    </row>
    <row r="22" spans="2:10" ht="19.5" customHeight="1">
      <c r="B22" s="621">
        <v>0.4</v>
      </c>
      <c r="C22" s="626">
        <f t="shared" si="0"/>
        <v>120629850.00999999</v>
      </c>
      <c r="D22" s="623">
        <f>IF($D$18-C22&gt;0,$D$18-C22,0)</f>
        <v>28370149.99000001</v>
      </c>
      <c r="E22" s="624">
        <f t="shared" si="1"/>
        <v>0.15678899812193073</v>
      </c>
      <c r="F22" s="625"/>
      <c r="G22" s="603"/>
      <c r="H22" s="603"/>
      <c r="I22" s="603"/>
      <c r="J22" s="603"/>
    </row>
    <row r="23" spans="2:10" ht="19.5" customHeight="1">
      <c r="B23" s="627">
        <v>0.49407339887315826</v>
      </c>
      <c r="C23" s="628">
        <f>$E$13*B23</f>
        <v>148999999.99999994</v>
      </c>
      <c r="D23" s="629">
        <f>IF($D$18-C23&lt;0,0,$D$18-C23)</f>
        <v>5.9604644775390625E-8</v>
      </c>
      <c r="E23" s="630">
        <f t="shared" si="1"/>
        <v>3.9065896288864639E-16</v>
      </c>
      <c r="F23" s="631"/>
      <c r="G23" s="632"/>
      <c r="H23" s="633"/>
      <c r="I23" s="603"/>
      <c r="J23" s="603"/>
    </row>
    <row r="24" spans="2:10" ht="19.5" customHeight="1">
      <c r="B24" s="621">
        <v>0.5</v>
      </c>
      <c r="C24" s="626">
        <f t="shared" si="0"/>
        <v>150787312.51249999</v>
      </c>
      <c r="D24" s="623"/>
      <c r="E24" s="624">
        <f t="shared" si="1"/>
        <v>0</v>
      </c>
      <c r="F24" s="625"/>
      <c r="G24" s="603"/>
      <c r="H24" s="603"/>
      <c r="I24" s="603"/>
      <c r="J24" s="603"/>
    </row>
    <row r="25" spans="2:10">
      <c r="B25" s="634"/>
      <c r="C25" s="634"/>
      <c r="D25" s="634"/>
      <c r="E25" s="634"/>
      <c r="F25" s="634"/>
      <c r="G25" s="603"/>
      <c r="H25" s="603"/>
      <c r="I25" s="603"/>
      <c r="J25" s="603"/>
    </row>
    <row r="26" spans="2:10">
      <c r="B26" s="634"/>
      <c r="C26" s="634"/>
      <c r="D26" s="634"/>
      <c r="E26" s="634"/>
      <c r="F26" s="634"/>
      <c r="G26" s="603"/>
      <c r="H26" s="603"/>
      <c r="I26" s="603"/>
      <c r="J26" s="603"/>
    </row>
    <row r="27" spans="2:10" ht="19.5" customHeight="1" thickBot="1">
      <c r="B27" s="1636" t="s">
        <v>379</v>
      </c>
      <c r="C27" s="1636"/>
      <c r="D27" s="1636"/>
      <c r="E27" s="1636"/>
      <c r="F27" s="596" t="s">
        <v>361</v>
      </c>
      <c r="G27" s="603"/>
      <c r="H27" s="603"/>
      <c r="I27" s="603"/>
      <c r="J27" s="603"/>
    </row>
    <row r="28" spans="2:10" ht="19.5" customHeight="1">
      <c r="B28" s="613" t="s">
        <v>373</v>
      </c>
      <c r="C28" s="614" t="s">
        <v>374</v>
      </c>
      <c r="D28" s="614" t="s">
        <v>375</v>
      </c>
      <c r="E28" s="614" t="s">
        <v>376</v>
      </c>
      <c r="F28" s="615" t="s">
        <v>377</v>
      </c>
      <c r="G28" s="603"/>
      <c r="H28" s="603"/>
      <c r="I28" s="603"/>
      <c r="J28" s="603"/>
    </row>
    <row r="29" spans="2:10" ht="19.5" customHeight="1">
      <c r="B29" s="621">
        <v>0</v>
      </c>
      <c r="C29" s="622">
        <f>D13*B29</f>
        <v>0</v>
      </c>
      <c r="D29" s="623">
        <f>D18</f>
        <v>149000000</v>
      </c>
      <c r="E29" s="624">
        <f>IF(($D$29-C29)/(E15*(1-B29))&gt;0,($D$29-C29)/(E15*(1-B29)),0)</f>
        <v>0.56466210036635189</v>
      </c>
      <c r="F29" s="625"/>
      <c r="G29" s="603"/>
      <c r="H29" s="603"/>
      <c r="I29" s="603"/>
      <c r="J29" s="603"/>
    </row>
    <row r="30" spans="2:10" ht="19.5" customHeight="1">
      <c r="B30" s="621">
        <v>0.1</v>
      </c>
      <c r="C30" s="639">
        <f>E15*B30</f>
        <v>26387462.502499998</v>
      </c>
      <c r="D30" s="623">
        <f t="shared" ref="D30:D35" si="2">IF($D$29-C30&gt;0,$D$29-C30,0)</f>
        <v>122612537.4975</v>
      </c>
      <c r="E30" s="624">
        <f>IF(($D$29-C30)/(E15*(1-B30))&gt;0,($D$29-C30)/(E15*(1-B30)),0)</f>
        <v>0.51629122262927996</v>
      </c>
      <c r="F30" s="625"/>
      <c r="G30" s="603"/>
      <c r="H30" s="603"/>
      <c r="I30" s="603"/>
      <c r="J30" s="603"/>
    </row>
    <row r="31" spans="2:10" ht="19.5" customHeight="1">
      <c r="B31" s="621">
        <v>0.2</v>
      </c>
      <c r="C31" s="639">
        <f>E15*B31</f>
        <v>52774925.004999995</v>
      </c>
      <c r="D31" s="623">
        <f t="shared" si="2"/>
        <v>96225074.995000005</v>
      </c>
      <c r="E31" s="624">
        <f>IF(($D$29-C31)/(E15*(1-B31))&gt;0,($D$29-C31)/(E15*(1-B31)),0)</f>
        <v>0.45582762545793981</v>
      </c>
      <c r="F31" s="625"/>
      <c r="G31" s="603"/>
      <c r="H31" s="603"/>
      <c r="I31" s="603"/>
      <c r="J31" s="603"/>
    </row>
    <row r="32" spans="2:10" ht="19.5" customHeight="1">
      <c r="B32" s="635">
        <v>0.3</v>
      </c>
      <c r="C32" s="640">
        <f>E15*B32</f>
        <v>79162387.507499978</v>
      </c>
      <c r="D32" s="636">
        <f t="shared" si="2"/>
        <v>69837612.492500022</v>
      </c>
      <c r="E32" s="637">
        <f>IF(($D$29-C32)/(E15*(1-B32))&gt;0,($D$29-C32)/(E15*(1-B32)),0)</f>
        <v>0.37808871480907424</v>
      </c>
      <c r="F32" s="641"/>
      <c r="G32" s="603"/>
      <c r="H32" s="603"/>
      <c r="I32" s="603"/>
      <c r="J32" s="603"/>
    </row>
    <row r="33" spans="2:10" ht="19.5" customHeight="1">
      <c r="B33" s="635">
        <v>0.4</v>
      </c>
      <c r="C33" s="640">
        <f>E15*B33</f>
        <v>105549850.00999999</v>
      </c>
      <c r="D33" s="636">
        <f t="shared" si="2"/>
        <v>43450149.99000001</v>
      </c>
      <c r="E33" s="637">
        <f>IF(($D$29-C33)/(E15*(1-B33))&gt;0,($D$29-C33)/(E15*(1-B33)),0)</f>
        <v>0.27443683394391982</v>
      </c>
      <c r="F33" s="641"/>
      <c r="G33" s="603"/>
      <c r="H33" s="603"/>
      <c r="I33" s="603"/>
      <c r="J33" s="603"/>
    </row>
    <row r="34" spans="2:10" ht="19.5" customHeight="1">
      <c r="B34" s="644">
        <v>0.5</v>
      </c>
      <c r="C34" s="640">
        <f>E15*B34</f>
        <v>131937312.51249997</v>
      </c>
      <c r="D34" s="636">
        <f t="shared" si="2"/>
        <v>17062687.487500027</v>
      </c>
      <c r="E34" s="643">
        <f>IF(($D$29-C34)/(E15*(1-B34))&gt;0,($D$29-C34)/(E15*(1-B34)),0)</f>
        <v>0.12932420073270387</v>
      </c>
      <c r="F34" s="642"/>
      <c r="G34" s="603"/>
      <c r="H34" s="603"/>
      <c r="I34" s="603"/>
      <c r="J34" s="603"/>
    </row>
    <row r="35" spans="2:10" ht="19.5" customHeight="1">
      <c r="B35" s="645">
        <v>0.56466210036635167</v>
      </c>
      <c r="C35" s="646">
        <f>E15*B35</f>
        <v>148999999.99999994</v>
      </c>
      <c r="D35" s="647">
        <f t="shared" si="2"/>
        <v>5.9604644775390625E-8</v>
      </c>
      <c r="E35" s="648">
        <f>IF(($D$29-C35)/(E15*(1-B35))&gt;0,($D$29-C35)/(E15*(1-B35)),0)</f>
        <v>5.1886693656165532E-16</v>
      </c>
      <c r="F35" s="649"/>
      <c r="G35" s="603"/>
      <c r="H35" s="603"/>
      <c r="I35" s="603"/>
      <c r="J35" s="603"/>
    </row>
    <row r="36" spans="2:10">
      <c r="B36" s="638"/>
      <c r="C36" s="638"/>
      <c r="D36" s="638"/>
      <c r="E36" s="638"/>
      <c r="F36" s="638"/>
      <c r="G36" s="638"/>
      <c r="H36" s="638"/>
      <c r="I36" s="638"/>
      <c r="J36" s="638"/>
    </row>
    <row r="37" spans="2:10" ht="15" thickBot="1">
      <c r="B37" s="1636" t="s">
        <v>479</v>
      </c>
      <c r="C37" s="1636"/>
      <c r="D37" s="1636"/>
      <c r="E37" s="1636"/>
      <c r="F37" s="596" t="s">
        <v>361</v>
      </c>
    </row>
    <row r="38" spans="2:10">
      <c r="B38" s="613" t="s">
        <v>373</v>
      </c>
      <c r="C38" s="614" t="s">
        <v>332</v>
      </c>
      <c r="D38" s="614" t="s">
        <v>375</v>
      </c>
      <c r="E38" s="614" t="s">
        <v>376</v>
      </c>
      <c r="F38" s="615" t="s">
        <v>377</v>
      </c>
    </row>
    <row r="39" spans="2:10">
      <c r="B39" s="621">
        <v>0</v>
      </c>
      <c r="C39" s="622"/>
      <c r="D39" s="623">
        <v>149000000</v>
      </c>
      <c r="E39" s="624">
        <f>IF(($D$18-C39)/(D13*(1-B39))&gt;0,($D$18-C39)/(D13*(1-B39)),0)</f>
        <v>0.49981550136804365</v>
      </c>
      <c r="F39" s="625"/>
    </row>
    <row r="40" spans="2:10">
      <c r="B40" s="621">
        <v>0.1</v>
      </c>
      <c r="C40" s="626">
        <f>D13*B40</f>
        <v>29811000.177499998</v>
      </c>
      <c r="D40" s="623">
        <f>IF($D$18-C40&gt;0,$D$18-C40,0)</f>
        <v>119188999.82250001</v>
      </c>
      <c r="E40" s="624">
        <f>IF(($D$18-C40)/(D13*(1-B40))&gt;0,($D$18-C40)/(D13*(1-B40)),0)</f>
        <v>0.44423944596449294</v>
      </c>
      <c r="F40" s="625"/>
    </row>
    <row r="41" spans="2:10">
      <c r="B41" s="621">
        <v>0.2</v>
      </c>
      <c r="C41" s="626">
        <f>D13*B41</f>
        <v>59622000.354999997</v>
      </c>
      <c r="D41" s="623">
        <f>IF($D$18-C41&gt;0,$D$18-C41,0)</f>
        <v>89377999.645000011</v>
      </c>
      <c r="E41" s="624">
        <f>IF(($D$18-C41)/(D13*(1-B41))&gt;0,($D$18-C41)/(D13*(1-B41)),0)</f>
        <v>0.37476937671005461</v>
      </c>
      <c r="F41" s="625"/>
    </row>
    <row r="42" spans="2:10">
      <c r="B42" s="621">
        <v>0.3</v>
      </c>
      <c r="C42" s="626">
        <f>D13*B42</f>
        <v>89433000.532499984</v>
      </c>
      <c r="D42" s="623">
        <f>IF($D$18-C42&gt;0,$D$18-C42,0)</f>
        <v>59566999.467500016</v>
      </c>
      <c r="E42" s="624">
        <f>IF(($D$18-C42)/(D13*(1-B42))&gt;0,($D$18-C42)/(D13*(1-B42)),0)</f>
        <v>0.28545071624006241</v>
      </c>
      <c r="F42" s="625"/>
    </row>
    <row r="43" spans="2:10">
      <c r="B43" s="621">
        <v>0.4</v>
      </c>
      <c r="C43" s="626">
        <f>D13*B43</f>
        <v>119244000.70999999</v>
      </c>
      <c r="D43" s="623">
        <f>IF($D$18-C43&gt;0,$D$18-C43,0)</f>
        <v>29755999.290000007</v>
      </c>
      <c r="E43" s="624">
        <f>IF(($D$18-C43)/(D13*(1-B43))&gt;0,($D$18-C43)/(D13*(1-B43)),0)</f>
        <v>0.16635916894673944</v>
      </c>
      <c r="F43" s="625"/>
    </row>
    <row r="44" spans="2:10">
      <c r="B44" s="627">
        <v>0.4998155013680437</v>
      </c>
      <c r="C44" s="628">
        <f>D13*B44</f>
        <v>149000000</v>
      </c>
      <c r="D44" s="629">
        <f>IF($D$18-C44&lt;0,0,$D$18-C44)</f>
        <v>0</v>
      </c>
      <c r="E44" s="630">
        <f t="shared" ref="E44" si="3">IF(($D$18-C44)/($E$13*(1-B44))&gt;0,($D$18-C44)/($E$13*(1-B44)),0)</f>
        <v>0</v>
      </c>
      <c r="F44" s="631"/>
    </row>
  </sheetData>
  <mergeCells count="5">
    <mergeCell ref="B37:E37"/>
    <mergeCell ref="B1:J3"/>
    <mergeCell ref="B10:E10"/>
    <mergeCell ref="B16:E16"/>
    <mergeCell ref="B27:E27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M17"/>
  <sheetViews>
    <sheetView topLeftCell="A2" zoomScale="85" zoomScaleNormal="85" zoomScaleSheetLayoutView="85" workbookViewId="0">
      <selection activeCell="AS38" sqref="AS38"/>
    </sheetView>
  </sheetViews>
  <sheetFormatPr defaultRowHeight="16.5"/>
  <cols>
    <col min="1" max="1" width="3.109375" style="292" customWidth="1"/>
    <col min="2" max="2" width="10.88671875" style="292" customWidth="1"/>
    <col min="3" max="3" width="5.33203125" style="292" customWidth="1"/>
    <col min="4" max="4" width="17.6640625" style="293" bestFit="1" customWidth="1"/>
    <col min="5" max="5" width="21" style="292" customWidth="1"/>
    <col min="6" max="6" width="18.109375" style="292" customWidth="1"/>
    <col min="7" max="7" width="10.88671875" style="292" customWidth="1"/>
    <col min="8" max="8" width="16.77734375" style="293" bestFit="1" customWidth="1"/>
    <col min="9" max="9" width="4.88671875" style="292" customWidth="1"/>
    <col min="10" max="10" width="5" style="292" bestFit="1" customWidth="1"/>
    <col min="11" max="12" width="16.5546875" style="292" bestFit="1" customWidth="1"/>
    <col min="13" max="13" width="18.109375" style="292" bestFit="1" customWidth="1"/>
    <col min="14" max="16384" width="8.88671875" style="292"/>
  </cols>
  <sheetData>
    <row r="1" spans="2:13" ht="26.25">
      <c r="B1" s="1658" t="s">
        <v>178</v>
      </c>
      <c r="C1" s="1658"/>
      <c r="D1" s="1658"/>
      <c r="E1" s="1658"/>
      <c r="F1" s="1658"/>
      <c r="G1" s="1658"/>
      <c r="H1" s="1658"/>
    </row>
    <row r="2" spans="2:13">
      <c r="F2" s="1659" t="s">
        <v>179</v>
      </c>
      <c r="G2" s="1659"/>
      <c r="H2" s="294">
        <v>41</v>
      </c>
    </row>
    <row r="3" spans="2:13" ht="25.5" customHeight="1">
      <c r="B3" s="1660" t="s">
        <v>180</v>
      </c>
      <c r="C3" s="1661"/>
      <c r="D3" s="1662"/>
      <c r="E3" s="1663" t="s">
        <v>181</v>
      </c>
      <c r="F3" s="1660"/>
      <c r="G3" s="1660"/>
      <c r="H3" s="1660"/>
    </row>
    <row r="4" spans="2:13" ht="31.5" customHeight="1" thickBot="1">
      <c r="B4" s="1672" t="s">
        <v>182</v>
      </c>
      <c r="C4" s="395" t="s">
        <v>243</v>
      </c>
      <c r="D4" s="296">
        <v>22000000000</v>
      </c>
      <c r="E4" s="1664" t="s">
        <v>205</v>
      </c>
      <c r="F4" s="1667" t="s">
        <v>183</v>
      </c>
      <c r="G4" s="1646"/>
      <c r="H4" s="397">
        <v>10000000000</v>
      </c>
    </row>
    <row r="5" spans="2:13" ht="31.5" customHeight="1">
      <c r="B5" s="1673"/>
      <c r="C5" s="395" t="s">
        <v>244</v>
      </c>
      <c r="D5" s="296">
        <v>1500000000</v>
      </c>
      <c r="E5" s="1665"/>
      <c r="F5" s="1668" t="s">
        <v>184</v>
      </c>
      <c r="G5" s="1642"/>
      <c r="H5" s="402">
        <v>4000000000</v>
      </c>
      <c r="K5" s="297" t="s">
        <v>185</v>
      </c>
      <c r="L5" s="380" t="s">
        <v>186</v>
      </c>
      <c r="M5" s="297" t="s">
        <v>187</v>
      </c>
    </row>
    <row r="6" spans="2:13" ht="31.5" customHeight="1">
      <c r="B6" s="321" t="s">
        <v>206</v>
      </c>
      <c r="C6" s="394"/>
      <c r="D6" s="296"/>
      <c r="E6" s="1665"/>
      <c r="F6" s="1669" t="s">
        <v>194</v>
      </c>
      <c r="G6" s="1642"/>
      <c r="H6" s="402"/>
      <c r="J6" s="292" t="s">
        <v>189</v>
      </c>
      <c r="K6" s="293"/>
      <c r="L6" s="381">
        <f>SUM(D4:D5)</f>
        <v>23500000000</v>
      </c>
    </row>
    <row r="7" spans="2:13" ht="31.5" customHeight="1" thickBot="1">
      <c r="B7" s="298"/>
      <c r="C7" s="393"/>
      <c r="D7" s="299"/>
      <c r="E7" s="1666"/>
      <c r="F7" s="1670" t="s">
        <v>188</v>
      </c>
      <c r="G7" s="1671"/>
      <c r="H7" s="403">
        <v>3000000000</v>
      </c>
      <c r="J7" s="379" t="s">
        <v>240</v>
      </c>
      <c r="K7" s="293"/>
      <c r="L7" s="382">
        <f>L6-K7</f>
        <v>23500000000</v>
      </c>
      <c r="M7" s="383"/>
    </row>
    <row r="8" spans="2:13" ht="31.5" customHeight="1">
      <c r="B8" s="298"/>
      <c r="C8" s="393"/>
      <c r="D8" s="299"/>
      <c r="E8" s="1647" t="s">
        <v>192</v>
      </c>
      <c r="F8" s="1645" t="s">
        <v>235</v>
      </c>
      <c r="G8" s="1646"/>
      <c r="H8" s="397">
        <v>30000000</v>
      </c>
      <c r="J8" s="360"/>
      <c r="K8" s="293"/>
      <c r="L8" s="293"/>
      <c r="M8" s="359"/>
    </row>
    <row r="9" spans="2:13" ht="31.5" customHeight="1">
      <c r="B9" s="295"/>
      <c r="C9" s="392"/>
      <c r="D9" s="296"/>
      <c r="E9" s="1648"/>
      <c r="F9" s="1641" t="s">
        <v>239</v>
      </c>
      <c r="G9" s="1642"/>
      <c r="H9" s="402" t="e">
        <f>현금흐름표!#REF!*1000</f>
        <v>#REF!</v>
      </c>
      <c r="J9" s="304"/>
      <c r="K9" s="293"/>
      <c r="L9" s="293"/>
      <c r="M9" s="376"/>
    </row>
    <row r="10" spans="2:13" ht="31.5" customHeight="1">
      <c r="B10" s="295"/>
      <c r="C10" s="392"/>
      <c r="D10" s="296"/>
      <c r="E10" s="1648"/>
      <c r="F10" s="1641" t="s">
        <v>241</v>
      </c>
      <c r="G10" s="1642"/>
      <c r="H10" s="402">
        <f>SUM(D4:D5)*1%</f>
        <v>235000000</v>
      </c>
      <c r="K10" s="293"/>
      <c r="L10" s="293"/>
      <c r="M10" s="308"/>
    </row>
    <row r="11" spans="2:13" ht="31.5" customHeight="1">
      <c r="B11" s="295"/>
      <c r="C11" s="392"/>
      <c r="D11" s="296"/>
      <c r="E11" s="1648"/>
      <c r="F11" s="1650" t="s">
        <v>245</v>
      </c>
      <c r="G11" s="396" t="s">
        <v>246</v>
      </c>
      <c r="H11" s="402">
        <f>D4*2%</f>
        <v>440000000</v>
      </c>
      <c r="L11" s="293"/>
      <c r="M11" s="308"/>
    </row>
    <row r="12" spans="2:13" ht="31.5" customHeight="1">
      <c r="B12" s="295"/>
      <c r="C12" s="392"/>
      <c r="D12" s="296"/>
      <c r="E12" s="1649"/>
      <c r="F12" s="1651"/>
      <c r="G12" s="401" t="s">
        <v>247</v>
      </c>
      <c r="H12" s="403">
        <f>D5*17.9%</f>
        <v>268500000</v>
      </c>
      <c r="L12" s="293"/>
      <c r="M12" s="308"/>
    </row>
    <row r="13" spans="2:13" ht="31.5" customHeight="1">
      <c r="B13" s="295"/>
      <c r="C13" s="392"/>
      <c r="D13" s="296"/>
      <c r="E13" s="1653" t="s">
        <v>250</v>
      </c>
      <c r="F13" s="1656" t="s">
        <v>251</v>
      </c>
      <c r="G13" s="1657"/>
      <c r="H13" s="399"/>
      <c r="L13" s="293"/>
      <c r="M13" s="308"/>
    </row>
    <row r="14" spans="2:13" ht="31.5" customHeight="1">
      <c r="B14" s="295"/>
      <c r="C14" s="392"/>
      <c r="D14" s="296"/>
      <c r="E14" s="1654"/>
      <c r="F14" s="1652">
        <v>41</v>
      </c>
      <c r="G14" s="396" t="s">
        <v>248</v>
      </c>
      <c r="H14" s="400">
        <f>D4*6.5%/12*F14</f>
        <v>4885833333.333334</v>
      </c>
      <c r="K14" s="378"/>
      <c r="L14" s="293"/>
    </row>
    <row r="15" spans="2:13" ht="31.5" customHeight="1">
      <c r="B15" s="295"/>
      <c r="C15" s="392"/>
      <c r="D15" s="296"/>
      <c r="E15" s="1654"/>
      <c r="F15" s="1652"/>
      <c r="G15" s="396" t="s">
        <v>249</v>
      </c>
      <c r="H15" s="400">
        <f>D5*8%/12*F14</f>
        <v>410000000</v>
      </c>
      <c r="K15" s="378"/>
      <c r="L15" s="293"/>
      <c r="M15" s="377"/>
    </row>
    <row r="16" spans="2:13" ht="31.5" customHeight="1">
      <c r="B16" s="295"/>
      <c r="C16" s="392"/>
      <c r="D16" s="296"/>
      <c r="E16" s="1655"/>
      <c r="F16" s="1643" t="s">
        <v>190</v>
      </c>
      <c r="G16" s="1644"/>
      <c r="H16" s="398">
        <f>SUM(H14:H15)</f>
        <v>5295833333.333334</v>
      </c>
    </row>
    <row r="17" spans="2:11" ht="31.5" customHeight="1">
      <c r="B17" s="300" t="s">
        <v>191</v>
      </c>
      <c r="C17" s="394"/>
      <c r="D17" s="301">
        <f>SUM(D4:D16)</f>
        <v>23500000000</v>
      </c>
      <c r="E17" s="1638" t="s">
        <v>191</v>
      </c>
      <c r="F17" s="1639"/>
      <c r="G17" s="1640"/>
      <c r="H17" s="309" t="e">
        <f>SUM(H4:H12)+H13+H16</f>
        <v>#REF!</v>
      </c>
      <c r="K17" s="372"/>
    </row>
  </sheetData>
  <mergeCells count="20">
    <mergeCell ref="B1:H1"/>
    <mergeCell ref="F2:G2"/>
    <mergeCell ref="B3:D3"/>
    <mergeCell ref="E3:H3"/>
    <mergeCell ref="E4:E7"/>
    <mergeCell ref="F4:G4"/>
    <mergeCell ref="F5:G5"/>
    <mergeCell ref="F6:G6"/>
    <mergeCell ref="F7:G7"/>
    <mergeCell ref="B4:B5"/>
    <mergeCell ref="E17:G17"/>
    <mergeCell ref="F9:G9"/>
    <mergeCell ref="F10:G10"/>
    <mergeCell ref="F16:G16"/>
    <mergeCell ref="F8:G8"/>
    <mergeCell ref="E8:E12"/>
    <mergeCell ref="F11:F12"/>
    <mergeCell ref="F14:F15"/>
    <mergeCell ref="E13:E16"/>
    <mergeCell ref="F13:G13"/>
  </mergeCells>
  <phoneticPr fontId="20" type="noConversion"/>
  <pageMargins left="0.7" right="0.7" top="0.75" bottom="0.75" header="0.3" footer="0.3"/>
  <pageSetup paperSize="9"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I29"/>
  <sheetViews>
    <sheetView workbookViewId="0">
      <selection activeCell="AS38" sqref="AS38"/>
    </sheetView>
  </sheetViews>
  <sheetFormatPr defaultRowHeight="13.5"/>
  <cols>
    <col min="1" max="1" width="2.44140625" customWidth="1"/>
    <col min="2" max="2" width="12.6640625" customWidth="1"/>
    <col min="3" max="5" width="16.77734375" customWidth="1"/>
    <col min="6" max="6" width="13.77734375" bestFit="1" customWidth="1"/>
    <col min="7" max="9" width="13.77734375" customWidth="1"/>
  </cols>
  <sheetData>
    <row r="2" spans="1:9" ht="18.75" customHeight="1">
      <c r="A2" s="362"/>
      <c r="B2" s="363" t="s">
        <v>224</v>
      </c>
    </row>
    <row r="4" spans="1:9">
      <c r="B4" s="364" t="s">
        <v>225</v>
      </c>
      <c r="C4" s="365" t="e">
        <f>SUM(사업수지표!#REF!,사업수지표!#REF!)</f>
        <v>#REF!</v>
      </c>
    </row>
    <row r="5" spans="1:9">
      <c r="B5" s="364" t="s">
        <v>230</v>
      </c>
      <c r="C5" s="365" t="e">
        <f>사업수지표!#REF!</f>
        <v>#REF!</v>
      </c>
    </row>
    <row r="6" spans="1:9">
      <c r="B6" s="364" t="s">
        <v>226</v>
      </c>
      <c r="C6" s="367">
        <f>사업수지표!AT89</f>
        <v>489904289.67374098</v>
      </c>
    </row>
    <row r="7" spans="1:9">
      <c r="B7" s="364" t="s">
        <v>231</v>
      </c>
      <c r="C7" s="367" t="e">
        <f>사업수지표!#REF!</f>
        <v>#REF!</v>
      </c>
      <c r="D7" s="369" t="e">
        <f>C7*0.8</f>
        <v>#REF!</v>
      </c>
    </row>
    <row r="8" spans="1:9">
      <c r="B8" s="364" t="s">
        <v>233</v>
      </c>
      <c r="C8" s="367" t="e">
        <f>사업수지표!#REF!</f>
        <v>#REF!</v>
      </c>
      <c r="D8" s="369" t="e">
        <f>C8*0.8</f>
        <v>#REF!</v>
      </c>
    </row>
    <row r="9" spans="1:9">
      <c r="B9" s="364">
        <v>107</v>
      </c>
      <c r="C9" s="367" t="e">
        <f>사업수지표!#REF!</f>
        <v>#REF!</v>
      </c>
      <c r="D9" s="369" t="e">
        <f>C9*0.8</f>
        <v>#REF!</v>
      </c>
    </row>
    <row r="10" spans="1:9">
      <c r="B10" s="364"/>
      <c r="C10" s="367"/>
    </row>
    <row r="11" spans="1:9">
      <c r="B11" s="1674" t="s">
        <v>203</v>
      </c>
      <c r="C11" s="1674"/>
      <c r="D11" s="364" t="s">
        <v>227</v>
      </c>
      <c r="E11" s="364" t="s">
        <v>228</v>
      </c>
      <c r="F11" s="364" t="s">
        <v>229</v>
      </c>
      <c r="G11" s="364" t="s">
        <v>231</v>
      </c>
      <c r="H11" s="364" t="s">
        <v>232</v>
      </c>
      <c r="I11" s="364">
        <v>107</v>
      </c>
    </row>
    <row r="12" spans="1:9">
      <c r="B12" s="366">
        <v>0.5</v>
      </c>
      <c r="C12" s="369" t="e">
        <f>$C$4*B12</f>
        <v>#REF!</v>
      </c>
      <c r="D12" s="367" t="e">
        <f>$C$6-C12</f>
        <v>#REF!</v>
      </c>
      <c r="E12" s="367" t="e">
        <f>SUM($C$4:$C$5)-C12</f>
        <v>#REF!</v>
      </c>
      <c r="F12" s="370" t="e">
        <f>1-D12/E12</f>
        <v>#REF!</v>
      </c>
      <c r="G12" s="369" t="e">
        <f>$C$7*(1-F12)</f>
        <v>#REF!</v>
      </c>
      <c r="H12" s="369" t="e">
        <f>$C$8*(1-F12)</f>
        <v>#REF!</v>
      </c>
      <c r="I12" s="369" t="e">
        <f>$C$9*(1-F12)</f>
        <v>#REF!</v>
      </c>
    </row>
    <row r="13" spans="1:9">
      <c r="B13" s="366">
        <v>0.4</v>
      </c>
      <c r="C13" s="369" t="e">
        <f t="shared" ref="C13:C16" si="0">$C$4*B13</f>
        <v>#REF!</v>
      </c>
      <c r="D13" s="367" t="e">
        <f t="shared" ref="D13:D16" si="1">$C$6-C13</f>
        <v>#REF!</v>
      </c>
      <c r="E13" s="367" t="e">
        <f t="shared" ref="E13:E16" si="2">SUM($C$4:$C$5)-C13</f>
        <v>#REF!</v>
      </c>
      <c r="F13" s="370" t="e">
        <f t="shared" ref="F13:F16" si="3">1-D13/E13</f>
        <v>#REF!</v>
      </c>
      <c r="G13" s="369" t="e">
        <f t="shared" ref="G13:G16" si="4">$C$7*(1-F13)</f>
        <v>#REF!</v>
      </c>
      <c r="H13" s="369" t="e">
        <f t="shared" ref="H13:H16" si="5">$C$8*(1-F13)</f>
        <v>#REF!</v>
      </c>
      <c r="I13" s="369" t="e">
        <f t="shared" ref="I13:I16" si="6">$C$9*(1-F13)</f>
        <v>#REF!</v>
      </c>
    </row>
    <row r="14" spans="1:9">
      <c r="B14" s="366">
        <v>0.3</v>
      </c>
      <c r="C14" s="369" t="e">
        <f t="shared" si="0"/>
        <v>#REF!</v>
      </c>
      <c r="D14" s="367" t="e">
        <f t="shared" si="1"/>
        <v>#REF!</v>
      </c>
      <c r="E14" s="367" t="e">
        <f t="shared" si="2"/>
        <v>#REF!</v>
      </c>
      <c r="F14" s="370" t="e">
        <f t="shared" si="3"/>
        <v>#REF!</v>
      </c>
      <c r="G14" s="369" t="e">
        <f t="shared" si="4"/>
        <v>#REF!</v>
      </c>
      <c r="H14" s="369" t="e">
        <f t="shared" si="5"/>
        <v>#REF!</v>
      </c>
      <c r="I14" s="369" t="e">
        <f t="shared" si="6"/>
        <v>#REF!</v>
      </c>
    </row>
    <row r="15" spans="1:9">
      <c r="B15" s="366">
        <v>0.2</v>
      </c>
      <c r="C15" s="369" t="e">
        <f t="shared" si="0"/>
        <v>#REF!</v>
      </c>
      <c r="D15" s="367" t="e">
        <f t="shared" si="1"/>
        <v>#REF!</v>
      </c>
      <c r="E15" s="367" t="e">
        <f t="shared" si="2"/>
        <v>#REF!</v>
      </c>
      <c r="F15" s="370" t="e">
        <f t="shared" si="3"/>
        <v>#REF!</v>
      </c>
      <c r="G15" s="369" t="e">
        <f t="shared" si="4"/>
        <v>#REF!</v>
      </c>
      <c r="H15" s="369" t="e">
        <f t="shared" si="5"/>
        <v>#REF!</v>
      </c>
      <c r="I15" s="369" t="e">
        <f t="shared" si="6"/>
        <v>#REF!</v>
      </c>
    </row>
    <row r="16" spans="1:9">
      <c r="B16" s="366">
        <v>0.1</v>
      </c>
      <c r="C16" s="369" t="e">
        <f t="shared" si="0"/>
        <v>#REF!</v>
      </c>
      <c r="D16" s="367" t="e">
        <f t="shared" si="1"/>
        <v>#REF!</v>
      </c>
      <c r="E16" s="367" t="e">
        <f t="shared" si="2"/>
        <v>#REF!</v>
      </c>
      <c r="F16" s="370" t="e">
        <f t="shared" si="3"/>
        <v>#REF!</v>
      </c>
      <c r="G16" s="369" t="e">
        <f t="shared" si="4"/>
        <v>#REF!</v>
      </c>
      <c r="H16" s="369" t="e">
        <f t="shared" si="5"/>
        <v>#REF!</v>
      </c>
      <c r="I16" s="369" t="e">
        <f t="shared" si="6"/>
        <v>#REF!</v>
      </c>
    </row>
    <row r="17" spans="2:9" ht="12.75" customHeight="1">
      <c r="B17" s="366">
        <v>0.09</v>
      </c>
      <c r="C17" s="369" t="e">
        <f>$C$4*B17</f>
        <v>#REF!</v>
      </c>
      <c r="D17" s="367" t="e">
        <f>$C$6-C17</f>
        <v>#REF!</v>
      </c>
      <c r="E17" s="367" t="e">
        <f t="shared" ref="E17" si="7">SUM($C$4:$C$5)-C17</f>
        <v>#REF!</v>
      </c>
      <c r="F17" s="370" t="e">
        <f t="shared" ref="F17" si="8">1-D17/E17</f>
        <v>#REF!</v>
      </c>
      <c r="G17" s="369" t="e">
        <f>$C$7*(1-F17)</f>
        <v>#REF!</v>
      </c>
      <c r="H17" s="369" t="e">
        <f t="shared" ref="H17" si="9">$C$8*(1-F17)</f>
        <v>#REF!</v>
      </c>
      <c r="I17" s="369" t="e">
        <f t="shared" ref="I17" si="10">$C$9*(1-F17)</f>
        <v>#REF!</v>
      </c>
    </row>
    <row r="18" spans="2:9">
      <c r="B18" s="366">
        <v>0.05</v>
      </c>
      <c r="C18" s="369" t="e">
        <f>$C$4*B18</f>
        <v>#REF!</v>
      </c>
      <c r="D18" s="367" t="e">
        <f>$C$6-C18</f>
        <v>#REF!</v>
      </c>
      <c r="E18" s="367" t="e">
        <f t="shared" ref="E18" si="11">SUM($C$4:$C$5)-C18</f>
        <v>#REF!</v>
      </c>
      <c r="F18" s="370" t="e">
        <f t="shared" ref="F18" si="12">1-D18/E18</f>
        <v>#REF!</v>
      </c>
      <c r="G18" s="369" t="e">
        <f>$C$7*(1-F18)</f>
        <v>#REF!</v>
      </c>
      <c r="H18" s="369" t="e">
        <f t="shared" ref="H18" si="13">$C$8*(1-F18)</f>
        <v>#REF!</v>
      </c>
      <c r="I18" s="369" t="e">
        <f t="shared" ref="I18" si="14">$C$9*(1-F18)</f>
        <v>#REF!</v>
      </c>
    </row>
    <row r="19" spans="2:9">
      <c r="C19" s="369"/>
    </row>
    <row r="20" spans="2:9">
      <c r="C20" s="369">
        <v>238065</v>
      </c>
      <c r="D20" s="371">
        <v>0.378</v>
      </c>
      <c r="E20" s="368">
        <f>C20/(1-D20)</f>
        <v>382741.15755627007</v>
      </c>
      <c r="F20" s="368">
        <f>E20*0.8</f>
        <v>306192.92604501609</v>
      </c>
    </row>
    <row r="21" spans="2:9">
      <c r="C21" s="369">
        <v>265300</v>
      </c>
      <c r="D21" s="371">
        <v>0.307</v>
      </c>
      <c r="E21" s="368">
        <f>C21/(1-D21)</f>
        <v>382828.2828282828</v>
      </c>
    </row>
    <row r="22" spans="2:9">
      <c r="C22" s="369">
        <v>267560</v>
      </c>
      <c r="D22" s="371">
        <v>0.30099999999999999</v>
      </c>
      <c r="E22" s="368">
        <f>C22/(1-D22)</f>
        <v>382775.39341917023</v>
      </c>
    </row>
    <row r="23" spans="2:9">
      <c r="D23" s="369"/>
    </row>
    <row r="24" spans="2:9">
      <c r="D24" s="369"/>
    </row>
    <row r="25" spans="2:9">
      <c r="D25" s="369"/>
    </row>
    <row r="26" spans="2:9">
      <c r="D26" s="369"/>
    </row>
    <row r="27" spans="2:9">
      <c r="D27" s="369"/>
    </row>
    <row r="28" spans="2:9">
      <c r="D28" s="369"/>
    </row>
    <row r="29" spans="2:9">
      <c r="D29" s="369"/>
    </row>
  </sheetData>
  <mergeCells count="1">
    <mergeCell ref="B11:C11"/>
  </mergeCells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selection activeCell="E32" sqref="E32"/>
    </sheetView>
  </sheetViews>
  <sheetFormatPr defaultRowHeight="13.5"/>
  <cols>
    <col min="3" max="3" width="11.44140625" bestFit="1" customWidth="1"/>
    <col min="4" max="6" width="10.44140625" bestFit="1" customWidth="1"/>
    <col min="7" max="7" width="15.109375" bestFit="1" customWidth="1"/>
    <col min="8" max="8" width="13.21875" bestFit="1" customWidth="1"/>
  </cols>
  <sheetData>
    <row r="1" spans="1:11" ht="16.5">
      <c r="A1" s="1675" t="s">
        <v>420</v>
      </c>
      <c r="B1" s="1675"/>
      <c r="C1" s="818" t="s">
        <v>414</v>
      </c>
      <c r="E1" s="817"/>
      <c r="F1" s="820"/>
      <c r="G1" s="821" t="s">
        <v>415</v>
      </c>
      <c r="H1" s="821"/>
      <c r="I1" s="821"/>
      <c r="J1" s="817"/>
      <c r="K1" s="817"/>
    </row>
    <row r="2" spans="1:11" ht="17.25" thickBot="1">
      <c r="A2">
        <v>50</v>
      </c>
      <c r="B2" s="817" t="s">
        <v>29</v>
      </c>
      <c r="C2" s="848">
        <v>0.11</v>
      </c>
      <c r="D2" s="819"/>
      <c r="E2" s="817"/>
      <c r="F2" s="817"/>
      <c r="H2" s="817" t="s">
        <v>416</v>
      </c>
      <c r="I2" s="817"/>
      <c r="J2" s="817"/>
      <c r="K2" s="817"/>
    </row>
    <row r="3" spans="1:11" ht="16.5">
      <c r="B3" s="817"/>
      <c r="C3" s="822" t="s">
        <v>412</v>
      </c>
      <c r="D3" s="823">
        <v>12</v>
      </c>
      <c r="E3" s="823">
        <v>12</v>
      </c>
      <c r="F3" s="823">
        <v>12</v>
      </c>
      <c r="G3" s="824">
        <v>12</v>
      </c>
      <c r="H3" s="844">
        <v>2</v>
      </c>
      <c r="I3" s="838"/>
      <c r="J3" s="825"/>
      <c r="K3" s="817"/>
    </row>
    <row r="4" spans="1:11" ht="17.25" thickBot="1">
      <c r="B4" s="817"/>
      <c r="C4" s="826" t="s">
        <v>417</v>
      </c>
      <c r="D4" s="827">
        <v>1</v>
      </c>
      <c r="E4" s="827">
        <v>2</v>
      </c>
      <c r="F4" s="827">
        <v>3</v>
      </c>
      <c r="G4" s="841">
        <v>4</v>
      </c>
      <c r="H4" s="845">
        <v>4.166666666666667</v>
      </c>
      <c r="I4" s="839"/>
      <c r="J4" s="817"/>
      <c r="K4" s="820"/>
    </row>
    <row r="5" spans="1:11" ht="17.25" thickBot="1">
      <c r="B5" s="817"/>
      <c r="C5" s="828"/>
      <c r="D5" s="829"/>
      <c r="E5" s="829"/>
      <c r="F5" s="829"/>
      <c r="G5" s="829"/>
      <c r="H5" s="842"/>
      <c r="I5" s="840"/>
      <c r="J5" s="830"/>
      <c r="K5" s="820"/>
    </row>
    <row r="6" spans="1:11" ht="16.5">
      <c r="B6" s="831" t="s">
        <v>419</v>
      </c>
      <c r="C6" s="846">
        <v>149000000</v>
      </c>
      <c r="D6" s="817"/>
      <c r="E6" s="817"/>
      <c r="F6" s="817"/>
      <c r="G6" s="817"/>
      <c r="H6" s="843"/>
      <c r="I6" s="817"/>
      <c r="J6" s="833"/>
      <c r="K6" s="820"/>
    </row>
    <row r="7" spans="1:11" ht="16.5">
      <c r="B7" s="831" t="s">
        <v>418</v>
      </c>
      <c r="C7" s="817"/>
      <c r="D7" s="847">
        <f>$C$6*$C$2</f>
        <v>16390000</v>
      </c>
      <c r="E7" s="847">
        <f>$C$6*$C$2</f>
        <v>16390000</v>
      </c>
      <c r="F7" s="847">
        <f>$C$6*$C$2</f>
        <v>16390000</v>
      </c>
      <c r="G7" s="847">
        <f>$C$6*$C$2</f>
        <v>16390000</v>
      </c>
      <c r="H7" s="849">
        <f>C6*C2*(2/12)</f>
        <v>2731666.6666666665</v>
      </c>
      <c r="I7" s="834"/>
      <c r="J7" s="833"/>
      <c r="K7" s="817"/>
    </row>
    <row r="8" spans="1:11" ht="16.5">
      <c r="B8" s="831"/>
      <c r="C8" s="817"/>
      <c r="D8" s="837"/>
      <c r="E8" s="837"/>
      <c r="F8" s="837"/>
      <c r="G8" s="834"/>
      <c r="H8" s="849">
        <f>G7*(1+$C$2)^(D4+($H$3/12))</f>
        <v>18512103.177216355</v>
      </c>
      <c r="I8" s="834"/>
      <c r="J8" s="833"/>
      <c r="K8" s="817"/>
    </row>
    <row r="9" spans="1:11" ht="16.5">
      <c r="B9" s="817"/>
      <c r="C9" s="817"/>
      <c r="D9" s="817"/>
      <c r="E9" s="817"/>
      <c r="F9" s="817"/>
      <c r="G9" s="816"/>
      <c r="H9" s="849">
        <f>F7*(1+$C$2)^(E4+($H$3/12))</f>
        <v>20548434.526710156</v>
      </c>
      <c r="I9" s="834"/>
      <c r="J9" s="833"/>
      <c r="K9" s="817"/>
    </row>
    <row r="10" spans="1:11" ht="16.5">
      <c r="B10" s="817"/>
      <c r="C10" s="817"/>
      <c r="D10" s="817"/>
      <c r="E10" s="817"/>
      <c r="F10" s="817"/>
      <c r="G10" s="816"/>
      <c r="H10" s="849">
        <f>E7*(1+$C$2)^(F4+($H$3/12))</f>
        <v>22808762.324648272</v>
      </c>
      <c r="I10" s="834"/>
      <c r="J10" s="833"/>
      <c r="K10" s="817"/>
    </row>
    <row r="11" spans="1:11" ht="16.5">
      <c r="B11" s="817"/>
      <c r="C11" s="817"/>
      <c r="D11" s="817"/>
      <c r="E11" s="817"/>
      <c r="F11" s="817"/>
      <c r="G11" s="816"/>
      <c r="H11" s="849">
        <f>D7*(1+$C$2)^(G4+($H$3/12))</f>
        <v>25317726.180359591</v>
      </c>
      <c r="I11" s="834"/>
      <c r="J11" s="833"/>
      <c r="K11" s="817"/>
    </row>
    <row r="12" spans="1:11" ht="16.5">
      <c r="B12" s="817"/>
      <c r="C12" s="817"/>
      <c r="D12" s="817"/>
      <c r="E12" s="817"/>
      <c r="F12" s="816"/>
      <c r="G12" s="831" t="s">
        <v>421</v>
      </c>
      <c r="H12" s="850">
        <f>SUM(H7:H11)</f>
        <v>89918692.875601038</v>
      </c>
      <c r="I12" s="832"/>
      <c r="J12" s="817"/>
      <c r="K12" s="835"/>
    </row>
    <row r="13" spans="1:11" ht="16.5">
      <c r="B13" s="817"/>
      <c r="C13" s="817"/>
      <c r="D13" s="817"/>
      <c r="E13" s="817"/>
      <c r="F13" s="816"/>
      <c r="G13" s="816"/>
      <c r="H13" s="846"/>
      <c r="I13" s="836"/>
      <c r="J13" s="817"/>
      <c r="K13" s="817"/>
    </row>
    <row r="14" spans="1:11" ht="16.5">
      <c r="B14" s="817"/>
      <c r="C14" s="820"/>
      <c r="D14" s="833"/>
      <c r="E14" s="817"/>
      <c r="F14" s="817"/>
      <c r="G14" s="817"/>
      <c r="H14" s="817"/>
      <c r="I14" s="817"/>
      <c r="J14" s="817"/>
      <c r="K14" s="817"/>
    </row>
  </sheetData>
  <mergeCells count="1">
    <mergeCell ref="A1:B1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BA41"/>
  <sheetViews>
    <sheetView workbookViewId="0">
      <selection activeCell="M33" sqref="M33"/>
    </sheetView>
  </sheetViews>
  <sheetFormatPr defaultRowHeight="13.5"/>
  <sheetData>
    <row r="1" spans="2:53" ht="16.5">
      <c r="B1" s="856" t="s">
        <v>467</v>
      </c>
      <c r="C1" s="857"/>
      <c r="D1" s="857"/>
      <c r="E1" s="857"/>
      <c r="F1" s="857"/>
      <c r="G1" s="857"/>
      <c r="H1" s="857"/>
      <c r="I1" s="857"/>
      <c r="J1" s="857"/>
      <c r="K1" s="857"/>
      <c r="L1" s="857"/>
      <c r="M1" s="857"/>
      <c r="N1" s="857"/>
      <c r="O1" s="857"/>
      <c r="P1" s="857"/>
      <c r="Q1" s="857"/>
      <c r="R1" s="857"/>
      <c r="S1" s="857"/>
      <c r="T1" s="857"/>
      <c r="U1" s="857"/>
      <c r="V1" s="857"/>
      <c r="W1" s="857"/>
      <c r="X1" s="857"/>
      <c r="Y1" s="857"/>
      <c r="Z1" s="857"/>
      <c r="AA1" s="857"/>
      <c r="AB1" s="857"/>
      <c r="AC1" s="857"/>
      <c r="AD1" s="857"/>
      <c r="AE1" s="857"/>
      <c r="AF1" s="857"/>
      <c r="AG1" s="857"/>
      <c r="AH1" s="857"/>
      <c r="AI1" s="857"/>
      <c r="AJ1" s="857"/>
      <c r="AK1" s="857"/>
      <c r="AL1" s="857"/>
      <c r="AM1" s="857"/>
      <c r="AN1" s="857"/>
      <c r="AO1" s="857"/>
      <c r="AP1" s="857"/>
      <c r="AQ1" s="857"/>
      <c r="AR1" s="857"/>
      <c r="AS1" s="857"/>
      <c r="AT1" s="857"/>
      <c r="AU1" s="857"/>
      <c r="AV1" s="857"/>
      <c r="AW1" s="857"/>
      <c r="AX1" s="857"/>
      <c r="AY1" s="857"/>
      <c r="AZ1" s="857"/>
      <c r="BA1" s="857"/>
    </row>
    <row r="2" spans="2:53" ht="16.5">
      <c r="B2" s="856"/>
      <c r="C2" s="1676" t="s">
        <v>468</v>
      </c>
      <c r="D2" s="1677"/>
      <c r="E2" s="1678"/>
      <c r="F2" s="858">
        <f>현금흐름표!AA6</f>
        <v>46419</v>
      </c>
      <c r="G2" s="858">
        <f>현금흐름표!AB6</f>
        <v>46447</v>
      </c>
      <c r="H2" s="858">
        <f>현금흐름표!AC6</f>
        <v>46478</v>
      </c>
      <c r="I2" s="858">
        <f>현금흐름표!AD6</f>
        <v>46508</v>
      </c>
      <c r="J2" s="858">
        <f>현금흐름표!AE6</f>
        <v>46539</v>
      </c>
      <c r="K2" s="858">
        <f>현금흐름표!AF6</f>
        <v>46569</v>
      </c>
      <c r="L2" s="858">
        <f>현금흐름표!AG6</f>
        <v>46600</v>
      </c>
      <c r="M2" s="858">
        <f>현금흐름표!AH6</f>
        <v>46631</v>
      </c>
      <c r="N2" s="858">
        <f>현금흐름표!AI6</f>
        <v>46661</v>
      </c>
      <c r="O2" s="858">
        <f>현금흐름표!AJ6</f>
        <v>46692</v>
      </c>
      <c r="P2" s="858">
        <f>현금흐름표!AK6</f>
        <v>46722</v>
      </c>
      <c r="Q2" s="858">
        <f>현금흐름표!AL6</f>
        <v>46753</v>
      </c>
      <c r="R2" s="858">
        <f>현금흐름표!AM6</f>
        <v>46784</v>
      </c>
      <c r="S2" s="858">
        <f>현금흐름표!AN6</f>
        <v>46813</v>
      </c>
      <c r="T2" s="858">
        <f>현금흐름표!AO6</f>
        <v>46844</v>
      </c>
      <c r="U2" s="858">
        <f>현금흐름표!AP6</f>
        <v>46874</v>
      </c>
      <c r="V2" s="858">
        <f>현금흐름표!AQ6</f>
        <v>46905</v>
      </c>
      <c r="W2" s="858">
        <f>현금흐름표!AR6</f>
        <v>46935</v>
      </c>
      <c r="X2" s="858">
        <f>현금흐름표!AS6</f>
        <v>46966</v>
      </c>
      <c r="Y2" s="858">
        <f>현금흐름표!AT6</f>
        <v>46997</v>
      </c>
      <c r="Z2" s="858">
        <f>현금흐름표!AU6</f>
        <v>47027</v>
      </c>
      <c r="AA2" s="858">
        <f>현금흐름표!AV6</f>
        <v>47058</v>
      </c>
      <c r="AB2" s="858">
        <f>현금흐름표!AW6</f>
        <v>47088</v>
      </c>
      <c r="AC2" s="858">
        <f>현금흐름표!AX6</f>
        <v>47119</v>
      </c>
      <c r="AD2" s="858">
        <f>현금흐름표!AY6</f>
        <v>47150</v>
      </c>
      <c r="AE2" s="858">
        <f>현금흐름표!AZ6</f>
        <v>47178</v>
      </c>
      <c r="AF2" s="858">
        <f>현금흐름표!BA6</f>
        <v>47209</v>
      </c>
      <c r="AG2" s="858">
        <f>현금흐름표!BB6</f>
        <v>47239</v>
      </c>
      <c r="AH2" s="858">
        <f>현금흐름표!BC6</f>
        <v>47270</v>
      </c>
      <c r="AI2" s="858">
        <f>현금흐름표!BD6</f>
        <v>47300</v>
      </c>
      <c r="AJ2" s="858">
        <f>현금흐름표!BE6</f>
        <v>47331</v>
      </c>
      <c r="AK2" s="858">
        <f>현금흐름표!BF6</f>
        <v>47362</v>
      </c>
      <c r="AL2" s="858">
        <f>현금흐름표!BG6</f>
        <v>47392</v>
      </c>
      <c r="AM2" s="858">
        <f>현금흐름표!BH6</f>
        <v>47423</v>
      </c>
      <c r="AN2" s="858">
        <f>현금흐름표!BI6</f>
        <v>47453</v>
      </c>
      <c r="AO2" s="858">
        <f>현금흐름표!BJ6</f>
        <v>47484</v>
      </c>
      <c r="AP2" s="858">
        <f>현금흐름표!BK6</f>
        <v>47515</v>
      </c>
      <c r="AQ2" s="858">
        <f>현금흐름표!BL6</f>
        <v>47543</v>
      </c>
      <c r="AR2" s="858">
        <f>현금흐름표!BM6</f>
        <v>47574</v>
      </c>
      <c r="AS2" s="858">
        <f>현금흐름표!BN6</f>
        <v>47604</v>
      </c>
      <c r="AT2" s="858">
        <f>현금흐름표!BO6</f>
        <v>47635</v>
      </c>
      <c r="AU2" s="858">
        <f>현금흐름표!BP6</f>
        <v>47665</v>
      </c>
      <c r="AV2" s="858">
        <f>현금흐름표!BQ6</f>
        <v>47270</v>
      </c>
      <c r="AW2" s="858">
        <f>현금흐름표!BR6</f>
        <v>47300</v>
      </c>
      <c r="AX2" s="858">
        <f>현금흐름표!BS6</f>
        <v>47331</v>
      </c>
      <c r="AY2" s="858">
        <f>현금흐름표!BT6</f>
        <v>47362</v>
      </c>
      <c r="AZ2" s="858">
        <f>현금흐름표!BU6</f>
        <v>47392</v>
      </c>
      <c r="BA2" s="858">
        <f>현금흐름표!BV6</f>
        <v>47423</v>
      </c>
    </row>
    <row r="3" spans="2:53">
      <c r="B3" s="859"/>
      <c r="C3" s="1679" t="s">
        <v>469</v>
      </c>
      <c r="D3" s="1680"/>
      <c r="E3" s="1681"/>
      <c r="F3" s="860">
        <v>1</v>
      </c>
      <c r="G3" s="860">
        <f t="shared" ref="G3:BA3" si="0">F3+1</f>
        <v>2</v>
      </c>
      <c r="H3" s="860">
        <f t="shared" si="0"/>
        <v>3</v>
      </c>
      <c r="I3" s="860">
        <f t="shared" si="0"/>
        <v>4</v>
      </c>
      <c r="J3" s="860">
        <f t="shared" si="0"/>
        <v>5</v>
      </c>
      <c r="K3" s="860">
        <f t="shared" si="0"/>
        <v>6</v>
      </c>
      <c r="L3" s="860">
        <f t="shared" si="0"/>
        <v>7</v>
      </c>
      <c r="M3" s="860">
        <f t="shared" si="0"/>
        <v>8</v>
      </c>
      <c r="N3" s="860">
        <f t="shared" si="0"/>
        <v>9</v>
      </c>
      <c r="O3" s="860">
        <f t="shared" si="0"/>
        <v>10</v>
      </c>
      <c r="P3" s="860">
        <f t="shared" si="0"/>
        <v>11</v>
      </c>
      <c r="Q3" s="860">
        <f t="shared" si="0"/>
        <v>12</v>
      </c>
      <c r="R3" s="860">
        <f t="shared" si="0"/>
        <v>13</v>
      </c>
      <c r="S3" s="860">
        <f t="shared" si="0"/>
        <v>14</v>
      </c>
      <c r="T3" s="860">
        <f t="shared" si="0"/>
        <v>15</v>
      </c>
      <c r="U3" s="860">
        <f t="shared" si="0"/>
        <v>16</v>
      </c>
      <c r="V3" s="860">
        <f t="shared" si="0"/>
        <v>17</v>
      </c>
      <c r="W3" s="860">
        <f t="shared" si="0"/>
        <v>18</v>
      </c>
      <c r="X3" s="860">
        <f t="shared" si="0"/>
        <v>19</v>
      </c>
      <c r="Y3" s="860">
        <f t="shared" si="0"/>
        <v>20</v>
      </c>
      <c r="Z3" s="860">
        <f t="shared" si="0"/>
        <v>21</v>
      </c>
      <c r="AA3" s="860">
        <f t="shared" si="0"/>
        <v>22</v>
      </c>
      <c r="AB3" s="860">
        <f t="shared" si="0"/>
        <v>23</v>
      </c>
      <c r="AC3" s="860">
        <f t="shared" si="0"/>
        <v>24</v>
      </c>
      <c r="AD3" s="860">
        <f t="shared" si="0"/>
        <v>25</v>
      </c>
      <c r="AE3" s="860">
        <f t="shared" si="0"/>
        <v>26</v>
      </c>
      <c r="AF3" s="860">
        <f t="shared" si="0"/>
        <v>27</v>
      </c>
      <c r="AG3" s="860">
        <f t="shared" si="0"/>
        <v>28</v>
      </c>
      <c r="AH3" s="860">
        <f t="shared" si="0"/>
        <v>29</v>
      </c>
      <c r="AI3" s="860">
        <f t="shared" si="0"/>
        <v>30</v>
      </c>
      <c r="AJ3" s="860">
        <f t="shared" si="0"/>
        <v>31</v>
      </c>
      <c r="AK3" s="860">
        <f t="shared" si="0"/>
        <v>32</v>
      </c>
      <c r="AL3" s="860">
        <f t="shared" si="0"/>
        <v>33</v>
      </c>
      <c r="AM3" s="860">
        <f t="shared" si="0"/>
        <v>34</v>
      </c>
      <c r="AN3" s="860">
        <f t="shared" si="0"/>
        <v>35</v>
      </c>
      <c r="AO3" s="860">
        <f t="shared" si="0"/>
        <v>36</v>
      </c>
      <c r="AP3" s="860">
        <f t="shared" si="0"/>
        <v>37</v>
      </c>
      <c r="AQ3" s="860">
        <f t="shared" si="0"/>
        <v>38</v>
      </c>
      <c r="AR3" s="860">
        <f t="shared" si="0"/>
        <v>39</v>
      </c>
      <c r="AS3" s="860">
        <f t="shared" si="0"/>
        <v>40</v>
      </c>
      <c r="AT3" s="860">
        <f t="shared" si="0"/>
        <v>41</v>
      </c>
      <c r="AU3" s="860">
        <f t="shared" si="0"/>
        <v>42</v>
      </c>
      <c r="AV3" s="860">
        <f t="shared" si="0"/>
        <v>43</v>
      </c>
      <c r="AW3" s="860">
        <f t="shared" si="0"/>
        <v>44</v>
      </c>
      <c r="AX3" s="860">
        <f t="shared" si="0"/>
        <v>45</v>
      </c>
      <c r="AY3" s="860">
        <f t="shared" si="0"/>
        <v>46</v>
      </c>
      <c r="AZ3" s="860">
        <f t="shared" si="0"/>
        <v>47</v>
      </c>
      <c r="BA3" s="860">
        <f t="shared" si="0"/>
        <v>48</v>
      </c>
    </row>
    <row r="4" spans="2:53">
      <c r="B4" s="859"/>
      <c r="C4" s="1682" t="s">
        <v>470</v>
      </c>
      <c r="D4" s="861" t="s">
        <v>471</v>
      </c>
      <c r="E4" s="862">
        <f>SUM(F4:BA4)</f>
        <v>1</v>
      </c>
      <c r="F4" s="863">
        <f t="shared" ref="F4:BA4" si="1">VLOOKUP($E$5,$C8:$AZ41,F3+2)</f>
        <v>9.5999999999999992E-3</v>
      </c>
      <c r="G4" s="863">
        <f t="shared" si="1"/>
        <v>9.5999999999999992E-3</v>
      </c>
      <c r="H4" s="863">
        <f t="shared" si="1"/>
        <v>1.1599999999999999E-2</v>
      </c>
      <c r="I4" s="863">
        <f t="shared" si="1"/>
        <v>1.1599999999999999E-2</v>
      </c>
      <c r="J4" s="863">
        <f t="shared" si="1"/>
        <v>1.3600000000000001E-2</v>
      </c>
      <c r="K4" s="863">
        <f t="shared" si="1"/>
        <v>1.3600000000000001E-2</v>
      </c>
      <c r="L4" s="863">
        <f t="shared" si="1"/>
        <v>1.8599999999999998E-2</v>
      </c>
      <c r="M4" s="863">
        <f t="shared" si="1"/>
        <v>1.8599999999999998E-2</v>
      </c>
      <c r="N4" s="863">
        <f t="shared" si="1"/>
        <v>2.1599999999999998E-2</v>
      </c>
      <c r="O4" s="863">
        <f t="shared" si="1"/>
        <v>2.1599999999999998E-2</v>
      </c>
      <c r="P4" s="863">
        <f t="shared" si="1"/>
        <v>2.4599999999999997E-2</v>
      </c>
      <c r="Q4" s="863">
        <f t="shared" si="1"/>
        <v>2.4599999999999997E-2</v>
      </c>
      <c r="R4" s="863">
        <f t="shared" si="1"/>
        <v>2.6599999999999999E-2</v>
      </c>
      <c r="S4" s="863">
        <f t="shared" si="1"/>
        <v>2.6599999999999999E-2</v>
      </c>
      <c r="T4" s="863">
        <f t="shared" si="1"/>
        <v>2.8599999999999997E-2</v>
      </c>
      <c r="U4" s="863">
        <f t="shared" si="1"/>
        <v>2.8599999999999997E-2</v>
      </c>
      <c r="V4" s="863">
        <f t="shared" si="1"/>
        <v>2.8599999999999997E-2</v>
      </c>
      <c r="W4" s="863">
        <f t="shared" si="1"/>
        <v>2.8599999999999997E-2</v>
      </c>
      <c r="X4" s="863">
        <f t="shared" si="1"/>
        <v>2.8599999999999997E-2</v>
      </c>
      <c r="Y4" s="863">
        <f t="shared" si="1"/>
        <v>2.8599999999999997E-2</v>
      </c>
      <c r="Z4" s="863">
        <f t="shared" si="1"/>
        <v>3.0599999999999999E-2</v>
      </c>
      <c r="AA4" s="863">
        <f t="shared" si="1"/>
        <v>3.0599999999999999E-2</v>
      </c>
      <c r="AB4" s="863">
        <f t="shared" si="1"/>
        <v>3.0599999999999999E-2</v>
      </c>
      <c r="AC4" s="863">
        <f t="shared" si="1"/>
        <v>3.0599999999999999E-2</v>
      </c>
      <c r="AD4" s="863">
        <f t="shared" si="1"/>
        <v>3.2600000000000004E-2</v>
      </c>
      <c r="AE4" s="863">
        <f t="shared" si="1"/>
        <v>3.2600000000000004E-2</v>
      </c>
      <c r="AF4" s="863">
        <f t="shared" si="1"/>
        <v>3.4599999999999999E-2</v>
      </c>
      <c r="AG4" s="863">
        <f t="shared" si="1"/>
        <v>3.4599999999999999E-2</v>
      </c>
      <c r="AH4" s="863">
        <f t="shared" si="1"/>
        <v>3.6600000000000008E-2</v>
      </c>
      <c r="AI4" s="863">
        <f t="shared" si="1"/>
        <v>3.6600000000000008E-2</v>
      </c>
      <c r="AJ4" s="863">
        <f t="shared" si="1"/>
        <v>3.6600000000000008E-2</v>
      </c>
      <c r="AK4" s="863">
        <f t="shared" si="1"/>
        <v>3.6600000000000008E-2</v>
      </c>
      <c r="AL4" s="863">
        <f t="shared" si="1"/>
        <v>3.4599999999999999E-2</v>
      </c>
      <c r="AM4" s="863">
        <f t="shared" si="1"/>
        <v>3.4599999999999999E-2</v>
      </c>
      <c r="AN4" s="863">
        <f t="shared" si="1"/>
        <v>3.4599999999999999E-2</v>
      </c>
      <c r="AO4" s="863">
        <f t="shared" si="1"/>
        <v>3.4599999999999999E-2</v>
      </c>
      <c r="AP4" s="863">
        <f t="shared" si="1"/>
        <v>3.4400000000000319E-2</v>
      </c>
      <c r="AQ4" s="863">
        <f t="shared" si="1"/>
        <v>0</v>
      </c>
      <c r="AR4" s="863">
        <f t="shared" si="1"/>
        <v>0</v>
      </c>
      <c r="AS4" s="863">
        <f t="shared" si="1"/>
        <v>0</v>
      </c>
      <c r="AT4" s="863">
        <f t="shared" si="1"/>
        <v>0</v>
      </c>
      <c r="AU4" s="863">
        <f t="shared" si="1"/>
        <v>0</v>
      </c>
      <c r="AV4" s="863">
        <f t="shared" si="1"/>
        <v>0</v>
      </c>
      <c r="AW4" s="863">
        <f t="shared" si="1"/>
        <v>0</v>
      </c>
      <c r="AX4" s="863">
        <f t="shared" si="1"/>
        <v>0</v>
      </c>
      <c r="AY4" s="863">
        <f t="shared" si="1"/>
        <v>0</v>
      </c>
      <c r="AZ4" s="863">
        <f t="shared" si="1"/>
        <v>0</v>
      </c>
      <c r="BA4" s="863">
        <f t="shared" si="1"/>
        <v>0</v>
      </c>
    </row>
    <row r="5" spans="2:53">
      <c r="B5" s="859"/>
      <c r="C5" s="1683"/>
      <c r="D5" s="861" t="s">
        <v>472</v>
      </c>
      <c r="E5" s="864">
        <v>37</v>
      </c>
      <c r="F5" s="863">
        <f>F4</f>
        <v>9.5999999999999992E-3</v>
      </c>
      <c r="G5" s="863">
        <f t="shared" ref="G5:BA5" si="2">F5+G4</f>
        <v>1.9199999999999998E-2</v>
      </c>
      <c r="H5" s="863">
        <f t="shared" si="2"/>
        <v>3.0799999999999998E-2</v>
      </c>
      <c r="I5" s="863">
        <f t="shared" si="2"/>
        <v>4.2399999999999993E-2</v>
      </c>
      <c r="J5" s="863">
        <f t="shared" si="2"/>
        <v>5.5999999999999994E-2</v>
      </c>
      <c r="K5" s="863">
        <f t="shared" si="2"/>
        <v>6.9599999999999995E-2</v>
      </c>
      <c r="L5" s="863">
        <f t="shared" si="2"/>
        <v>8.8200000000000001E-2</v>
      </c>
      <c r="M5" s="863">
        <f t="shared" si="2"/>
        <v>0.10680000000000001</v>
      </c>
      <c r="N5" s="863">
        <f t="shared" si="2"/>
        <v>0.12840000000000001</v>
      </c>
      <c r="O5" s="863">
        <f t="shared" si="2"/>
        <v>0.15000000000000002</v>
      </c>
      <c r="P5" s="863">
        <f t="shared" si="2"/>
        <v>0.17460000000000003</v>
      </c>
      <c r="Q5" s="863">
        <f t="shared" si="2"/>
        <v>0.19920000000000004</v>
      </c>
      <c r="R5" s="863">
        <f t="shared" si="2"/>
        <v>0.22580000000000006</v>
      </c>
      <c r="S5" s="863">
        <f t="shared" si="2"/>
        <v>0.25240000000000007</v>
      </c>
      <c r="T5" s="863">
        <f t="shared" si="2"/>
        <v>0.28100000000000008</v>
      </c>
      <c r="U5" s="863">
        <f t="shared" si="2"/>
        <v>0.3096000000000001</v>
      </c>
      <c r="V5" s="863">
        <f t="shared" si="2"/>
        <v>0.33820000000000011</v>
      </c>
      <c r="W5" s="863">
        <f t="shared" si="2"/>
        <v>0.36680000000000013</v>
      </c>
      <c r="X5" s="863">
        <f t="shared" si="2"/>
        <v>0.39540000000000014</v>
      </c>
      <c r="Y5" s="863">
        <f t="shared" si="2"/>
        <v>0.42400000000000015</v>
      </c>
      <c r="Z5" s="863">
        <f t="shared" si="2"/>
        <v>0.45460000000000017</v>
      </c>
      <c r="AA5" s="863">
        <f t="shared" si="2"/>
        <v>0.48520000000000019</v>
      </c>
      <c r="AB5" s="863">
        <f t="shared" si="2"/>
        <v>0.51580000000000015</v>
      </c>
      <c r="AC5" s="863">
        <f t="shared" si="2"/>
        <v>0.54640000000000011</v>
      </c>
      <c r="AD5" s="863">
        <f t="shared" si="2"/>
        <v>0.57900000000000007</v>
      </c>
      <c r="AE5" s="863">
        <f t="shared" si="2"/>
        <v>0.61160000000000003</v>
      </c>
      <c r="AF5" s="863">
        <f t="shared" si="2"/>
        <v>0.6462</v>
      </c>
      <c r="AG5" s="863">
        <f t="shared" si="2"/>
        <v>0.68079999999999996</v>
      </c>
      <c r="AH5" s="863">
        <f t="shared" si="2"/>
        <v>0.71739999999999993</v>
      </c>
      <c r="AI5" s="863">
        <f t="shared" si="2"/>
        <v>0.75399999999999989</v>
      </c>
      <c r="AJ5" s="863">
        <f t="shared" si="2"/>
        <v>0.79059999999999986</v>
      </c>
      <c r="AK5" s="863">
        <f t="shared" si="2"/>
        <v>0.82719999999999982</v>
      </c>
      <c r="AL5" s="863">
        <f t="shared" si="2"/>
        <v>0.86179999999999979</v>
      </c>
      <c r="AM5" s="863">
        <f t="shared" si="2"/>
        <v>0.89639999999999975</v>
      </c>
      <c r="AN5" s="863">
        <f t="shared" si="2"/>
        <v>0.93099999999999972</v>
      </c>
      <c r="AO5" s="863">
        <f t="shared" si="2"/>
        <v>0.96559999999999968</v>
      </c>
      <c r="AP5" s="863">
        <f t="shared" si="2"/>
        <v>1</v>
      </c>
      <c r="AQ5" s="863">
        <f t="shared" si="2"/>
        <v>1</v>
      </c>
      <c r="AR5" s="863">
        <f t="shared" si="2"/>
        <v>1</v>
      </c>
      <c r="AS5" s="863">
        <f t="shared" si="2"/>
        <v>1</v>
      </c>
      <c r="AT5" s="863">
        <f t="shared" si="2"/>
        <v>1</v>
      </c>
      <c r="AU5" s="863">
        <f t="shared" si="2"/>
        <v>1</v>
      </c>
      <c r="AV5" s="863">
        <f t="shared" si="2"/>
        <v>1</v>
      </c>
      <c r="AW5" s="863">
        <f t="shared" si="2"/>
        <v>1</v>
      </c>
      <c r="AX5" s="863">
        <f t="shared" si="2"/>
        <v>1</v>
      </c>
      <c r="AY5" s="863">
        <f t="shared" si="2"/>
        <v>1</v>
      </c>
      <c r="AZ5" s="863">
        <f t="shared" si="2"/>
        <v>1</v>
      </c>
      <c r="BA5" s="863">
        <f t="shared" si="2"/>
        <v>1</v>
      </c>
    </row>
    <row r="6" spans="2:53" ht="16.5">
      <c r="B6" s="865"/>
      <c r="C6" s="866"/>
      <c r="D6" s="857"/>
      <c r="E6" s="857"/>
      <c r="F6" s="857"/>
      <c r="G6" s="857"/>
      <c r="H6" s="857"/>
      <c r="I6" s="857"/>
      <c r="J6" s="857"/>
      <c r="K6" s="857"/>
      <c r="L6" s="857"/>
      <c r="M6" s="857"/>
      <c r="N6" s="857"/>
      <c r="O6" s="857"/>
      <c r="P6" s="857"/>
      <c r="Q6" s="857"/>
      <c r="R6" s="857"/>
      <c r="S6" s="857"/>
      <c r="T6" s="857"/>
      <c r="U6" s="857"/>
      <c r="V6" s="857"/>
      <c r="W6" s="857"/>
      <c r="X6" s="857"/>
      <c r="Y6" s="857"/>
      <c r="Z6" s="857"/>
      <c r="AA6" s="857"/>
      <c r="AB6" s="857"/>
      <c r="AC6" s="857"/>
      <c r="AD6" s="857"/>
      <c r="AE6" s="857"/>
      <c r="AF6" s="857"/>
      <c r="AG6" s="857"/>
      <c r="AH6" s="857"/>
      <c r="AI6" s="857"/>
      <c r="AJ6" s="857"/>
      <c r="AK6" s="857"/>
      <c r="AL6" s="857"/>
      <c r="AM6" s="857"/>
      <c r="AN6" s="857"/>
      <c r="AO6" s="857"/>
      <c r="AP6" s="857"/>
      <c r="AQ6" s="857"/>
      <c r="AR6" s="857"/>
      <c r="AS6" s="857"/>
      <c r="AT6" s="857"/>
      <c r="AU6" s="857"/>
      <c r="AV6" s="857"/>
      <c r="AW6" s="857"/>
      <c r="AX6" s="857"/>
      <c r="AY6" s="857"/>
      <c r="AZ6" s="857"/>
      <c r="BA6" s="857"/>
    </row>
    <row r="7" spans="2:53" ht="16.5">
      <c r="B7" s="865"/>
      <c r="C7" s="856" t="s">
        <v>473</v>
      </c>
      <c r="D7" s="857"/>
      <c r="E7" s="857"/>
      <c r="F7" s="857"/>
      <c r="G7" s="857"/>
      <c r="H7" s="857"/>
      <c r="I7" s="857"/>
      <c r="J7" s="857"/>
      <c r="K7" s="857"/>
      <c r="L7" s="857"/>
      <c r="M7" s="857"/>
      <c r="N7" s="857"/>
      <c r="O7" s="857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  <c r="AC7" s="857"/>
      <c r="AD7" s="857"/>
      <c r="AE7" s="857"/>
      <c r="AF7" s="857"/>
      <c r="AG7" s="857"/>
      <c r="AH7" s="857"/>
      <c r="AI7" s="857"/>
      <c r="AJ7" s="857"/>
      <c r="AK7" s="857"/>
      <c r="AL7" s="857"/>
      <c r="AM7" s="857"/>
      <c r="AN7" s="857"/>
      <c r="AO7" s="857"/>
      <c r="AP7" s="857"/>
      <c r="AQ7" s="857"/>
      <c r="AR7" s="857"/>
      <c r="AS7" s="857"/>
      <c r="AT7" s="857"/>
      <c r="AU7" s="857"/>
      <c r="AV7" s="857"/>
      <c r="AW7" s="857"/>
      <c r="AX7" s="857"/>
      <c r="AY7" s="857"/>
      <c r="AZ7" s="857"/>
      <c r="BA7" s="857"/>
    </row>
    <row r="8" spans="2:53" ht="16.5">
      <c r="B8" s="857"/>
      <c r="C8" s="867">
        <v>15</v>
      </c>
      <c r="D8" s="868" t="s">
        <v>474</v>
      </c>
      <c r="E8" s="869">
        <v>4.8999999999999995E-2</v>
      </c>
      <c r="F8" s="869">
        <v>4.8999999999999995E-2</v>
      </c>
      <c r="G8" s="869">
        <v>5.2999999999999985E-2</v>
      </c>
      <c r="H8" s="869">
        <v>5.2999999999999985E-2</v>
      </c>
      <c r="I8" s="869">
        <v>5.7000000000000002E-2</v>
      </c>
      <c r="J8" s="869">
        <v>5.7000000000000002E-2</v>
      </c>
      <c r="K8" s="869">
        <v>6.6000000000000017E-2</v>
      </c>
      <c r="L8" s="869">
        <v>6.6000000000000017E-2</v>
      </c>
      <c r="M8" s="869">
        <v>7.3000000000000009E-2</v>
      </c>
      <c r="N8" s="869">
        <v>7.3000000000000009E-2</v>
      </c>
      <c r="O8" s="869">
        <v>7.8000000000000028E-2</v>
      </c>
      <c r="P8" s="869">
        <v>7.8000000000000028E-2</v>
      </c>
      <c r="Q8" s="869">
        <v>8.3000000000000032E-2</v>
      </c>
      <c r="R8" s="869">
        <v>8.3000000000000032E-2</v>
      </c>
      <c r="S8" s="869">
        <v>8.1999999999999851E-2</v>
      </c>
      <c r="T8" s="869"/>
      <c r="U8" s="869"/>
      <c r="V8" s="869"/>
      <c r="W8" s="869"/>
      <c r="X8" s="869"/>
      <c r="Y8" s="869"/>
      <c r="Z8" s="869"/>
      <c r="AA8" s="869"/>
      <c r="AB8" s="869"/>
      <c r="AC8" s="869"/>
      <c r="AD8" s="869"/>
      <c r="AE8" s="869"/>
      <c r="AF8" s="869"/>
      <c r="AG8" s="869"/>
      <c r="AH8" s="869"/>
      <c r="AI8" s="869"/>
      <c r="AJ8" s="869"/>
      <c r="AK8" s="869"/>
      <c r="AL8" s="869"/>
      <c r="AM8" s="869"/>
      <c r="AN8" s="869"/>
      <c r="AO8" s="869"/>
      <c r="AP8" s="869"/>
      <c r="AQ8" s="869"/>
      <c r="AR8" s="869"/>
      <c r="AS8" s="869"/>
      <c r="AT8" s="869"/>
      <c r="AU8" s="869"/>
      <c r="AV8" s="869"/>
      <c r="AW8" s="869"/>
      <c r="AX8" s="869"/>
      <c r="AY8" s="869"/>
      <c r="AZ8" s="869"/>
      <c r="BA8" s="870">
        <v>1</v>
      </c>
    </row>
    <row r="9" spans="2:53" ht="16.5">
      <c r="B9" s="857"/>
      <c r="C9" s="871">
        <v>16</v>
      </c>
      <c r="D9" s="872" t="s">
        <v>474</v>
      </c>
      <c r="E9" s="873">
        <v>4.2999999999999997E-2</v>
      </c>
      <c r="F9" s="873">
        <v>4.2999999999999997E-2</v>
      </c>
      <c r="G9" s="873">
        <v>4.6999999999999986E-2</v>
      </c>
      <c r="H9" s="873">
        <v>4.6999999999999986E-2</v>
      </c>
      <c r="I9" s="873">
        <v>5.1000000000000004E-2</v>
      </c>
      <c r="J9" s="873">
        <v>5.1000000000000004E-2</v>
      </c>
      <c r="K9" s="873">
        <v>0.06</v>
      </c>
      <c r="L9" s="873">
        <v>0.06</v>
      </c>
      <c r="M9" s="873">
        <v>6.7000000000000004E-2</v>
      </c>
      <c r="N9" s="873">
        <v>6.7000000000000004E-2</v>
      </c>
      <c r="O9" s="873">
        <v>7.2000000000000022E-2</v>
      </c>
      <c r="P9" s="873">
        <v>7.2000000000000022E-2</v>
      </c>
      <c r="Q9" s="873">
        <v>7.7000000000000027E-2</v>
      </c>
      <c r="R9" s="873">
        <v>7.7000000000000027E-2</v>
      </c>
      <c r="S9" s="873">
        <v>8.5000000000000006E-2</v>
      </c>
      <c r="T9" s="873">
        <v>8.0999999999999739E-2</v>
      </c>
      <c r="U9" s="873"/>
      <c r="V9" s="873"/>
      <c r="W9" s="873"/>
      <c r="X9" s="873"/>
      <c r="Y9" s="873"/>
      <c r="Z9" s="873"/>
      <c r="AA9" s="873"/>
      <c r="AB9" s="873"/>
      <c r="AC9" s="873"/>
      <c r="AD9" s="873"/>
      <c r="AE9" s="873"/>
      <c r="AF9" s="873"/>
      <c r="AG9" s="873"/>
      <c r="AH9" s="873"/>
      <c r="AI9" s="873"/>
      <c r="AJ9" s="873"/>
      <c r="AK9" s="873"/>
      <c r="AL9" s="873"/>
      <c r="AM9" s="873"/>
      <c r="AN9" s="873"/>
      <c r="AO9" s="873"/>
      <c r="AP9" s="873"/>
      <c r="AQ9" s="873"/>
      <c r="AR9" s="873"/>
      <c r="AS9" s="873"/>
      <c r="AT9" s="873"/>
      <c r="AU9" s="873"/>
      <c r="AV9" s="873"/>
      <c r="AW9" s="873"/>
      <c r="AX9" s="873"/>
      <c r="AY9" s="873"/>
      <c r="AZ9" s="873"/>
      <c r="BA9" s="874">
        <v>1</v>
      </c>
    </row>
    <row r="10" spans="2:53" ht="16.5">
      <c r="B10" s="857"/>
      <c r="C10" s="871">
        <v>17</v>
      </c>
      <c r="D10" s="872" t="s">
        <v>474</v>
      </c>
      <c r="E10" s="873">
        <v>3.7999999999999999E-2</v>
      </c>
      <c r="F10" s="873">
        <v>3.7999999999999999E-2</v>
      </c>
      <c r="G10" s="873">
        <v>4.1999999999999989E-2</v>
      </c>
      <c r="H10" s="873">
        <v>4.1999999999999989E-2</v>
      </c>
      <c r="I10" s="873">
        <v>4.6000000000000006E-2</v>
      </c>
      <c r="J10" s="873">
        <v>4.6000000000000006E-2</v>
      </c>
      <c r="K10" s="873">
        <v>5.5E-2</v>
      </c>
      <c r="L10" s="873">
        <v>5.5E-2</v>
      </c>
      <c r="M10" s="873">
        <v>6.2000000000000006E-2</v>
      </c>
      <c r="N10" s="873">
        <v>6.2000000000000006E-2</v>
      </c>
      <c r="O10" s="873">
        <v>6.7000000000000018E-2</v>
      </c>
      <c r="P10" s="873">
        <v>6.7000000000000018E-2</v>
      </c>
      <c r="Q10" s="873">
        <v>7.2000000000000022E-2</v>
      </c>
      <c r="R10" s="873">
        <v>7.2000000000000022E-2</v>
      </c>
      <c r="S10" s="873">
        <v>0.08</v>
      </c>
      <c r="T10" s="873">
        <v>0.08</v>
      </c>
      <c r="U10" s="873">
        <v>7.5999999999999623E-2</v>
      </c>
      <c r="V10" s="873"/>
      <c r="W10" s="873"/>
      <c r="X10" s="873"/>
      <c r="Y10" s="873"/>
      <c r="Z10" s="873"/>
      <c r="AA10" s="873"/>
      <c r="AB10" s="873"/>
      <c r="AC10" s="873"/>
      <c r="AD10" s="873"/>
      <c r="AE10" s="873"/>
      <c r="AF10" s="873"/>
      <c r="AG10" s="873"/>
      <c r="AH10" s="873"/>
      <c r="AI10" s="873"/>
      <c r="AJ10" s="873"/>
      <c r="AK10" s="873"/>
      <c r="AL10" s="873"/>
      <c r="AM10" s="873"/>
      <c r="AN10" s="873"/>
      <c r="AO10" s="873"/>
      <c r="AP10" s="873"/>
      <c r="AQ10" s="873"/>
      <c r="AR10" s="873"/>
      <c r="AS10" s="873"/>
      <c r="AT10" s="873"/>
      <c r="AU10" s="873"/>
      <c r="AV10" s="873"/>
      <c r="AW10" s="873"/>
      <c r="AX10" s="873"/>
      <c r="AY10" s="873"/>
      <c r="AZ10" s="873"/>
      <c r="BA10" s="874">
        <v>1</v>
      </c>
    </row>
    <row r="11" spans="2:53" ht="16.5">
      <c r="B11" s="857"/>
      <c r="C11" s="871">
        <v>18</v>
      </c>
      <c r="D11" s="872" t="s">
        <v>474</v>
      </c>
      <c r="E11" s="873">
        <v>3.3500000000000002E-2</v>
      </c>
      <c r="F11" s="873">
        <v>3.3500000000000002E-2</v>
      </c>
      <c r="G11" s="873">
        <v>3.7499999999999999E-2</v>
      </c>
      <c r="H11" s="873">
        <v>3.7499999999999999E-2</v>
      </c>
      <c r="I11" s="873">
        <v>4.1500000000000009E-2</v>
      </c>
      <c r="J11" s="873">
        <v>4.1500000000000009E-2</v>
      </c>
      <c r="K11" s="873">
        <v>5.0500000000000017E-2</v>
      </c>
      <c r="L11" s="873">
        <v>5.0500000000000017E-2</v>
      </c>
      <c r="M11" s="873">
        <v>5.7500000000000002E-2</v>
      </c>
      <c r="N11" s="873">
        <v>5.7500000000000002E-2</v>
      </c>
      <c r="O11" s="873">
        <v>6.25E-2</v>
      </c>
      <c r="P11" s="873">
        <v>6.25E-2</v>
      </c>
      <c r="Q11" s="873">
        <v>6.7500000000000004E-2</v>
      </c>
      <c r="R11" s="873">
        <v>6.7500000000000004E-2</v>
      </c>
      <c r="S11" s="873">
        <v>7.5500000000000012E-2</v>
      </c>
      <c r="T11" s="873">
        <v>7.5500000000000012E-2</v>
      </c>
      <c r="U11" s="873">
        <v>7.5500000000000012E-2</v>
      </c>
      <c r="V11" s="873">
        <v>7.2499999999999898E-2</v>
      </c>
      <c r="W11" s="873"/>
      <c r="X11" s="873"/>
      <c r="Y11" s="873"/>
      <c r="Z11" s="873"/>
      <c r="AA11" s="873"/>
      <c r="AB11" s="873"/>
      <c r="AC11" s="873"/>
      <c r="AD11" s="873"/>
      <c r="AE11" s="873"/>
      <c r="AF11" s="873"/>
      <c r="AG11" s="873"/>
      <c r="AH11" s="873"/>
      <c r="AI11" s="873"/>
      <c r="AJ11" s="873"/>
      <c r="AK11" s="873"/>
      <c r="AL11" s="873"/>
      <c r="AM11" s="873"/>
      <c r="AN11" s="873"/>
      <c r="AO11" s="873"/>
      <c r="AP11" s="873"/>
      <c r="AQ11" s="873"/>
      <c r="AR11" s="873"/>
      <c r="AS11" s="873"/>
      <c r="AT11" s="873"/>
      <c r="AU11" s="873"/>
      <c r="AV11" s="873"/>
      <c r="AW11" s="873"/>
      <c r="AX11" s="873"/>
      <c r="AY11" s="873"/>
      <c r="AZ11" s="873"/>
      <c r="BA11" s="874">
        <v>1</v>
      </c>
    </row>
    <row r="12" spans="2:53" ht="16.5">
      <c r="B12" s="857"/>
      <c r="C12" s="871">
        <v>19</v>
      </c>
      <c r="D12" s="872" t="s">
        <v>474</v>
      </c>
      <c r="E12" s="873">
        <v>2.9500000000000002E-2</v>
      </c>
      <c r="F12" s="873">
        <v>2.9500000000000002E-2</v>
      </c>
      <c r="G12" s="873">
        <v>3.3499999999999995E-2</v>
      </c>
      <c r="H12" s="873">
        <v>3.3499999999999995E-2</v>
      </c>
      <c r="I12" s="873">
        <v>3.7499999999999999E-2</v>
      </c>
      <c r="J12" s="873">
        <v>3.7499999999999999E-2</v>
      </c>
      <c r="K12" s="873">
        <v>4.6500000000000014E-2</v>
      </c>
      <c r="L12" s="873">
        <v>4.6500000000000014E-2</v>
      </c>
      <c r="M12" s="873">
        <v>5.3500000000000013E-2</v>
      </c>
      <c r="N12" s="873">
        <v>5.3500000000000013E-2</v>
      </c>
      <c r="O12" s="873">
        <v>5.850000000000001E-2</v>
      </c>
      <c r="P12" s="873">
        <v>5.850000000000001E-2</v>
      </c>
      <c r="Q12" s="873">
        <v>6.3500000000000015E-2</v>
      </c>
      <c r="R12" s="873">
        <v>6.3500000000000015E-2</v>
      </c>
      <c r="S12" s="873">
        <v>7.1500000000000008E-2</v>
      </c>
      <c r="T12" s="873">
        <v>7.1500000000000008E-2</v>
      </c>
      <c r="U12" s="873">
        <v>7.1500000000000008E-2</v>
      </c>
      <c r="V12" s="873">
        <v>7.1500000000000008E-2</v>
      </c>
      <c r="W12" s="873">
        <v>6.899999999999995E-2</v>
      </c>
      <c r="X12" s="873"/>
      <c r="Y12" s="873"/>
      <c r="Z12" s="873"/>
      <c r="AA12" s="873"/>
      <c r="AB12" s="873"/>
      <c r="AC12" s="873"/>
      <c r="AD12" s="873"/>
      <c r="AE12" s="873"/>
      <c r="AF12" s="873"/>
      <c r="AG12" s="873"/>
      <c r="AH12" s="873"/>
      <c r="AI12" s="873"/>
      <c r="AJ12" s="873"/>
      <c r="AK12" s="873"/>
      <c r="AL12" s="873"/>
      <c r="AM12" s="873"/>
      <c r="AN12" s="873"/>
      <c r="AO12" s="873"/>
      <c r="AP12" s="873"/>
      <c r="AQ12" s="873"/>
      <c r="AR12" s="873"/>
      <c r="AS12" s="873"/>
      <c r="AT12" s="873"/>
      <c r="AU12" s="873"/>
      <c r="AV12" s="873"/>
      <c r="AW12" s="873"/>
      <c r="AX12" s="873"/>
      <c r="AY12" s="873"/>
      <c r="AZ12" s="873"/>
      <c r="BA12" s="874">
        <v>1</v>
      </c>
    </row>
    <row r="13" spans="2:53" ht="16.5">
      <c r="B13" s="857"/>
      <c r="C13" s="871">
        <v>20</v>
      </c>
      <c r="D13" s="872" t="s">
        <v>474</v>
      </c>
      <c r="E13" s="873">
        <v>2.63E-2</v>
      </c>
      <c r="F13" s="873">
        <v>2.63E-2</v>
      </c>
      <c r="G13" s="873">
        <v>3.0299999999999997E-2</v>
      </c>
      <c r="H13" s="873">
        <v>3.0299999999999997E-2</v>
      </c>
      <c r="I13" s="873">
        <v>3.4300000000000004E-2</v>
      </c>
      <c r="J13" s="873">
        <v>3.4300000000000004E-2</v>
      </c>
      <c r="K13" s="873">
        <v>4.3300000000000012E-2</v>
      </c>
      <c r="L13" s="873">
        <v>4.3300000000000012E-2</v>
      </c>
      <c r="M13" s="873">
        <v>5.0300000000000011E-2</v>
      </c>
      <c r="N13" s="873">
        <v>5.0300000000000011E-2</v>
      </c>
      <c r="O13" s="873">
        <v>5.5300000000000009E-2</v>
      </c>
      <c r="P13" s="873">
        <v>5.5300000000000009E-2</v>
      </c>
      <c r="Q13" s="873">
        <v>6.0300000000000013E-2</v>
      </c>
      <c r="R13" s="873">
        <v>6.0300000000000013E-2</v>
      </c>
      <c r="S13" s="873">
        <v>6.8300000000000013E-2</v>
      </c>
      <c r="T13" s="873">
        <v>6.8300000000000013E-2</v>
      </c>
      <c r="U13" s="873">
        <v>6.8300000000000013E-2</v>
      </c>
      <c r="V13" s="873">
        <v>6.8300000000000013E-2</v>
      </c>
      <c r="W13" s="873">
        <v>6.8300000000000013E-2</v>
      </c>
      <c r="X13" s="873">
        <v>5.8299999999999796E-2</v>
      </c>
      <c r="Y13" s="873"/>
      <c r="Z13" s="873"/>
      <c r="AA13" s="873"/>
      <c r="AB13" s="873"/>
      <c r="AC13" s="873"/>
      <c r="AD13" s="873"/>
      <c r="AE13" s="873"/>
      <c r="AF13" s="873"/>
      <c r="AG13" s="873"/>
      <c r="AH13" s="873"/>
      <c r="AI13" s="873"/>
      <c r="AJ13" s="873"/>
      <c r="AK13" s="873"/>
      <c r="AL13" s="873"/>
      <c r="AM13" s="873"/>
      <c r="AN13" s="873"/>
      <c r="AO13" s="873"/>
      <c r="AP13" s="873"/>
      <c r="AQ13" s="873"/>
      <c r="AR13" s="873"/>
      <c r="AS13" s="873"/>
      <c r="AT13" s="873"/>
      <c r="AU13" s="873"/>
      <c r="AV13" s="873"/>
      <c r="AW13" s="873"/>
      <c r="AX13" s="873"/>
      <c r="AY13" s="873"/>
      <c r="AZ13" s="873"/>
      <c r="BA13" s="874">
        <v>1</v>
      </c>
    </row>
    <row r="14" spans="2:53" ht="16.5">
      <c r="B14" s="857"/>
      <c r="C14" s="871">
        <v>21</v>
      </c>
      <c r="D14" s="872" t="s">
        <v>474</v>
      </c>
      <c r="E14" s="873">
        <v>2.2800000000000001E-2</v>
      </c>
      <c r="F14" s="873">
        <v>2.2800000000000001E-2</v>
      </c>
      <c r="G14" s="873">
        <v>2.6799999999999997E-2</v>
      </c>
      <c r="H14" s="873">
        <v>2.6799999999999997E-2</v>
      </c>
      <c r="I14" s="873">
        <v>3.0800000000000001E-2</v>
      </c>
      <c r="J14" s="873">
        <v>3.0800000000000001E-2</v>
      </c>
      <c r="K14" s="873">
        <v>3.9800000000000009E-2</v>
      </c>
      <c r="L14" s="873">
        <v>3.9800000000000009E-2</v>
      </c>
      <c r="M14" s="873">
        <v>4.6800000000000008E-2</v>
      </c>
      <c r="N14" s="873">
        <v>4.6800000000000008E-2</v>
      </c>
      <c r="O14" s="873">
        <v>5.1800000000000006E-2</v>
      </c>
      <c r="P14" s="873">
        <v>5.1800000000000006E-2</v>
      </c>
      <c r="Q14" s="873">
        <v>5.680000000000001E-2</v>
      </c>
      <c r="R14" s="873">
        <v>5.680000000000001E-2</v>
      </c>
      <c r="S14" s="873">
        <v>6.480000000000001E-2</v>
      </c>
      <c r="T14" s="873">
        <v>6.480000000000001E-2</v>
      </c>
      <c r="U14" s="873">
        <v>6.480000000000001E-2</v>
      </c>
      <c r="V14" s="873">
        <v>6.480000000000001E-2</v>
      </c>
      <c r="W14" s="873">
        <v>6.480000000000001E-2</v>
      </c>
      <c r="X14" s="873">
        <v>6.480000000000001E-2</v>
      </c>
      <c r="Y14" s="873">
        <v>6.0000000000000164E-2</v>
      </c>
      <c r="Z14" s="873"/>
      <c r="AA14" s="873"/>
      <c r="AB14" s="873"/>
      <c r="AC14" s="873"/>
      <c r="AD14" s="873"/>
      <c r="AE14" s="873"/>
      <c r="AF14" s="873"/>
      <c r="AG14" s="873"/>
      <c r="AH14" s="873"/>
      <c r="AI14" s="873"/>
      <c r="AJ14" s="873"/>
      <c r="AK14" s="873"/>
      <c r="AL14" s="873"/>
      <c r="AM14" s="873"/>
      <c r="AN14" s="873"/>
      <c r="AO14" s="873"/>
      <c r="AP14" s="873"/>
      <c r="AQ14" s="873"/>
      <c r="AR14" s="873"/>
      <c r="AS14" s="873"/>
      <c r="AT14" s="873"/>
      <c r="AU14" s="873"/>
      <c r="AV14" s="873"/>
      <c r="AW14" s="873"/>
      <c r="AX14" s="873"/>
      <c r="AY14" s="873"/>
      <c r="AZ14" s="873"/>
      <c r="BA14" s="874">
        <v>1</v>
      </c>
    </row>
    <row r="15" spans="2:53" ht="16.5">
      <c r="B15" s="857"/>
      <c r="C15" s="871">
        <v>22</v>
      </c>
      <c r="D15" s="872" t="s">
        <v>474</v>
      </c>
      <c r="E15" s="873">
        <v>2.0300000000000002E-2</v>
      </c>
      <c r="F15" s="873">
        <v>2.0300000000000002E-2</v>
      </c>
      <c r="G15" s="873">
        <v>2.4299999999999999E-2</v>
      </c>
      <c r="H15" s="873">
        <v>2.4299999999999999E-2</v>
      </c>
      <c r="I15" s="873">
        <v>2.8300000000000002E-2</v>
      </c>
      <c r="J15" s="873">
        <v>2.8300000000000002E-2</v>
      </c>
      <c r="K15" s="873">
        <v>3.7300000000000007E-2</v>
      </c>
      <c r="L15" s="873">
        <v>3.7300000000000007E-2</v>
      </c>
      <c r="M15" s="873">
        <v>4.4300000000000006E-2</v>
      </c>
      <c r="N15" s="873">
        <v>4.4300000000000006E-2</v>
      </c>
      <c r="O15" s="873">
        <v>4.9300000000000004E-2</v>
      </c>
      <c r="P15" s="873">
        <v>4.9300000000000004E-2</v>
      </c>
      <c r="Q15" s="873">
        <v>5.4300000000000008E-2</v>
      </c>
      <c r="R15" s="873">
        <v>5.4300000000000008E-2</v>
      </c>
      <c r="S15" s="873">
        <v>6.2300000000000008E-2</v>
      </c>
      <c r="T15" s="873">
        <v>6.2300000000000008E-2</v>
      </c>
      <c r="U15" s="873">
        <v>6.2300000000000008E-2</v>
      </c>
      <c r="V15" s="873">
        <v>6.2300000000000008E-2</v>
      </c>
      <c r="W15" s="873">
        <v>6.2300000000000008E-2</v>
      </c>
      <c r="X15" s="873">
        <v>6.2300000000000008E-2</v>
      </c>
      <c r="Y15" s="873">
        <v>5.7300000000000004E-2</v>
      </c>
      <c r="Z15" s="873">
        <v>5.2699999999999747E-2</v>
      </c>
      <c r="AA15" s="873"/>
      <c r="AB15" s="873"/>
      <c r="AC15" s="873"/>
      <c r="AD15" s="873"/>
      <c r="AE15" s="873"/>
      <c r="AF15" s="873"/>
      <c r="AG15" s="873"/>
      <c r="AH15" s="873"/>
      <c r="AI15" s="873"/>
      <c r="AJ15" s="873"/>
      <c r="AK15" s="873"/>
      <c r="AL15" s="873"/>
      <c r="AM15" s="873"/>
      <c r="AN15" s="873"/>
      <c r="AO15" s="873"/>
      <c r="AP15" s="873"/>
      <c r="AQ15" s="873"/>
      <c r="AR15" s="873"/>
      <c r="AS15" s="873"/>
      <c r="AT15" s="873"/>
      <c r="AU15" s="873"/>
      <c r="AV15" s="873"/>
      <c r="AW15" s="873"/>
      <c r="AX15" s="873"/>
      <c r="AY15" s="873"/>
      <c r="AZ15" s="873"/>
      <c r="BA15" s="874">
        <v>1</v>
      </c>
    </row>
    <row r="16" spans="2:53" ht="16.5">
      <c r="B16" s="857"/>
      <c r="C16" s="871">
        <v>23</v>
      </c>
      <c r="D16" s="872" t="s">
        <v>474</v>
      </c>
      <c r="E16" s="873">
        <v>1.7800000000000003E-2</v>
      </c>
      <c r="F16" s="873">
        <v>1.7800000000000003E-2</v>
      </c>
      <c r="G16" s="873">
        <v>2.18E-2</v>
      </c>
      <c r="H16" s="873">
        <v>2.18E-2</v>
      </c>
      <c r="I16" s="873">
        <v>2.5800000000000003E-2</v>
      </c>
      <c r="J16" s="873">
        <v>2.5800000000000003E-2</v>
      </c>
      <c r="K16" s="873">
        <v>3.4800000000000005E-2</v>
      </c>
      <c r="L16" s="873">
        <v>3.4800000000000005E-2</v>
      </c>
      <c r="M16" s="873">
        <v>4.1800000000000004E-2</v>
      </c>
      <c r="N16" s="873">
        <v>4.1800000000000004E-2</v>
      </c>
      <c r="O16" s="873">
        <v>4.6800000000000001E-2</v>
      </c>
      <c r="P16" s="873">
        <v>4.6800000000000001E-2</v>
      </c>
      <c r="Q16" s="873">
        <v>5.1800000000000006E-2</v>
      </c>
      <c r="R16" s="873">
        <v>5.1800000000000006E-2</v>
      </c>
      <c r="S16" s="873">
        <v>5.9800000000000006E-2</v>
      </c>
      <c r="T16" s="873">
        <v>5.9800000000000006E-2</v>
      </c>
      <c r="U16" s="873">
        <v>5.9800000000000006E-2</v>
      </c>
      <c r="V16" s="873">
        <v>5.9800000000000006E-2</v>
      </c>
      <c r="W16" s="873">
        <v>5.9800000000000006E-2</v>
      </c>
      <c r="X16" s="873">
        <v>5.9800000000000006E-2</v>
      </c>
      <c r="Y16" s="873">
        <v>5.4800000000000001E-2</v>
      </c>
      <c r="Z16" s="873">
        <v>5.4800000000000001E-2</v>
      </c>
      <c r="AA16" s="873">
        <v>5.0400000000000222E-2</v>
      </c>
      <c r="AB16" s="873"/>
      <c r="AC16" s="873"/>
      <c r="AD16" s="873"/>
      <c r="AE16" s="873"/>
      <c r="AF16" s="873"/>
      <c r="AG16" s="873"/>
      <c r="AH16" s="873"/>
      <c r="AI16" s="873"/>
      <c r="AJ16" s="873"/>
      <c r="AK16" s="873"/>
      <c r="AL16" s="873"/>
      <c r="AM16" s="873"/>
      <c r="AN16" s="873"/>
      <c r="AO16" s="873"/>
      <c r="AP16" s="873"/>
      <c r="AQ16" s="873"/>
      <c r="AR16" s="873"/>
      <c r="AS16" s="873"/>
      <c r="AT16" s="873"/>
      <c r="AU16" s="873"/>
      <c r="AV16" s="873"/>
      <c r="AW16" s="873"/>
      <c r="AX16" s="873"/>
      <c r="AY16" s="873"/>
      <c r="AZ16" s="873"/>
      <c r="BA16" s="874">
        <v>1</v>
      </c>
    </row>
    <row r="17" spans="2:53" ht="16.5">
      <c r="B17" s="857"/>
      <c r="C17" s="871">
        <v>24</v>
      </c>
      <c r="D17" s="872" t="s">
        <v>474</v>
      </c>
      <c r="E17" s="873">
        <v>1.5800000000000002E-2</v>
      </c>
      <c r="F17" s="873">
        <v>1.5800000000000002E-2</v>
      </c>
      <c r="G17" s="873">
        <v>1.9800000000000002E-2</v>
      </c>
      <c r="H17" s="873">
        <v>1.9800000000000002E-2</v>
      </c>
      <c r="I17" s="873">
        <v>2.3800000000000002E-2</v>
      </c>
      <c r="J17" s="873">
        <v>2.3800000000000002E-2</v>
      </c>
      <c r="K17" s="873">
        <v>3.2800000000000003E-2</v>
      </c>
      <c r="L17" s="873">
        <v>3.2800000000000003E-2</v>
      </c>
      <c r="M17" s="873">
        <v>3.9800000000000002E-2</v>
      </c>
      <c r="N17" s="873">
        <v>3.9800000000000002E-2</v>
      </c>
      <c r="O17" s="873">
        <v>4.48E-2</v>
      </c>
      <c r="P17" s="873">
        <v>4.48E-2</v>
      </c>
      <c r="Q17" s="873">
        <v>4.9800000000000004E-2</v>
      </c>
      <c r="R17" s="873">
        <v>4.9800000000000004E-2</v>
      </c>
      <c r="S17" s="873">
        <v>5.7800000000000004E-2</v>
      </c>
      <c r="T17" s="873">
        <v>5.7800000000000004E-2</v>
      </c>
      <c r="U17" s="873">
        <v>5.7800000000000004E-2</v>
      </c>
      <c r="V17" s="873">
        <v>5.7800000000000004E-2</v>
      </c>
      <c r="W17" s="873">
        <v>5.7800000000000004E-2</v>
      </c>
      <c r="X17" s="873">
        <v>5.7800000000000004E-2</v>
      </c>
      <c r="Y17" s="873">
        <v>5.28E-2</v>
      </c>
      <c r="Z17" s="873">
        <v>5.28E-2</v>
      </c>
      <c r="AA17" s="873">
        <v>4.7800000000000002E-2</v>
      </c>
      <c r="AB17" s="873">
        <v>4.6600000000000308E-2</v>
      </c>
      <c r="AC17" s="873"/>
      <c r="AD17" s="873"/>
      <c r="AE17" s="873"/>
      <c r="AF17" s="873"/>
      <c r="AG17" s="873"/>
      <c r="AH17" s="873"/>
      <c r="AI17" s="873"/>
      <c r="AJ17" s="873"/>
      <c r="AK17" s="873"/>
      <c r="AL17" s="873"/>
      <c r="AM17" s="873"/>
      <c r="AN17" s="873"/>
      <c r="AO17" s="873"/>
      <c r="AP17" s="873"/>
      <c r="AQ17" s="873"/>
      <c r="AR17" s="873"/>
      <c r="AS17" s="873"/>
      <c r="AT17" s="873"/>
      <c r="AU17" s="873"/>
      <c r="AV17" s="873"/>
      <c r="AW17" s="873"/>
      <c r="AX17" s="873"/>
      <c r="AY17" s="873"/>
      <c r="AZ17" s="873"/>
      <c r="BA17" s="874">
        <v>1</v>
      </c>
    </row>
    <row r="18" spans="2:53" ht="16.5">
      <c r="B18" s="857"/>
      <c r="C18" s="871">
        <v>25</v>
      </c>
      <c r="D18" s="872" t="s">
        <v>474</v>
      </c>
      <c r="E18" s="873">
        <v>1.4E-2</v>
      </c>
      <c r="F18" s="873">
        <v>1.4E-2</v>
      </c>
      <c r="G18" s="873">
        <v>1.8000000000000002E-2</v>
      </c>
      <c r="H18" s="873">
        <v>1.8000000000000002E-2</v>
      </c>
      <c r="I18" s="873">
        <v>2.2000000000000002E-2</v>
      </c>
      <c r="J18" s="873">
        <v>2.2000000000000002E-2</v>
      </c>
      <c r="K18" s="873">
        <v>3.1000000000000003E-2</v>
      </c>
      <c r="L18" s="873">
        <v>3.1000000000000003E-2</v>
      </c>
      <c r="M18" s="873">
        <v>3.7999999999999999E-2</v>
      </c>
      <c r="N18" s="873">
        <v>3.7999999999999999E-2</v>
      </c>
      <c r="O18" s="873">
        <v>4.2999999999999997E-2</v>
      </c>
      <c r="P18" s="873">
        <v>4.2999999999999997E-2</v>
      </c>
      <c r="Q18" s="873">
        <v>4.8000000000000001E-2</v>
      </c>
      <c r="R18" s="873">
        <v>4.8000000000000001E-2</v>
      </c>
      <c r="S18" s="873">
        <v>5.6000000000000001E-2</v>
      </c>
      <c r="T18" s="873">
        <v>5.6000000000000001E-2</v>
      </c>
      <c r="U18" s="873">
        <v>5.6000000000000001E-2</v>
      </c>
      <c r="V18" s="873">
        <v>5.6000000000000001E-2</v>
      </c>
      <c r="W18" s="873">
        <v>5.6000000000000001E-2</v>
      </c>
      <c r="X18" s="873">
        <v>5.6000000000000001E-2</v>
      </c>
      <c r="Y18" s="873">
        <v>5.0999999999999997E-2</v>
      </c>
      <c r="Z18" s="873">
        <v>5.0999999999999997E-2</v>
      </c>
      <c r="AA18" s="873">
        <v>4.5999999999999999E-2</v>
      </c>
      <c r="AB18" s="873">
        <v>4.5999999999999999E-2</v>
      </c>
      <c r="AC18" s="873">
        <v>4.1999999999999593E-2</v>
      </c>
      <c r="AD18" s="873"/>
      <c r="AE18" s="875"/>
      <c r="AF18" s="875"/>
      <c r="AG18" s="875"/>
      <c r="AH18" s="875"/>
      <c r="AI18" s="875"/>
      <c r="AJ18" s="875"/>
      <c r="AK18" s="875"/>
      <c r="AL18" s="875"/>
      <c r="AM18" s="875"/>
      <c r="AN18" s="875"/>
      <c r="AO18" s="875"/>
      <c r="AP18" s="875"/>
      <c r="AQ18" s="875"/>
      <c r="AR18" s="875"/>
      <c r="AS18" s="875"/>
      <c r="AT18" s="875"/>
      <c r="AU18" s="875"/>
      <c r="AV18" s="875"/>
      <c r="AW18" s="875"/>
      <c r="AX18" s="875"/>
      <c r="AY18" s="875"/>
      <c r="AZ18" s="875"/>
      <c r="BA18" s="874">
        <v>1</v>
      </c>
    </row>
    <row r="19" spans="2:53" ht="16.5">
      <c r="B19" s="857"/>
      <c r="C19" s="871">
        <v>26</v>
      </c>
      <c r="D19" s="872" t="s">
        <v>474</v>
      </c>
      <c r="E19" s="873">
        <v>1.2500000000000001E-2</v>
      </c>
      <c r="F19" s="873">
        <v>1.2500000000000001E-2</v>
      </c>
      <c r="G19" s="873">
        <v>1.6500000000000001E-2</v>
      </c>
      <c r="H19" s="873">
        <v>1.6500000000000001E-2</v>
      </c>
      <c r="I19" s="873">
        <v>2.0500000000000001E-2</v>
      </c>
      <c r="J19" s="873">
        <v>2.0500000000000001E-2</v>
      </c>
      <c r="K19" s="873">
        <v>2.9500000000000002E-2</v>
      </c>
      <c r="L19" s="873">
        <v>2.9500000000000002E-2</v>
      </c>
      <c r="M19" s="873">
        <v>3.6499999999999998E-2</v>
      </c>
      <c r="N19" s="873">
        <v>3.6499999999999998E-2</v>
      </c>
      <c r="O19" s="873">
        <v>4.1499999999999995E-2</v>
      </c>
      <c r="P19" s="873">
        <v>4.1499999999999995E-2</v>
      </c>
      <c r="Q19" s="873">
        <v>4.65E-2</v>
      </c>
      <c r="R19" s="873">
        <v>4.65E-2</v>
      </c>
      <c r="S19" s="873">
        <v>5.45E-2</v>
      </c>
      <c r="T19" s="873">
        <v>5.45E-2</v>
      </c>
      <c r="U19" s="873">
        <v>5.45E-2</v>
      </c>
      <c r="V19" s="873">
        <v>5.45E-2</v>
      </c>
      <c r="W19" s="873">
        <v>5.45E-2</v>
      </c>
      <c r="X19" s="873">
        <v>5.45E-2</v>
      </c>
      <c r="Y19" s="873">
        <v>4.9499999999999995E-2</v>
      </c>
      <c r="Z19" s="873">
        <v>4.9499999999999995E-2</v>
      </c>
      <c r="AA19" s="873">
        <v>4.4499999999999998E-2</v>
      </c>
      <c r="AB19" s="873">
        <v>4.4499999999999998E-2</v>
      </c>
      <c r="AC19" s="873">
        <v>3.95E-2</v>
      </c>
      <c r="AD19" s="873">
        <v>3.850000000000009E-2</v>
      </c>
      <c r="AE19" s="873"/>
      <c r="AF19" s="873"/>
      <c r="AG19" s="873"/>
      <c r="AH19" s="873"/>
      <c r="AI19" s="873"/>
      <c r="AJ19" s="873"/>
      <c r="AK19" s="873"/>
      <c r="AL19" s="873"/>
      <c r="AM19" s="873"/>
      <c r="AN19" s="873"/>
      <c r="AO19" s="873"/>
      <c r="AP19" s="873"/>
      <c r="AQ19" s="873"/>
      <c r="AR19" s="873"/>
      <c r="AS19" s="873"/>
      <c r="AT19" s="873"/>
      <c r="AU19" s="873"/>
      <c r="AV19" s="873"/>
      <c r="AW19" s="873"/>
      <c r="AX19" s="873"/>
      <c r="AY19" s="873"/>
      <c r="AZ19" s="873"/>
      <c r="BA19" s="874">
        <v>1</v>
      </c>
    </row>
    <row r="20" spans="2:53" ht="16.5">
      <c r="B20" s="857"/>
      <c r="C20" s="871">
        <v>27</v>
      </c>
      <c r="D20" s="872" t="s">
        <v>474</v>
      </c>
      <c r="E20" s="873">
        <v>1.1000000000000001E-2</v>
      </c>
      <c r="F20" s="873">
        <v>1.1000000000000001E-2</v>
      </c>
      <c r="G20" s="873">
        <v>1.4999999999999999E-2</v>
      </c>
      <c r="H20" s="873">
        <v>1.4999999999999999E-2</v>
      </c>
      <c r="I20" s="873">
        <v>1.9E-2</v>
      </c>
      <c r="J20" s="873">
        <v>1.9E-2</v>
      </c>
      <c r="K20" s="873">
        <v>2.8000000000000001E-2</v>
      </c>
      <c r="L20" s="873">
        <v>2.8000000000000001E-2</v>
      </c>
      <c r="M20" s="873">
        <v>3.5000000000000003E-2</v>
      </c>
      <c r="N20" s="873">
        <v>3.5000000000000003E-2</v>
      </c>
      <c r="O20" s="873">
        <v>0.04</v>
      </c>
      <c r="P20" s="873">
        <v>0.04</v>
      </c>
      <c r="Q20" s="873">
        <v>4.4999999999999998E-2</v>
      </c>
      <c r="R20" s="873">
        <v>4.4999999999999998E-2</v>
      </c>
      <c r="S20" s="873">
        <v>5.2999999999999999E-2</v>
      </c>
      <c r="T20" s="873">
        <v>5.2999999999999999E-2</v>
      </c>
      <c r="U20" s="873">
        <v>5.2999999999999999E-2</v>
      </c>
      <c r="V20" s="873">
        <v>5.2999999999999999E-2</v>
      </c>
      <c r="W20" s="873">
        <v>5.2999999999999999E-2</v>
      </c>
      <c r="X20" s="873">
        <v>5.2999999999999999E-2</v>
      </c>
      <c r="Y20" s="873">
        <v>4.7999999999999994E-2</v>
      </c>
      <c r="Z20" s="873">
        <v>4.7999999999999994E-2</v>
      </c>
      <c r="AA20" s="873">
        <v>4.2999999999999997E-2</v>
      </c>
      <c r="AB20" s="873">
        <v>4.2999999999999997E-2</v>
      </c>
      <c r="AC20" s="873">
        <v>3.7999999999999999E-2</v>
      </c>
      <c r="AD20" s="873">
        <v>3.7999999999999999E-2</v>
      </c>
      <c r="AE20" s="873">
        <v>3.7999999999999701E-2</v>
      </c>
      <c r="AF20" s="873"/>
      <c r="AG20" s="873"/>
      <c r="AH20" s="873"/>
      <c r="AI20" s="873"/>
      <c r="AJ20" s="873"/>
      <c r="AK20" s="873"/>
      <c r="AL20" s="873"/>
      <c r="AM20" s="873"/>
      <c r="AN20" s="873"/>
      <c r="AO20" s="873"/>
      <c r="AP20" s="873"/>
      <c r="AQ20" s="873"/>
      <c r="AR20" s="873"/>
      <c r="AS20" s="873"/>
      <c r="AT20" s="873"/>
      <c r="AU20" s="873"/>
      <c r="AV20" s="873"/>
      <c r="AW20" s="873"/>
      <c r="AX20" s="873"/>
      <c r="AY20" s="873"/>
      <c r="AZ20" s="873"/>
      <c r="BA20" s="874">
        <v>1</v>
      </c>
    </row>
    <row r="21" spans="2:53" ht="16.5">
      <c r="B21" s="857"/>
      <c r="C21" s="871">
        <v>28</v>
      </c>
      <c r="D21" s="872" t="s">
        <v>474</v>
      </c>
      <c r="E21" s="873">
        <v>9.9000000000000008E-3</v>
      </c>
      <c r="F21" s="873">
        <v>9.9000000000000008E-3</v>
      </c>
      <c r="G21" s="873">
        <v>1.3900000000000001E-2</v>
      </c>
      <c r="H21" s="873">
        <v>1.3900000000000001E-2</v>
      </c>
      <c r="I21" s="873">
        <v>1.7899999999999999E-2</v>
      </c>
      <c r="J21" s="873">
        <v>1.7899999999999999E-2</v>
      </c>
      <c r="K21" s="873">
        <v>2.69E-2</v>
      </c>
      <c r="L21" s="873">
        <v>2.69E-2</v>
      </c>
      <c r="M21" s="873">
        <v>3.39E-2</v>
      </c>
      <c r="N21" s="873">
        <v>3.39E-2</v>
      </c>
      <c r="O21" s="873">
        <v>3.8899999999999997E-2</v>
      </c>
      <c r="P21" s="873">
        <v>3.8899999999999997E-2</v>
      </c>
      <c r="Q21" s="873">
        <v>4.3900000000000002E-2</v>
      </c>
      <c r="R21" s="873">
        <v>4.3900000000000002E-2</v>
      </c>
      <c r="S21" s="873">
        <v>5.1900000000000002E-2</v>
      </c>
      <c r="T21" s="873">
        <v>5.1900000000000002E-2</v>
      </c>
      <c r="U21" s="873">
        <v>5.1900000000000002E-2</v>
      </c>
      <c r="V21" s="873">
        <v>5.1900000000000002E-2</v>
      </c>
      <c r="W21" s="873">
        <v>5.1900000000000002E-2</v>
      </c>
      <c r="X21" s="873">
        <v>5.1900000000000002E-2</v>
      </c>
      <c r="Y21" s="873">
        <v>4.6899999999999997E-2</v>
      </c>
      <c r="Z21" s="873">
        <v>4.6899999999999997E-2</v>
      </c>
      <c r="AA21" s="873">
        <v>4.19E-2</v>
      </c>
      <c r="AB21" s="873">
        <v>4.19E-2</v>
      </c>
      <c r="AC21" s="873">
        <v>3.6900000000000002E-2</v>
      </c>
      <c r="AD21" s="873">
        <v>3.6900000000000002E-2</v>
      </c>
      <c r="AE21" s="873">
        <v>3.39E-2</v>
      </c>
      <c r="AF21" s="873">
        <v>3.2699999999999729E-2</v>
      </c>
      <c r="AG21" s="873"/>
      <c r="AH21" s="873"/>
      <c r="AI21" s="873"/>
      <c r="AJ21" s="873"/>
      <c r="AK21" s="873"/>
      <c r="AL21" s="873"/>
      <c r="AM21" s="873"/>
      <c r="AN21" s="873"/>
      <c r="AO21" s="873"/>
      <c r="AP21" s="873"/>
      <c r="AQ21" s="873"/>
      <c r="AR21" s="873"/>
      <c r="AS21" s="873"/>
      <c r="AT21" s="873"/>
      <c r="AU21" s="873"/>
      <c r="AV21" s="873"/>
      <c r="AW21" s="873"/>
      <c r="AX21" s="873"/>
      <c r="AY21" s="873"/>
      <c r="AZ21" s="873"/>
      <c r="BA21" s="874">
        <v>1</v>
      </c>
    </row>
    <row r="22" spans="2:53" ht="16.5">
      <c r="B22" s="857"/>
      <c r="C22" s="871">
        <v>29</v>
      </c>
      <c r="D22" s="872" t="s">
        <v>474</v>
      </c>
      <c r="E22" s="873">
        <v>8.8000000000000005E-3</v>
      </c>
      <c r="F22" s="873">
        <v>8.8000000000000005E-3</v>
      </c>
      <c r="G22" s="873">
        <v>1.2800000000000001E-2</v>
      </c>
      <c r="H22" s="873">
        <v>1.2800000000000001E-2</v>
      </c>
      <c r="I22" s="873">
        <v>1.6799999999999999E-2</v>
      </c>
      <c r="J22" s="873">
        <v>1.6799999999999999E-2</v>
      </c>
      <c r="K22" s="873">
        <v>2.58E-2</v>
      </c>
      <c r="L22" s="873">
        <v>2.58E-2</v>
      </c>
      <c r="M22" s="873">
        <v>3.2800000000000003E-2</v>
      </c>
      <c r="N22" s="873">
        <v>3.2800000000000003E-2</v>
      </c>
      <c r="O22" s="873">
        <v>3.78E-2</v>
      </c>
      <c r="P22" s="873">
        <v>3.78E-2</v>
      </c>
      <c r="Q22" s="873">
        <v>4.2800000000000005E-2</v>
      </c>
      <c r="R22" s="873">
        <v>4.2800000000000005E-2</v>
      </c>
      <c r="S22" s="873">
        <v>5.0800000000000005E-2</v>
      </c>
      <c r="T22" s="873">
        <v>5.0800000000000005E-2</v>
      </c>
      <c r="U22" s="873">
        <v>5.0800000000000005E-2</v>
      </c>
      <c r="V22" s="873">
        <v>5.0800000000000005E-2</v>
      </c>
      <c r="W22" s="873">
        <v>5.0800000000000005E-2</v>
      </c>
      <c r="X22" s="873">
        <v>5.0800000000000005E-2</v>
      </c>
      <c r="Y22" s="873">
        <v>4.58E-2</v>
      </c>
      <c r="Z22" s="873">
        <v>4.58E-2</v>
      </c>
      <c r="AA22" s="873">
        <v>4.0800000000000003E-2</v>
      </c>
      <c r="AB22" s="873">
        <v>4.0800000000000003E-2</v>
      </c>
      <c r="AC22" s="873">
        <v>3.5800000000000005E-2</v>
      </c>
      <c r="AD22" s="873">
        <v>3.5800000000000005E-2</v>
      </c>
      <c r="AE22" s="873">
        <v>3.2800000000000003E-2</v>
      </c>
      <c r="AF22" s="873">
        <v>3.2800000000000003E-2</v>
      </c>
      <c r="AG22" s="873">
        <v>2.9600000000000071E-2</v>
      </c>
      <c r="AH22" s="873"/>
      <c r="AI22" s="873"/>
      <c r="AJ22" s="873"/>
      <c r="AK22" s="873"/>
      <c r="AL22" s="873"/>
      <c r="AM22" s="873"/>
      <c r="AN22" s="873"/>
      <c r="AO22" s="873"/>
      <c r="AP22" s="873"/>
      <c r="AQ22" s="873"/>
      <c r="AR22" s="873"/>
      <c r="AS22" s="873"/>
      <c r="AT22" s="873"/>
      <c r="AU22" s="873"/>
      <c r="AV22" s="873"/>
      <c r="AW22" s="873"/>
      <c r="AX22" s="873"/>
      <c r="AY22" s="873"/>
      <c r="AZ22" s="873"/>
      <c r="BA22" s="874">
        <v>1</v>
      </c>
    </row>
    <row r="23" spans="2:53" ht="16.5">
      <c r="B23" s="857"/>
      <c r="C23" s="871">
        <v>30</v>
      </c>
      <c r="D23" s="872" t="s">
        <v>474</v>
      </c>
      <c r="E23" s="873">
        <v>8.0000000000000002E-3</v>
      </c>
      <c r="F23" s="873">
        <v>8.0000000000000002E-3</v>
      </c>
      <c r="G23" s="873">
        <v>1.2E-2</v>
      </c>
      <c r="H23" s="873">
        <v>1.2E-2</v>
      </c>
      <c r="I23" s="873">
        <v>1.6E-2</v>
      </c>
      <c r="J23" s="873">
        <v>1.6E-2</v>
      </c>
      <c r="K23" s="873">
        <v>2.5000000000000001E-2</v>
      </c>
      <c r="L23" s="873">
        <v>2.5000000000000001E-2</v>
      </c>
      <c r="M23" s="873">
        <v>3.2000000000000001E-2</v>
      </c>
      <c r="N23" s="873">
        <v>3.2000000000000001E-2</v>
      </c>
      <c r="O23" s="873">
        <v>3.6999999999999998E-2</v>
      </c>
      <c r="P23" s="873">
        <v>3.6999999999999998E-2</v>
      </c>
      <c r="Q23" s="873">
        <v>4.2000000000000003E-2</v>
      </c>
      <c r="R23" s="873">
        <v>4.2000000000000003E-2</v>
      </c>
      <c r="S23" s="873">
        <v>0.05</v>
      </c>
      <c r="T23" s="873">
        <v>0.05</v>
      </c>
      <c r="U23" s="873">
        <v>0.05</v>
      </c>
      <c r="V23" s="873">
        <v>0.05</v>
      </c>
      <c r="W23" s="873">
        <v>0.05</v>
      </c>
      <c r="X23" s="873">
        <v>0.05</v>
      </c>
      <c r="Y23" s="873">
        <v>4.4999999999999998E-2</v>
      </c>
      <c r="Z23" s="873">
        <v>4.4999999999999998E-2</v>
      </c>
      <c r="AA23" s="873">
        <v>0.04</v>
      </c>
      <c r="AB23" s="873">
        <v>0.04</v>
      </c>
      <c r="AC23" s="873">
        <v>3.5000000000000003E-2</v>
      </c>
      <c r="AD23" s="873">
        <v>3.5000000000000003E-2</v>
      </c>
      <c r="AE23" s="873">
        <v>3.2000000000000001E-2</v>
      </c>
      <c r="AF23" s="873">
        <v>3.2000000000000001E-2</v>
      </c>
      <c r="AG23" s="873">
        <v>0.03</v>
      </c>
      <c r="AH23" s="873">
        <v>2.1999999999999686E-2</v>
      </c>
      <c r="AI23" s="873"/>
      <c r="AJ23" s="873"/>
      <c r="AK23" s="873"/>
      <c r="AL23" s="873"/>
      <c r="AM23" s="873"/>
      <c r="AN23" s="873"/>
      <c r="AO23" s="873"/>
      <c r="AP23" s="873"/>
      <c r="AQ23" s="873"/>
      <c r="AR23" s="873"/>
      <c r="AS23" s="873"/>
      <c r="AT23" s="873"/>
      <c r="AU23" s="873"/>
      <c r="AV23" s="873"/>
      <c r="AW23" s="873"/>
      <c r="AX23" s="873"/>
      <c r="AY23" s="873"/>
      <c r="AZ23" s="873"/>
      <c r="BA23" s="874">
        <v>1</v>
      </c>
    </row>
    <row r="24" spans="2:53" ht="16.5">
      <c r="B24" s="857"/>
      <c r="C24" s="871">
        <v>31</v>
      </c>
      <c r="D24" s="872" t="s">
        <v>474</v>
      </c>
      <c r="E24" s="873">
        <v>1.6399999999999998E-2</v>
      </c>
      <c r="F24" s="873">
        <v>1.6399999999999998E-2</v>
      </c>
      <c r="G24" s="873">
        <v>1.8399999999999996E-2</v>
      </c>
      <c r="H24" s="873">
        <v>1.8399999999999996E-2</v>
      </c>
      <c r="I24" s="873">
        <v>2.0400000000000001E-2</v>
      </c>
      <c r="J24" s="873">
        <v>2.0400000000000001E-2</v>
      </c>
      <c r="K24" s="873">
        <v>2.5399999999999999E-2</v>
      </c>
      <c r="L24" s="873">
        <v>2.5399999999999999E-2</v>
      </c>
      <c r="M24" s="873">
        <v>2.8399999999999998E-2</v>
      </c>
      <c r="N24" s="873">
        <v>2.8399999999999998E-2</v>
      </c>
      <c r="O24" s="873">
        <v>3.1399999999999997E-2</v>
      </c>
      <c r="P24" s="873">
        <v>3.1399999999999997E-2</v>
      </c>
      <c r="Q24" s="873">
        <v>3.3399999999999999E-2</v>
      </c>
      <c r="R24" s="873">
        <v>3.3399999999999999E-2</v>
      </c>
      <c r="S24" s="873">
        <v>3.5399999999999994E-2</v>
      </c>
      <c r="T24" s="873">
        <v>3.5399999999999994E-2</v>
      </c>
      <c r="U24" s="873">
        <v>3.5399999999999994E-2</v>
      </c>
      <c r="V24" s="873">
        <v>3.5399999999999994E-2</v>
      </c>
      <c r="W24" s="873">
        <v>3.5399999999999994E-2</v>
      </c>
      <c r="X24" s="873">
        <v>3.5399999999999994E-2</v>
      </c>
      <c r="Y24" s="873">
        <v>3.7399999999999996E-2</v>
      </c>
      <c r="Z24" s="873">
        <v>3.7399999999999996E-2</v>
      </c>
      <c r="AA24" s="873">
        <v>3.7399999999999996E-2</v>
      </c>
      <c r="AB24" s="873">
        <v>3.7399999999999996E-2</v>
      </c>
      <c r="AC24" s="873">
        <v>3.9399999999999998E-2</v>
      </c>
      <c r="AD24" s="873">
        <v>3.9399999999999998E-2</v>
      </c>
      <c r="AE24" s="873">
        <v>4.1399999999999992E-2</v>
      </c>
      <c r="AF24" s="873">
        <v>4.1399999999999992E-2</v>
      </c>
      <c r="AG24" s="873">
        <v>4.3400000000000001E-2</v>
      </c>
      <c r="AH24" s="873">
        <v>4.3400000000000001E-2</v>
      </c>
      <c r="AI24" s="873">
        <v>4.2000000000000148E-2</v>
      </c>
      <c r="AJ24" s="873"/>
      <c r="AK24" s="873"/>
      <c r="AL24" s="873"/>
      <c r="AM24" s="873"/>
      <c r="AN24" s="873"/>
      <c r="AO24" s="873"/>
      <c r="AP24" s="873"/>
      <c r="AQ24" s="873"/>
      <c r="AR24" s="873"/>
      <c r="AS24" s="873"/>
      <c r="AT24" s="873"/>
      <c r="AU24" s="873"/>
      <c r="AV24" s="873"/>
      <c r="AW24" s="873"/>
      <c r="AX24" s="873"/>
      <c r="AY24" s="873"/>
      <c r="AZ24" s="873"/>
      <c r="BA24" s="874">
        <v>1</v>
      </c>
    </row>
    <row r="25" spans="2:53" ht="16.5">
      <c r="B25" s="857"/>
      <c r="C25" s="871">
        <v>32</v>
      </c>
      <c r="D25" s="872" t="s">
        <v>474</v>
      </c>
      <c r="E25" s="873">
        <v>1.4999999999999999E-2</v>
      </c>
      <c r="F25" s="873">
        <v>1.4999999999999999E-2</v>
      </c>
      <c r="G25" s="873">
        <v>1.6999999999999998E-2</v>
      </c>
      <c r="H25" s="873">
        <v>1.6999999999999998E-2</v>
      </c>
      <c r="I25" s="873">
        <v>1.9000000000000003E-2</v>
      </c>
      <c r="J25" s="873">
        <v>1.9000000000000003E-2</v>
      </c>
      <c r="K25" s="873">
        <v>2.4E-2</v>
      </c>
      <c r="L25" s="873">
        <v>2.4E-2</v>
      </c>
      <c r="M25" s="873">
        <v>2.7E-2</v>
      </c>
      <c r="N25" s="873">
        <v>2.7E-2</v>
      </c>
      <c r="O25" s="873">
        <v>0.03</v>
      </c>
      <c r="P25" s="873">
        <v>0.03</v>
      </c>
      <c r="Q25" s="873">
        <v>3.2000000000000001E-2</v>
      </c>
      <c r="R25" s="873">
        <v>3.2000000000000001E-2</v>
      </c>
      <c r="S25" s="873">
        <v>3.3999999999999996E-2</v>
      </c>
      <c r="T25" s="873">
        <v>3.3999999999999996E-2</v>
      </c>
      <c r="U25" s="873">
        <v>3.3999999999999996E-2</v>
      </c>
      <c r="V25" s="873">
        <v>3.3999999999999996E-2</v>
      </c>
      <c r="W25" s="873">
        <v>3.3999999999999996E-2</v>
      </c>
      <c r="X25" s="873">
        <v>3.3999999999999996E-2</v>
      </c>
      <c r="Y25" s="873">
        <v>3.5999999999999997E-2</v>
      </c>
      <c r="Z25" s="873">
        <v>3.5999999999999997E-2</v>
      </c>
      <c r="AA25" s="873">
        <v>3.5999999999999997E-2</v>
      </c>
      <c r="AB25" s="873">
        <v>3.5999999999999997E-2</v>
      </c>
      <c r="AC25" s="873">
        <v>3.7999999999999999E-2</v>
      </c>
      <c r="AD25" s="873">
        <v>3.7999999999999999E-2</v>
      </c>
      <c r="AE25" s="873">
        <v>0.04</v>
      </c>
      <c r="AF25" s="873">
        <v>0.04</v>
      </c>
      <c r="AG25" s="873">
        <v>4.2000000000000003E-2</v>
      </c>
      <c r="AH25" s="873">
        <v>4.2000000000000003E-2</v>
      </c>
      <c r="AI25" s="873">
        <v>4.2000000000000003E-2</v>
      </c>
      <c r="AJ25" s="873">
        <v>4.1999999999999704E-2</v>
      </c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4">
        <v>1</v>
      </c>
    </row>
    <row r="26" spans="2:53" ht="16.5">
      <c r="B26" s="857"/>
      <c r="C26" s="871">
        <v>33</v>
      </c>
      <c r="D26" s="872" t="s">
        <v>474</v>
      </c>
      <c r="E26" s="873">
        <v>1.3899999999999999E-2</v>
      </c>
      <c r="F26" s="873">
        <v>1.3899999999999999E-2</v>
      </c>
      <c r="G26" s="873">
        <v>1.5899999999999997E-2</v>
      </c>
      <c r="H26" s="873">
        <v>1.5899999999999997E-2</v>
      </c>
      <c r="I26" s="873">
        <v>1.7900000000000003E-2</v>
      </c>
      <c r="J26" s="873">
        <v>1.7900000000000003E-2</v>
      </c>
      <c r="K26" s="873">
        <v>2.29E-2</v>
      </c>
      <c r="L26" s="873">
        <v>2.29E-2</v>
      </c>
      <c r="M26" s="873">
        <v>2.5899999999999999E-2</v>
      </c>
      <c r="N26" s="873">
        <v>2.5899999999999999E-2</v>
      </c>
      <c r="O26" s="873">
        <v>2.8899999999999999E-2</v>
      </c>
      <c r="P26" s="873">
        <v>2.8899999999999999E-2</v>
      </c>
      <c r="Q26" s="873">
        <v>3.09E-2</v>
      </c>
      <c r="R26" s="873">
        <v>3.09E-2</v>
      </c>
      <c r="S26" s="873">
        <v>3.2899999999999999E-2</v>
      </c>
      <c r="T26" s="873">
        <v>3.2899999999999999E-2</v>
      </c>
      <c r="U26" s="873">
        <v>3.2899999999999999E-2</v>
      </c>
      <c r="V26" s="873">
        <v>3.2899999999999999E-2</v>
      </c>
      <c r="W26" s="873">
        <v>3.2899999999999999E-2</v>
      </c>
      <c r="X26" s="873">
        <v>3.2899999999999999E-2</v>
      </c>
      <c r="Y26" s="873">
        <v>3.49E-2</v>
      </c>
      <c r="Z26" s="873">
        <v>3.49E-2</v>
      </c>
      <c r="AA26" s="873">
        <v>3.49E-2</v>
      </c>
      <c r="AB26" s="873">
        <v>3.49E-2</v>
      </c>
      <c r="AC26" s="873">
        <v>3.6900000000000002E-2</v>
      </c>
      <c r="AD26" s="873">
        <v>3.6900000000000002E-2</v>
      </c>
      <c r="AE26" s="873">
        <v>3.8899999999999997E-2</v>
      </c>
      <c r="AF26" s="873">
        <v>3.8899999999999997E-2</v>
      </c>
      <c r="AG26" s="873">
        <v>4.0900000000000006E-2</v>
      </c>
      <c r="AH26" s="873">
        <v>4.0900000000000006E-2</v>
      </c>
      <c r="AI26" s="873">
        <v>4.0900000000000006E-2</v>
      </c>
      <c r="AJ26" s="873">
        <v>4.0900000000000006E-2</v>
      </c>
      <c r="AK26" s="873">
        <v>3.5199999999999565E-2</v>
      </c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4">
        <v>1</v>
      </c>
    </row>
    <row r="27" spans="2:53" ht="16.5">
      <c r="B27" s="857"/>
      <c r="C27" s="871">
        <v>34</v>
      </c>
      <c r="D27" s="872" t="s">
        <v>474</v>
      </c>
      <c r="E27" s="873">
        <v>1.2899999999999998E-2</v>
      </c>
      <c r="F27" s="873">
        <v>1.2899999999999998E-2</v>
      </c>
      <c r="G27" s="873">
        <v>1.4899999999999998E-2</v>
      </c>
      <c r="H27" s="873">
        <v>1.4899999999999998E-2</v>
      </c>
      <c r="I27" s="873">
        <v>1.6900000000000002E-2</v>
      </c>
      <c r="J27" s="873">
        <v>1.6900000000000002E-2</v>
      </c>
      <c r="K27" s="873">
        <v>2.1899999999999999E-2</v>
      </c>
      <c r="L27" s="873">
        <v>2.1899999999999999E-2</v>
      </c>
      <c r="M27" s="873">
        <v>2.4899999999999999E-2</v>
      </c>
      <c r="N27" s="873">
        <v>2.4899999999999999E-2</v>
      </c>
      <c r="O27" s="873">
        <v>2.7899999999999998E-2</v>
      </c>
      <c r="P27" s="873">
        <v>2.7899999999999998E-2</v>
      </c>
      <c r="Q27" s="873">
        <v>2.9899999999999999E-2</v>
      </c>
      <c r="R27" s="873">
        <v>2.9899999999999999E-2</v>
      </c>
      <c r="S27" s="873">
        <v>3.1899999999999998E-2</v>
      </c>
      <c r="T27" s="873">
        <v>3.1899999999999998E-2</v>
      </c>
      <c r="U27" s="873">
        <v>3.1899999999999998E-2</v>
      </c>
      <c r="V27" s="873">
        <v>3.1899999999999998E-2</v>
      </c>
      <c r="W27" s="873">
        <v>3.1899999999999998E-2</v>
      </c>
      <c r="X27" s="873">
        <v>3.1899999999999998E-2</v>
      </c>
      <c r="Y27" s="873">
        <v>3.39E-2</v>
      </c>
      <c r="Z27" s="873">
        <v>3.39E-2</v>
      </c>
      <c r="AA27" s="873">
        <v>3.39E-2</v>
      </c>
      <c r="AB27" s="873">
        <v>3.39E-2</v>
      </c>
      <c r="AC27" s="873">
        <v>3.5900000000000001E-2</v>
      </c>
      <c r="AD27" s="873">
        <v>3.5900000000000001E-2</v>
      </c>
      <c r="AE27" s="873">
        <v>3.7899999999999996E-2</v>
      </c>
      <c r="AF27" s="873">
        <v>3.7899999999999996E-2</v>
      </c>
      <c r="AG27" s="873">
        <v>3.9900000000000005E-2</v>
      </c>
      <c r="AH27" s="873">
        <v>3.9900000000000005E-2</v>
      </c>
      <c r="AI27" s="873">
        <v>3.9900000000000005E-2</v>
      </c>
      <c r="AJ27" s="873">
        <v>3.9900000000000005E-2</v>
      </c>
      <c r="AK27" s="873">
        <v>3.7899999999999996E-2</v>
      </c>
      <c r="AL27" s="873">
        <v>2.9299999999999549E-2</v>
      </c>
      <c r="AM27" s="873"/>
      <c r="AN27" s="873"/>
      <c r="AO27" s="873"/>
      <c r="AP27" s="873"/>
      <c r="AQ27" s="873"/>
      <c r="AR27" s="873"/>
      <c r="AS27" s="873"/>
      <c r="AT27" s="873"/>
      <c r="AU27" s="873"/>
      <c r="AV27" s="873"/>
      <c r="AW27" s="873"/>
      <c r="AX27" s="873"/>
      <c r="AY27" s="873"/>
      <c r="AZ27" s="873"/>
      <c r="BA27" s="874">
        <v>1</v>
      </c>
    </row>
    <row r="28" spans="2:53" ht="16.5">
      <c r="B28" s="857"/>
      <c r="C28" s="871">
        <v>35</v>
      </c>
      <c r="D28" s="872" t="s">
        <v>474</v>
      </c>
      <c r="E28" s="873">
        <v>1.1699999999999999E-2</v>
      </c>
      <c r="F28" s="873">
        <v>1.1699999999999999E-2</v>
      </c>
      <c r="G28" s="873">
        <v>1.3699999999999999E-2</v>
      </c>
      <c r="H28" s="873">
        <v>1.3699999999999999E-2</v>
      </c>
      <c r="I28" s="873">
        <v>1.5700000000000002E-2</v>
      </c>
      <c r="J28" s="873">
        <v>1.5700000000000002E-2</v>
      </c>
      <c r="K28" s="873">
        <v>2.07E-2</v>
      </c>
      <c r="L28" s="873">
        <v>2.07E-2</v>
      </c>
      <c r="M28" s="873">
        <v>2.3699999999999999E-2</v>
      </c>
      <c r="N28" s="873">
        <v>2.3699999999999999E-2</v>
      </c>
      <c r="O28" s="873">
        <v>2.6699999999999998E-2</v>
      </c>
      <c r="P28" s="873">
        <v>2.6699999999999998E-2</v>
      </c>
      <c r="Q28" s="873">
        <v>2.87E-2</v>
      </c>
      <c r="R28" s="873">
        <v>2.87E-2</v>
      </c>
      <c r="S28" s="873">
        <v>3.0699999999999998E-2</v>
      </c>
      <c r="T28" s="873">
        <v>3.0699999999999998E-2</v>
      </c>
      <c r="U28" s="873">
        <v>3.0699999999999998E-2</v>
      </c>
      <c r="V28" s="873">
        <v>3.0699999999999998E-2</v>
      </c>
      <c r="W28" s="873">
        <v>3.0699999999999998E-2</v>
      </c>
      <c r="X28" s="873">
        <v>3.0699999999999998E-2</v>
      </c>
      <c r="Y28" s="873">
        <v>3.27E-2</v>
      </c>
      <c r="Z28" s="873">
        <v>3.27E-2</v>
      </c>
      <c r="AA28" s="873">
        <v>3.27E-2</v>
      </c>
      <c r="AB28" s="873">
        <v>3.27E-2</v>
      </c>
      <c r="AC28" s="873">
        <v>3.4700000000000002E-2</v>
      </c>
      <c r="AD28" s="873">
        <v>3.4700000000000002E-2</v>
      </c>
      <c r="AE28" s="873">
        <v>3.6699999999999997E-2</v>
      </c>
      <c r="AF28" s="873">
        <v>3.6699999999999997E-2</v>
      </c>
      <c r="AG28" s="873">
        <v>3.8700000000000005E-2</v>
      </c>
      <c r="AH28" s="873">
        <v>3.8700000000000005E-2</v>
      </c>
      <c r="AI28" s="873">
        <v>3.8700000000000005E-2</v>
      </c>
      <c r="AJ28" s="873">
        <v>3.8700000000000005E-2</v>
      </c>
      <c r="AK28" s="873">
        <v>3.6699999999999997E-2</v>
      </c>
      <c r="AL28" s="873">
        <v>3.6699999999999997E-2</v>
      </c>
      <c r="AM28" s="873">
        <v>3.2200000000000562E-2</v>
      </c>
      <c r="AN28" s="873"/>
      <c r="AO28" s="873"/>
      <c r="AP28" s="873"/>
      <c r="AQ28" s="873"/>
      <c r="AR28" s="873"/>
      <c r="AS28" s="873"/>
      <c r="AT28" s="873"/>
      <c r="AU28" s="873"/>
      <c r="AV28" s="873"/>
      <c r="AW28" s="873"/>
      <c r="AX28" s="873"/>
      <c r="AY28" s="873"/>
      <c r="AZ28" s="873"/>
      <c r="BA28" s="874">
        <v>1</v>
      </c>
    </row>
    <row r="29" spans="2:53" ht="16.5">
      <c r="B29" s="857"/>
      <c r="C29" s="871">
        <v>36</v>
      </c>
      <c r="D29" s="872" t="s">
        <v>474</v>
      </c>
      <c r="E29" s="873">
        <v>1.0499999999999999E-2</v>
      </c>
      <c r="F29" s="873">
        <v>1.0499999999999999E-2</v>
      </c>
      <c r="G29" s="873">
        <v>1.2500000000000001E-2</v>
      </c>
      <c r="H29" s="873">
        <v>1.2500000000000001E-2</v>
      </c>
      <c r="I29" s="873">
        <v>1.4500000000000001E-2</v>
      </c>
      <c r="J29" s="873">
        <v>1.4500000000000001E-2</v>
      </c>
      <c r="K29" s="873">
        <v>1.95E-2</v>
      </c>
      <c r="L29" s="873">
        <v>1.95E-2</v>
      </c>
      <c r="M29" s="873">
        <v>2.2499999999999999E-2</v>
      </c>
      <c r="N29" s="873">
        <v>2.2499999999999999E-2</v>
      </c>
      <c r="O29" s="873">
        <v>2.5499999999999998E-2</v>
      </c>
      <c r="P29" s="873">
        <v>2.5499999999999998E-2</v>
      </c>
      <c r="Q29" s="873">
        <v>2.75E-2</v>
      </c>
      <c r="R29" s="873">
        <v>2.75E-2</v>
      </c>
      <c r="S29" s="873">
        <v>2.9499999999999998E-2</v>
      </c>
      <c r="T29" s="873">
        <v>2.9499999999999998E-2</v>
      </c>
      <c r="U29" s="873">
        <v>2.9499999999999998E-2</v>
      </c>
      <c r="V29" s="873">
        <v>2.9499999999999998E-2</v>
      </c>
      <c r="W29" s="873">
        <v>2.9499999999999998E-2</v>
      </c>
      <c r="X29" s="873">
        <v>2.9499999999999998E-2</v>
      </c>
      <c r="Y29" s="873">
        <v>3.15E-2</v>
      </c>
      <c r="Z29" s="873">
        <v>3.15E-2</v>
      </c>
      <c r="AA29" s="873">
        <v>3.15E-2</v>
      </c>
      <c r="AB29" s="873">
        <v>3.15E-2</v>
      </c>
      <c r="AC29" s="873">
        <v>3.3500000000000002E-2</v>
      </c>
      <c r="AD29" s="873">
        <v>3.3500000000000002E-2</v>
      </c>
      <c r="AE29" s="873">
        <v>3.5499999999999997E-2</v>
      </c>
      <c r="AF29" s="873">
        <v>3.5499999999999997E-2</v>
      </c>
      <c r="AG29" s="873">
        <v>3.7499999999999999E-2</v>
      </c>
      <c r="AH29" s="873">
        <v>3.7499999999999999E-2</v>
      </c>
      <c r="AI29" s="873">
        <v>3.7499999999999999E-2</v>
      </c>
      <c r="AJ29" s="873">
        <v>3.7499999999999999E-2</v>
      </c>
      <c r="AK29" s="873">
        <v>3.5499999999999997E-2</v>
      </c>
      <c r="AL29" s="873">
        <v>3.5499999999999997E-2</v>
      </c>
      <c r="AM29" s="873">
        <v>3.5499999999999997E-2</v>
      </c>
      <c r="AN29" s="873">
        <v>3.7500000000000533E-2</v>
      </c>
      <c r="AO29" s="873"/>
      <c r="AP29" s="873"/>
      <c r="AQ29" s="873"/>
      <c r="AR29" s="873"/>
      <c r="AS29" s="873"/>
      <c r="AT29" s="873"/>
      <c r="AU29" s="873"/>
      <c r="AV29" s="873"/>
      <c r="AW29" s="873"/>
      <c r="AX29" s="873"/>
      <c r="AY29" s="873"/>
      <c r="AZ29" s="873"/>
      <c r="BA29" s="874">
        <v>1</v>
      </c>
    </row>
    <row r="30" spans="2:53" ht="16.5">
      <c r="B30" s="857"/>
      <c r="C30" s="871">
        <v>37</v>
      </c>
      <c r="D30" s="872" t="s">
        <v>474</v>
      </c>
      <c r="E30" s="873">
        <v>9.5999999999999992E-3</v>
      </c>
      <c r="F30" s="873">
        <v>9.5999999999999992E-3</v>
      </c>
      <c r="G30" s="873">
        <v>1.1599999999999999E-2</v>
      </c>
      <c r="H30" s="873">
        <v>1.1599999999999999E-2</v>
      </c>
      <c r="I30" s="873">
        <v>1.3600000000000001E-2</v>
      </c>
      <c r="J30" s="873">
        <v>1.3600000000000001E-2</v>
      </c>
      <c r="K30" s="873">
        <v>1.8599999999999998E-2</v>
      </c>
      <c r="L30" s="873">
        <v>1.8599999999999998E-2</v>
      </c>
      <c r="M30" s="873">
        <v>2.1599999999999998E-2</v>
      </c>
      <c r="N30" s="873">
        <v>2.1599999999999998E-2</v>
      </c>
      <c r="O30" s="873">
        <v>2.4599999999999997E-2</v>
      </c>
      <c r="P30" s="873">
        <v>2.4599999999999997E-2</v>
      </c>
      <c r="Q30" s="873">
        <v>2.6599999999999999E-2</v>
      </c>
      <c r="R30" s="873">
        <v>2.6599999999999999E-2</v>
      </c>
      <c r="S30" s="873">
        <v>2.8599999999999997E-2</v>
      </c>
      <c r="T30" s="873">
        <v>2.8599999999999997E-2</v>
      </c>
      <c r="U30" s="873">
        <v>2.8599999999999997E-2</v>
      </c>
      <c r="V30" s="873">
        <v>2.8599999999999997E-2</v>
      </c>
      <c r="W30" s="873">
        <v>2.8599999999999997E-2</v>
      </c>
      <c r="X30" s="873">
        <v>2.8599999999999997E-2</v>
      </c>
      <c r="Y30" s="873">
        <v>3.0599999999999999E-2</v>
      </c>
      <c r="Z30" s="873">
        <v>3.0599999999999999E-2</v>
      </c>
      <c r="AA30" s="873">
        <v>3.0599999999999999E-2</v>
      </c>
      <c r="AB30" s="873">
        <v>3.0599999999999999E-2</v>
      </c>
      <c r="AC30" s="873">
        <v>3.2600000000000004E-2</v>
      </c>
      <c r="AD30" s="873">
        <v>3.2600000000000004E-2</v>
      </c>
      <c r="AE30" s="873">
        <v>3.4599999999999999E-2</v>
      </c>
      <c r="AF30" s="873">
        <v>3.4599999999999999E-2</v>
      </c>
      <c r="AG30" s="873">
        <v>3.6600000000000008E-2</v>
      </c>
      <c r="AH30" s="873">
        <v>3.6600000000000008E-2</v>
      </c>
      <c r="AI30" s="873">
        <v>3.6600000000000008E-2</v>
      </c>
      <c r="AJ30" s="873">
        <v>3.6600000000000008E-2</v>
      </c>
      <c r="AK30" s="873">
        <v>3.4599999999999999E-2</v>
      </c>
      <c r="AL30" s="873">
        <v>3.4599999999999999E-2</v>
      </c>
      <c r="AM30" s="873">
        <v>3.4599999999999999E-2</v>
      </c>
      <c r="AN30" s="873">
        <v>3.4599999999999999E-2</v>
      </c>
      <c r="AO30" s="873">
        <v>3.4400000000000319E-2</v>
      </c>
      <c r="AP30" s="873"/>
      <c r="AQ30" s="873"/>
      <c r="AR30" s="873"/>
      <c r="AS30" s="873"/>
      <c r="AT30" s="873"/>
      <c r="AU30" s="873"/>
      <c r="AV30" s="873"/>
      <c r="AW30" s="873"/>
      <c r="AX30" s="873"/>
      <c r="AY30" s="873"/>
      <c r="AZ30" s="873"/>
      <c r="BA30" s="874">
        <v>1</v>
      </c>
    </row>
    <row r="31" spans="2:53" ht="16.5">
      <c r="B31" s="857"/>
      <c r="C31" s="871">
        <v>38</v>
      </c>
      <c r="D31" s="872" t="s">
        <v>474</v>
      </c>
      <c r="E31" s="873">
        <v>8.7999999999999988E-3</v>
      </c>
      <c r="F31" s="873">
        <v>8.7999999999999988E-3</v>
      </c>
      <c r="G31" s="873">
        <v>1.0799999999999999E-2</v>
      </c>
      <c r="H31" s="873">
        <v>1.0799999999999999E-2</v>
      </c>
      <c r="I31" s="873">
        <v>1.2800000000000001E-2</v>
      </c>
      <c r="J31" s="873">
        <v>1.2800000000000001E-2</v>
      </c>
      <c r="K31" s="873">
        <v>1.78E-2</v>
      </c>
      <c r="L31" s="873">
        <v>1.78E-2</v>
      </c>
      <c r="M31" s="873">
        <v>2.0799999999999999E-2</v>
      </c>
      <c r="N31" s="873">
        <v>2.0799999999999999E-2</v>
      </c>
      <c r="O31" s="873">
        <v>2.3799999999999998E-2</v>
      </c>
      <c r="P31" s="873">
        <v>2.3799999999999998E-2</v>
      </c>
      <c r="Q31" s="873">
        <v>2.58E-2</v>
      </c>
      <c r="R31" s="873">
        <v>2.58E-2</v>
      </c>
      <c r="S31" s="873">
        <v>2.7799999999999998E-2</v>
      </c>
      <c r="T31" s="873">
        <v>2.7799999999999998E-2</v>
      </c>
      <c r="U31" s="873">
        <v>2.7799999999999998E-2</v>
      </c>
      <c r="V31" s="873">
        <v>2.7799999999999998E-2</v>
      </c>
      <c r="W31" s="873">
        <v>2.7799999999999998E-2</v>
      </c>
      <c r="X31" s="873">
        <v>2.7799999999999998E-2</v>
      </c>
      <c r="Y31" s="873">
        <v>2.98E-2</v>
      </c>
      <c r="Z31" s="873">
        <v>2.98E-2</v>
      </c>
      <c r="AA31" s="873">
        <v>2.98E-2</v>
      </c>
      <c r="AB31" s="873">
        <v>2.98E-2</v>
      </c>
      <c r="AC31" s="873">
        <v>3.1800000000000002E-2</v>
      </c>
      <c r="AD31" s="873">
        <v>3.1800000000000002E-2</v>
      </c>
      <c r="AE31" s="873">
        <v>3.3799999999999997E-2</v>
      </c>
      <c r="AF31" s="873">
        <v>3.3799999999999997E-2</v>
      </c>
      <c r="AG31" s="873">
        <v>3.5800000000000005E-2</v>
      </c>
      <c r="AH31" s="873">
        <v>3.5800000000000005E-2</v>
      </c>
      <c r="AI31" s="873">
        <v>3.5800000000000005E-2</v>
      </c>
      <c r="AJ31" s="873">
        <v>3.5800000000000005E-2</v>
      </c>
      <c r="AK31" s="873">
        <v>3.3799999999999997E-2</v>
      </c>
      <c r="AL31" s="873">
        <v>3.3799999999999997E-2</v>
      </c>
      <c r="AM31" s="873">
        <v>3.3799999999999997E-2</v>
      </c>
      <c r="AN31" s="873">
        <v>3.3799999999999997E-2</v>
      </c>
      <c r="AO31" s="873">
        <v>3.1800000000000002E-2</v>
      </c>
      <c r="AP31" s="873">
        <v>3.1399999999999428E-2</v>
      </c>
      <c r="AQ31" s="873"/>
      <c r="AR31" s="873"/>
      <c r="AS31" s="873"/>
      <c r="AT31" s="873"/>
      <c r="AU31" s="873"/>
      <c r="AV31" s="873"/>
      <c r="AW31" s="873"/>
      <c r="AX31" s="873"/>
      <c r="AY31" s="873"/>
      <c r="AZ31" s="873"/>
      <c r="BA31" s="874">
        <v>1</v>
      </c>
    </row>
    <row r="32" spans="2:53" ht="16.5">
      <c r="B32" s="857"/>
      <c r="C32" s="871">
        <v>39</v>
      </c>
      <c r="D32" s="872" t="s">
        <v>474</v>
      </c>
      <c r="E32" s="873">
        <v>7.9999999999999984E-3</v>
      </c>
      <c r="F32" s="873">
        <v>7.9999999999999984E-3</v>
      </c>
      <c r="G32" s="873">
        <v>0.01</v>
      </c>
      <c r="H32" s="873">
        <v>0.01</v>
      </c>
      <c r="I32" s="873">
        <v>1.2E-2</v>
      </c>
      <c r="J32" s="873">
        <v>1.2E-2</v>
      </c>
      <c r="K32" s="873">
        <v>1.7000000000000001E-2</v>
      </c>
      <c r="L32" s="873">
        <v>1.7000000000000001E-2</v>
      </c>
      <c r="M32" s="873">
        <v>0.02</v>
      </c>
      <c r="N32" s="873">
        <v>0.02</v>
      </c>
      <c r="O32" s="873">
        <v>2.3E-2</v>
      </c>
      <c r="P32" s="873">
        <v>2.3E-2</v>
      </c>
      <c r="Q32" s="873">
        <v>2.5000000000000001E-2</v>
      </c>
      <c r="R32" s="873">
        <v>2.5000000000000001E-2</v>
      </c>
      <c r="S32" s="873">
        <v>2.7E-2</v>
      </c>
      <c r="T32" s="873">
        <v>2.7E-2</v>
      </c>
      <c r="U32" s="873">
        <v>2.7E-2</v>
      </c>
      <c r="V32" s="873">
        <v>2.7E-2</v>
      </c>
      <c r="W32" s="873">
        <v>2.7E-2</v>
      </c>
      <c r="X32" s="873">
        <v>2.7E-2</v>
      </c>
      <c r="Y32" s="873">
        <v>2.9000000000000001E-2</v>
      </c>
      <c r="Z32" s="873">
        <v>2.9000000000000001E-2</v>
      </c>
      <c r="AA32" s="873">
        <v>2.9000000000000001E-2</v>
      </c>
      <c r="AB32" s="873">
        <v>2.9000000000000001E-2</v>
      </c>
      <c r="AC32" s="873">
        <v>3.1E-2</v>
      </c>
      <c r="AD32" s="873">
        <v>3.1E-2</v>
      </c>
      <c r="AE32" s="873">
        <v>3.2999999999999995E-2</v>
      </c>
      <c r="AF32" s="873">
        <v>3.2999999999999995E-2</v>
      </c>
      <c r="AG32" s="873">
        <v>3.5000000000000003E-2</v>
      </c>
      <c r="AH32" s="873">
        <v>3.5000000000000003E-2</v>
      </c>
      <c r="AI32" s="873">
        <v>3.5000000000000003E-2</v>
      </c>
      <c r="AJ32" s="873">
        <v>3.5000000000000003E-2</v>
      </c>
      <c r="AK32" s="873">
        <v>3.2999999999999995E-2</v>
      </c>
      <c r="AL32" s="873">
        <v>3.2999999999999995E-2</v>
      </c>
      <c r="AM32" s="873">
        <v>3.2999999999999995E-2</v>
      </c>
      <c r="AN32" s="873">
        <v>3.2999999999999995E-2</v>
      </c>
      <c r="AO32" s="873">
        <v>3.1E-2</v>
      </c>
      <c r="AP32" s="873">
        <v>3.1E-2</v>
      </c>
      <c r="AQ32" s="873">
        <v>2.9999999999999472E-2</v>
      </c>
      <c r="AR32" s="873"/>
      <c r="AS32" s="873"/>
      <c r="AT32" s="873"/>
      <c r="AU32" s="873"/>
      <c r="AV32" s="873"/>
      <c r="AW32" s="873"/>
      <c r="AX32" s="873"/>
      <c r="AY32" s="873"/>
      <c r="AZ32" s="873"/>
      <c r="BA32" s="874">
        <v>1</v>
      </c>
    </row>
    <row r="33" spans="2:53" ht="16.5">
      <c r="B33" s="857"/>
      <c r="C33" s="871">
        <v>40</v>
      </c>
      <c r="D33" s="872" t="s">
        <v>34</v>
      </c>
      <c r="E33" s="873">
        <v>7.3499999999999989E-3</v>
      </c>
      <c r="F33" s="873">
        <v>7.3499999999999989E-3</v>
      </c>
      <c r="G33" s="873">
        <v>9.3499999999999989E-3</v>
      </c>
      <c r="H33" s="873">
        <v>9.3499999999999989E-3</v>
      </c>
      <c r="I33" s="873">
        <v>1.1350000000000001E-2</v>
      </c>
      <c r="J33" s="873">
        <v>1.1350000000000001E-2</v>
      </c>
      <c r="K33" s="873">
        <v>1.635E-2</v>
      </c>
      <c r="L33" s="873">
        <v>1.635E-2</v>
      </c>
      <c r="M33" s="873">
        <v>1.9349999999999999E-2</v>
      </c>
      <c r="N33" s="873">
        <v>1.9349999999999999E-2</v>
      </c>
      <c r="O33" s="873">
        <v>2.2349999999999998E-2</v>
      </c>
      <c r="P33" s="873">
        <v>2.2349999999999998E-2</v>
      </c>
      <c r="Q33" s="873">
        <v>2.435E-2</v>
      </c>
      <c r="R33" s="873">
        <v>2.435E-2</v>
      </c>
      <c r="S33" s="873">
        <v>2.6349999999999998E-2</v>
      </c>
      <c r="T33" s="873">
        <v>2.6349999999999998E-2</v>
      </c>
      <c r="U33" s="873">
        <v>2.6349999999999998E-2</v>
      </c>
      <c r="V33" s="873">
        <v>2.6349999999999998E-2</v>
      </c>
      <c r="W33" s="873">
        <v>2.6349999999999998E-2</v>
      </c>
      <c r="X33" s="873">
        <v>2.6349999999999998E-2</v>
      </c>
      <c r="Y33" s="873">
        <v>2.835E-2</v>
      </c>
      <c r="Z33" s="873">
        <v>2.835E-2</v>
      </c>
      <c r="AA33" s="873">
        <v>2.835E-2</v>
      </c>
      <c r="AB33" s="873">
        <v>2.835E-2</v>
      </c>
      <c r="AC33" s="873">
        <v>3.0349999999999999E-2</v>
      </c>
      <c r="AD33" s="873">
        <v>3.0349999999999999E-2</v>
      </c>
      <c r="AE33" s="873">
        <v>3.2349999999999997E-2</v>
      </c>
      <c r="AF33" s="873">
        <v>3.2349999999999997E-2</v>
      </c>
      <c r="AG33" s="873">
        <v>3.4350000000000006E-2</v>
      </c>
      <c r="AH33" s="873">
        <v>3.4350000000000006E-2</v>
      </c>
      <c r="AI33" s="873">
        <v>3.4350000000000006E-2</v>
      </c>
      <c r="AJ33" s="873">
        <v>3.4350000000000006E-2</v>
      </c>
      <c r="AK33" s="873">
        <v>3.2349999999999997E-2</v>
      </c>
      <c r="AL33" s="873">
        <v>3.2349999999999997E-2</v>
      </c>
      <c r="AM33" s="873">
        <v>3.2349999999999997E-2</v>
      </c>
      <c r="AN33" s="873">
        <v>3.2349999999999997E-2</v>
      </c>
      <c r="AO33" s="873">
        <v>3.0349999999999999E-2</v>
      </c>
      <c r="AP33" s="873">
        <v>3.0349999999999999E-2</v>
      </c>
      <c r="AQ33" s="873">
        <v>2.7349999999999999E-2</v>
      </c>
      <c r="AR33" s="873">
        <v>2.7350000000000207E-2</v>
      </c>
      <c r="AS33" s="873"/>
      <c r="AT33" s="873"/>
      <c r="AU33" s="873"/>
      <c r="AV33" s="873"/>
      <c r="AW33" s="873"/>
      <c r="AX33" s="873"/>
      <c r="AY33" s="873"/>
      <c r="AZ33" s="873"/>
      <c r="BA33" s="874">
        <v>1</v>
      </c>
    </row>
    <row r="34" spans="2:53" ht="16.5">
      <c r="B34" s="857"/>
      <c r="C34" s="871">
        <v>41</v>
      </c>
      <c r="D34" s="872" t="s">
        <v>34</v>
      </c>
      <c r="E34" s="873">
        <v>6.6999999999999994E-3</v>
      </c>
      <c r="F34" s="873">
        <v>6.6999999999999994E-3</v>
      </c>
      <c r="G34" s="873">
        <v>8.6999999999999994E-3</v>
      </c>
      <c r="H34" s="873">
        <v>8.6999999999999994E-3</v>
      </c>
      <c r="I34" s="873">
        <v>1.0700000000000001E-2</v>
      </c>
      <c r="J34" s="873">
        <v>1.0700000000000001E-2</v>
      </c>
      <c r="K34" s="873">
        <v>1.5699999999999999E-2</v>
      </c>
      <c r="L34" s="873">
        <v>1.5699999999999999E-2</v>
      </c>
      <c r="M34" s="873">
        <v>1.8699999999999998E-2</v>
      </c>
      <c r="N34" s="873">
        <v>1.8699999999999998E-2</v>
      </c>
      <c r="O34" s="873">
        <v>2.1699999999999997E-2</v>
      </c>
      <c r="P34" s="873">
        <v>2.1699999999999997E-2</v>
      </c>
      <c r="Q34" s="873">
        <v>2.3699999999999999E-2</v>
      </c>
      <c r="R34" s="873">
        <v>2.3699999999999999E-2</v>
      </c>
      <c r="S34" s="873">
        <v>2.5699999999999997E-2</v>
      </c>
      <c r="T34" s="873">
        <v>2.5699999999999997E-2</v>
      </c>
      <c r="U34" s="873">
        <v>2.5699999999999997E-2</v>
      </c>
      <c r="V34" s="873">
        <v>2.5699999999999997E-2</v>
      </c>
      <c r="W34" s="873">
        <v>2.5699999999999997E-2</v>
      </c>
      <c r="X34" s="873">
        <v>2.5699999999999997E-2</v>
      </c>
      <c r="Y34" s="873">
        <v>2.7699999999999999E-2</v>
      </c>
      <c r="Z34" s="873">
        <v>2.7699999999999999E-2</v>
      </c>
      <c r="AA34" s="873">
        <v>2.7699999999999999E-2</v>
      </c>
      <c r="AB34" s="873">
        <v>2.7699999999999999E-2</v>
      </c>
      <c r="AC34" s="873">
        <v>2.9699999999999997E-2</v>
      </c>
      <c r="AD34" s="873">
        <v>2.9699999999999997E-2</v>
      </c>
      <c r="AE34" s="873">
        <v>3.1699999999999999E-2</v>
      </c>
      <c r="AF34" s="873">
        <v>3.1699999999999999E-2</v>
      </c>
      <c r="AG34" s="873">
        <v>3.3700000000000008E-2</v>
      </c>
      <c r="AH34" s="873">
        <v>3.3700000000000008E-2</v>
      </c>
      <c r="AI34" s="873">
        <v>3.3700000000000008E-2</v>
      </c>
      <c r="AJ34" s="873">
        <v>3.3700000000000008E-2</v>
      </c>
      <c r="AK34" s="873">
        <v>3.1699999999999999E-2</v>
      </c>
      <c r="AL34" s="873">
        <v>3.1699999999999999E-2</v>
      </c>
      <c r="AM34" s="873">
        <v>3.1699999999999999E-2</v>
      </c>
      <c r="AN34" s="873">
        <v>3.1699999999999999E-2</v>
      </c>
      <c r="AO34" s="873">
        <v>2.9699999999999997E-2</v>
      </c>
      <c r="AP34" s="873">
        <v>2.9699999999999997E-2</v>
      </c>
      <c r="AQ34" s="873">
        <v>2.6699999999999998E-2</v>
      </c>
      <c r="AR34" s="873">
        <v>2.6699999999999998E-2</v>
      </c>
      <c r="AS34" s="873">
        <v>2.6000000000000467E-2</v>
      </c>
      <c r="AT34" s="873"/>
      <c r="AU34" s="873"/>
      <c r="AV34" s="873"/>
      <c r="AW34" s="873"/>
      <c r="AX34" s="873"/>
      <c r="AY34" s="873"/>
      <c r="AZ34" s="873"/>
      <c r="BA34" s="874">
        <v>1</v>
      </c>
    </row>
    <row r="35" spans="2:53" ht="16.5">
      <c r="B35" s="857"/>
      <c r="C35" s="871">
        <v>42</v>
      </c>
      <c r="D35" s="872" t="s">
        <v>34</v>
      </c>
      <c r="E35" s="873">
        <v>6.1999999999999989E-3</v>
      </c>
      <c r="F35" s="873">
        <v>6.1999999999999989E-3</v>
      </c>
      <c r="G35" s="873">
        <v>8.199999999999999E-3</v>
      </c>
      <c r="H35" s="873">
        <v>8.199999999999999E-3</v>
      </c>
      <c r="I35" s="873">
        <v>1.0200000000000001E-2</v>
      </c>
      <c r="J35" s="873">
        <v>1.0200000000000001E-2</v>
      </c>
      <c r="K35" s="873">
        <v>1.52E-2</v>
      </c>
      <c r="L35" s="873">
        <v>1.52E-2</v>
      </c>
      <c r="M35" s="873">
        <v>1.8199999999999997E-2</v>
      </c>
      <c r="N35" s="873">
        <v>1.8199999999999997E-2</v>
      </c>
      <c r="O35" s="873">
        <v>2.1199999999999997E-2</v>
      </c>
      <c r="P35" s="873">
        <v>2.1199999999999997E-2</v>
      </c>
      <c r="Q35" s="873">
        <v>2.3199999999999998E-2</v>
      </c>
      <c r="R35" s="873">
        <v>2.3199999999999998E-2</v>
      </c>
      <c r="S35" s="873">
        <v>2.5199999999999997E-2</v>
      </c>
      <c r="T35" s="873">
        <v>2.5199999999999997E-2</v>
      </c>
      <c r="U35" s="873">
        <v>2.5199999999999997E-2</v>
      </c>
      <c r="V35" s="873">
        <v>2.5199999999999997E-2</v>
      </c>
      <c r="W35" s="873">
        <v>2.5199999999999997E-2</v>
      </c>
      <c r="X35" s="873">
        <v>2.5199999999999997E-2</v>
      </c>
      <c r="Y35" s="873">
        <v>2.7199999999999998E-2</v>
      </c>
      <c r="Z35" s="873">
        <v>2.7199999999999998E-2</v>
      </c>
      <c r="AA35" s="873">
        <v>2.7199999999999998E-2</v>
      </c>
      <c r="AB35" s="873">
        <v>2.7199999999999998E-2</v>
      </c>
      <c r="AC35" s="873">
        <v>2.9199999999999997E-2</v>
      </c>
      <c r="AD35" s="873">
        <v>2.9199999999999997E-2</v>
      </c>
      <c r="AE35" s="873">
        <v>3.1199999999999999E-2</v>
      </c>
      <c r="AF35" s="873">
        <v>3.1199999999999999E-2</v>
      </c>
      <c r="AG35" s="873">
        <v>3.3200000000000007E-2</v>
      </c>
      <c r="AH35" s="873">
        <v>3.3200000000000007E-2</v>
      </c>
      <c r="AI35" s="873">
        <v>3.3200000000000007E-2</v>
      </c>
      <c r="AJ35" s="873">
        <v>3.3200000000000007E-2</v>
      </c>
      <c r="AK35" s="873">
        <v>3.1199999999999999E-2</v>
      </c>
      <c r="AL35" s="873">
        <v>3.1199999999999999E-2</v>
      </c>
      <c r="AM35" s="873">
        <v>3.1199999999999999E-2</v>
      </c>
      <c r="AN35" s="873">
        <v>3.1199999999999999E-2</v>
      </c>
      <c r="AO35" s="873">
        <v>2.9199999999999997E-2</v>
      </c>
      <c r="AP35" s="873">
        <v>2.9199999999999997E-2</v>
      </c>
      <c r="AQ35" s="873">
        <v>2.6199999999999998E-2</v>
      </c>
      <c r="AR35" s="873">
        <v>2.6199999999999998E-2</v>
      </c>
      <c r="AS35" s="873">
        <v>2.3199999999999998E-2</v>
      </c>
      <c r="AT35" s="873">
        <v>2.2799999999999931E-2</v>
      </c>
      <c r="AU35" s="873"/>
      <c r="AV35" s="873"/>
      <c r="AW35" s="873"/>
      <c r="AX35" s="873"/>
      <c r="AY35" s="873"/>
      <c r="AZ35" s="873"/>
      <c r="BA35" s="874">
        <v>1</v>
      </c>
    </row>
    <row r="36" spans="2:53" ht="16.5">
      <c r="B36" s="857"/>
      <c r="C36" s="871">
        <v>43</v>
      </c>
      <c r="D36" s="872" t="s">
        <v>34</v>
      </c>
      <c r="E36" s="873">
        <v>5.6999999999999985E-3</v>
      </c>
      <c r="F36" s="873">
        <v>5.6999999999999985E-3</v>
      </c>
      <c r="G36" s="873">
        <v>7.6999999999999985E-3</v>
      </c>
      <c r="H36" s="873">
        <v>7.6999999999999985E-3</v>
      </c>
      <c r="I36" s="873">
        <v>9.7000000000000003E-3</v>
      </c>
      <c r="J36" s="873">
        <v>9.7000000000000003E-3</v>
      </c>
      <c r="K36" s="873">
        <v>1.47E-2</v>
      </c>
      <c r="L36" s="873">
        <v>1.47E-2</v>
      </c>
      <c r="M36" s="873">
        <v>1.7699999999999997E-2</v>
      </c>
      <c r="N36" s="873">
        <v>1.7699999999999997E-2</v>
      </c>
      <c r="O36" s="873">
        <v>2.0699999999999996E-2</v>
      </c>
      <c r="P36" s="873">
        <v>2.0699999999999996E-2</v>
      </c>
      <c r="Q36" s="873">
        <v>2.2699999999999998E-2</v>
      </c>
      <c r="R36" s="873">
        <v>2.2699999999999998E-2</v>
      </c>
      <c r="S36" s="873">
        <v>2.4699999999999996E-2</v>
      </c>
      <c r="T36" s="873">
        <v>2.4699999999999996E-2</v>
      </c>
      <c r="U36" s="873">
        <v>2.4699999999999996E-2</v>
      </c>
      <c r="V36" s="873">
        <v>2.4699999999999996E-2</v>
      </c>
      <c r="W36" s="873">
        <v>2.4699999999999996E-2</v>
      </c>
      <c r="X36" s="873">
        <v>2.4699999999999996E-2</v>
      </c>
      <c r="Y36" s="873">
        <v>2.6699999999999998E-2</v>
      </c>
      <c r="Z36" s="873">
        <v>2.6699999999999998E-2</v>
      </c>
      <c r="AA36" s="873">
        <v>2.6699999999999998E-2</v>
      </c>
      <c r="AB36" s="873">
        <v>2.6699999999999998E-2</v>
      </c>
      <c r="AC36" s="873">
        <v>2.8699999999999996E-2</v>
      </c>
      <c r="AD36" s="873">
        <v>2.8699999999999996E-2</v>
      </c>
      <c r="AE36" s="873">
        <v>3.0699999999999998E-2</v>
      </c>
      <c r="AF36" s="873">
        <v>3.0699999999999998E-2</v>
      </c>
      <c r="AG36" s="873">
        <v>3.2700000000000007E-2</v>
      </c>
      <c r="AH36" s="873">
        <v>3.2700000000000007E-2</v>
      </c>
      <c r="AI36" s="873">
        <v>3.2700000000000007E-2</v>
      </c>
      <c r="AJ36" s="873">
        <v>3.2700000000000007E-2</v>
      </c>
      <c r="AK36" s="873">
        <v>3.0699999999999998E-2</v>
      </c>
      <c r="AL36" s="873">
        <v>3.0699999999999998E-2</v>
      </c>
      <c r="AM36" s="873">
        <v>3.0699999999999998E-2</v>
      </c>
      <c r="AN36" s="873">
        <v>3.0699999999999998E-2</v>
      </c>
      <c r="AO36" s="873">
        <v>2.8699999999999996E-2</v>
      </c>
      <c r="AP36" s="873">
        <v>2.8699999999999996E-2</v>
      </c>
      <c r="AQ36" s="873">
        <v>2.5699999999999997E-2</v>
      </c>
      <c r="AR36" s="873">
        <v>2.5699999999999997E-2</v>
      </c>
      <c r="AS36" s="873">
        <v>2.2699999999999998E-2</v>
      </c>
      <c r="AT36" s="873">
        <v>2.2699999999999998E-2</v>
      </c>
      <c r="AU36" s="873">
        <v>2.060000000000084E-2</v>
      </c>
      <c r="AV36" s="873"/>
      <c r="AW36" s="873"/>
      <c r="AX36" s="873"/>
      <c r="AY36" s="873"/>
      <c r="AZ36" s="873"/>
      <c r="BA36" s="874">
        <v>1</v>
      </c>
    </row>
    <row r="37" spans="2:53" ht="16.5">
      <c r="B37" s="857"/>
      <c r="C37" s="871">
        <v>44</v>
      </c>
      <c r="D37" s="872" t="s">
        <v>34</v>
      </c>
      <c r="E37" s="873">
        <v>5.3499999999999989E-3</v>
      </c>
      <c r="F37" s="873">
        <v>5.3499999999999989E-3</v>
      </c>
      <c r="G37" s="873">
        <v>7.3499999999999989E-3</v>
      </c>
      <c r="H37" s="873">
        <v>7.3499999999999989E-3</v>
      </c>
      <c r="I37" s="873">
        <v>9.3500000000000007E-3</v>
      </c>
      <c r="J37" s="873">
        <v>9.3500000000000007E-3</v>
      </c>
      <c r="K37" s="873">
        <v>1.435E-2</v>
      </c>
      <c r="L37" s="873">
        <v>1.435E-2</v>
      </c>
      <c r="M37" s="873">
        <v>1.7349999999999997E-2</v>
      </c>
      <c r="N37" s="873">
        <v>1.7349999999999997E-2</v>
      </c>
      <c r="O37" s="873">
        <v>2.0349999999999997E-2</v>
      </c>
      <c r="P37" s="873">
        <v>2.0349999999999997E-2</v>
      </c>
      <c r="Q37" s="873">
        <v>2.2349999999999998E-2</v>
      </c>
      <c r="R37" s="873">
        <v>2.2349999999999998E-2</v>
      </c>
      <c r="S37" s="873">
        <v>2.4349999999999997E-2</v>
      </c>
      <c r="T37" s="873">
        <v>2.4349999999999997E-2</v>
      </c>
      <c r="U37" s="873">
        <v>2.4349999999999997E-2</v>
      </c>
      <c r="V37" s="873">
        <v>2.4349999999999997E-2</v>
      </c>
      <c r="W37" s="873">
        <v>2.4349999999999997E-2</v>
      </c>
      <c r="X37" s="873">
        <v>2.4349999999999997E-2</v>
      </c>
      <c r="Y37" s="873">
        <v>2.6349999999999998E-2</v>
      </c>
      <c r="Z37" s="873">
        <v>2.6349999999999998E-2</v>
      </c>
      <c r="AA37" s="873">
        <v>2.6349999999999998E-2</v>
      </c>
      <c r="AB37" s="873">
        <v>2.6349999999999998E-2</v>
      </c>
      <c r="AC37" s="873">
        <v>2.8349999999999997E-2</v>
      </c>
      <c r="AD37" s="873">
        <v>2.8349999999999997E-2</v>
      </c>
      <c r="AE37" s="873">
        <v>3.0349999999999999E-2</v>
      </c>
      <c r="AF37" s="873">
        <v>3.0349999999999999E-2</v>
      </c>
      <c r="AG37" s="873">
        <v>3.2350000000000004E-2</v>
      </c>
      <c r="AH37" s="873">
        <v>3.2350000000000004E-2</v>
      </c>
      <c r="AI37" s="873">
        <v>3.2350000000000004E-2</v>
      </c>
      <c r="AJ37" s="873">
        <v>3.2350000000000004E-2</v>
      </c>
      <c r="AK37" s="873">
        <v>3.0349999999999999E-2</v>
      </c>
      <c r="AL37" s="873">
        <v>3.0349999999999999E-2</v>
      </c>
      <c r="AM37" s="873">
        <v>3.0349999999999999E-2</v>
      </c>
      <c r="AN37" s="873">
        <v>3.0349999999999999E-2</v>
      </c>
      <c r="AO37" s="873">
        <v>2.8349999999999997E-2</v>
      </c>
      <c r="AP37" s="873">
        <v>2.8349999999999997E-2</v>
      </c>
      <c r="AQ37" s="873">
        <v>2.5349999999999998E-2</v>
      </c>
      <c r="AR37" s="873">
        <v>2.5349999999999998E-2</v>
      </c>
      <c r="AS37" s="873">
        <v>2.2349999999999998E-2</v>
      </c>
      <c r="AT37" s="873">
        <v>2.2349999999999998E-2</v>
      </c>
      <c r="AU37" s="873">
        <v>1.9349999999999996E-2</v>
      </c>
      <c r="AV37" s="873">
        <v>1.5950000000000353E-2</v>
      </c>
      <c r="AW37" s="873"/>
      <c r="AX37" s="873"/>
      <c r="AY37" s="873"/>
      <c r="AZ37" s="873"/>
      <c r="BA37" s="874">
        <v>1</v>
      </c>
    </row>
    <row r="38" spans="2:53" ht="16.5">
      <c r="B38" s="857"/>
      <c r="C38" s="871">
        <v>45</v>
      </c>
      <c r="D38" s="872" t="s">
        <v>34</v>
      </c>
      <c r="E38" s="873">
        <v>4.899999999999999E-3</v>
      </c>
      <c r="F38" s="873">
        <v>4.899999999999999E-3</v>
      </c>
      <c r="G38" s="873">
        <v>6.899999999999999E-3</v>
      </c>
      <c r="H38" s="873">
        <v>6.899999999999999E-3</v>
      </c>
      <c r="I38" s="873">
        <v>8.8999999999999999E-3</v>
      </c>
      <c r="J38" s="873">
        <v>8.8999999999999999E-3</v>
      </c>
      <c r="K38" s="873">
        <v>1.3899999999999999E-2</v>
      </c>
      <c r="L38" s="873">
        <v>1.3899999999999999E-2</v>
      </c>
      <c r="M38" s="873">
        <v>1.6899999999999998E-2</v>
      </c>
      <c r="N38" s="873">
        <v>1.6899999999999998E-2</v>
      </c>
      <c r="O38" s="873">
        <v>1.9899999999999998E-2</v>
      </c>
      <c r="P38" s="873">
        <v>1.9899999999999998E-2</v>
      </c>
      <c r="Q38" s="873">
        <v>2.1899999999999999E-2</v>
      </c>
      <c r="R38" s="873">
        <v>2.1899999999999999E-2</v>
      </c>
      <c r="S38" s="873">
        <v>2.3899999999999998E-2</v>
      </c>
      <c r="T38" s="873">
        <v>2.3899999999999998E-2</v>
      </c>
      <c r="U38" s="873">
        <v>2.3899999999999998E-2</v>
      </c>
      <c r="V38" s="873">
        <v>2.3899999999999998E-2</v>
      </c>
      <c r="W38" s="873">
        <v>2.3899999999999998E-2</v>
      </c>
      <c r="X38" s="873">
        <v>2.3899999999999998E-2</v>
      </c>
      <c r="Y38" s="873">
        <v>2.5899999999999999E-2</v>
      </c>
      <c r="Z38" s="873">
        <v>2.5899999999999999E-2</v>
      </c>
      <c r="AA38" s="873">
        <v>2.5899999999999999E-2</v>
      </c>
      <c r="AB38" s="873">
        <v>2.5899999999999999E-2</v>
      </c>
      <c r="AC38" s="873">
        <v>2.7899999999999998E-2</v>
      </c>
      <c r="AD38" s="873">
        <v>2.7899999999999998E-2</v>
      </c>
      <c r="AE38" s="873">
        <v>2.9899999999999999E-2</v>
      </c>
      <c r="AF38" s="873">
        <v>2.9899999999999999E-2</v>
      </c>
      <c r="AG38" s="873">
        <v>3.1900000000000005E-2</v>
      </c>
      <c r="AH38" s="873">
        <v>3.1900000000000005E-2</v>
      </c>
      <c r="AI38" s="873">
        <v>3.1900000000000005E-2</v>
      </c>
      <c r="AJ38" s="873">
        <v>3.1900000000000005E-2</v>
      </c>
      <c r="AK38" s="873">
        <v>2.9899999999999999E-2</v>
      </c>
      <c r="AL38" s="873">
        <v>2.9899999999999999E-2</v>
      </c>
      <c r="AM38" s="873">
        <v>2.9899999999999999E-2</v>
      </c>
      <c r="AN38" s="873">
        <v>2.9899999999999999E-2</v>
      </c>
      <c r="AO38" s="873">
        <v>2.7899999999999998E-2</v>
      </c>
      <c r="AP38" s="873">
        <v>2.7899999999999998E-2</v>
      </c>
      <c r="AQ38" s="873">
        <v>2.4899999999999999E-2</v>
      </c>
      <c r="AR38" s="873">
        <v>2.4899999999999999E-2</v>
      </c>
      <c r="AS38" s="873">
        <v>2.1899999999999999E-2</v>
      </c>
      <c r="AT38" s="873">
        <v>2.1899999999999999E-2</v>
      </c>
      <c r="AU38" s="873">
        <v>1.8899999999999997E-2</v>
      </c>
      <c r="AV38" s="873">
        <v>1.8899999999999997E-2</v>
      </c>
      <c r="AW38" s="873">
        <v>1.6399999999999637E-2</v>
      </c>
      <c r="AX38" s="873"/>
      <c r="AY38" s="873"/>
      <c r="AZ38" s="873"/>
      <c r="BA38" s="874">
        <v>1</v>
      </c>
    </row>
    <row r="39" spans="2:53" ht="16.5">
      <c r="B39" s="857"/>
      <c r="C39" s="871">
        <v>46</v>
      </c>
      <c r="D39" s="872" t="s">
        <v>34</v>
      </c>
      <c r="E39" s="873">
        <v>4.5499999999999994E-3</v>
      </c>
      <c r="F39" s="873">
        <v>4.5499999999999994E-3</v>
      </c>
      <c r="G39" s="873">
        <v>6.5499999999999994E-3</v>
      </c>
      <c r="H39" s="873">
        <v>6.5499999999999994E-3</v>
      </c>
      <c r="I39" s="873">
        <v>8.5500000000000003E-3</v>
      </c>
      <c r="J39" s="873">
        <v>8.5500000000000003E-3</v>
      </c>
      <c r="K39" s="873">
        <v>1.355E-2</v>
      </c>
      <c r="L39" s="873">
        <v>1.355E-2</v>
      </c>
      <c r="M39" s="873">
        <v>1.6549999999999999E-2</v>
      </c>
      <c r="N39" s="873">
        <v>1.6549999999999999E-2</v>
      </c>
      <c r="O39" s="873">
        <v>1.9549999999999998E-2</v>
      </c>
      <c r="P39" s="873">
        <v>1.9549999999999998E-2</v>
      </c>
      <c r="Q39" s="873">
        <v>2.155E-2</v>
      </c>
      <c r="R39" s="873">
        <v>2.155E-2</v>
      </c>
      <c r="S39" s="873">
        <v>2.3549999999999998E-2</v>
      </c>
      <c r="T39" s="873">
        <v>2.3549999999999998E-2</v>
      </c>
      <c r="U39" s="873">
        <v>2.3549999999999998E-2</v>
      </c>
      <c r="V39" s="873">
        <v>2.3549999999999998E-2</v>
      </c>
      <c r="W39" s="873">
        <v>2.3549999999999998E-2</v>
      </c>
      <c r="X39" s="873">
        <v>2.3549999999999998E-2</v>
      </c>
      <c r="Y39" s="873">
        <v>2.555E-2</v>
      </c>
      <c r="Z39" s="873">
        <v>2.555E-2</v>
      </c>
      <c r="AA39" s="873">
        <v>2.555E-2</v>
      </c>
      <c r="AB39" s="873">
        <v>2.555E-2</v>
      </c>
      <c r="AC39" s="873">
        <v>2.7549999999999998E-2</v>
      </c>
      <c r="AD39" s="873">
        <v>2.7549999999999998E-2</v>
      </c>
      <c r="AE39" s="873">
        <v>2.955E-2</v>
      </c>
      <c r="AF39" s="873">
        <v>2.955E-2</v>
      </c>
      <c r="AG39" s="873">
        <v>3.1550000000000002E-2</v>
      </c>
      <c r="AH39" s="873">
        <v>3.1550000000000002E-2</v>
      </c>
      <c r="AI39" s="873">
        <v>3.1550000000000002E-2</v>
      </c>
      <c r="AJ39" s="873">
        <v>3.1550000000000002E-2</v>
      </c>
      <c r="AK39" s="873">
        <v>2.955E-2</v>
      </c>
      <c r="AL39" s="873">
        <v>2.955E-2</v>
      </c>
      <c r="AM39" s="873">
        <v>2.955E-2</v>
      </c>
      <c r="AN39" s="873">
        <v>2.955E-2</v>
      </c>
      <c r="AO39" s="873">
        <v>2.7549999999999998E-2</v>
      </c>
      <c r="AP39" s="873">
        <v>2.7549999999999998E-2</v>
      </c>
      <c r="AQ39" s="873">
        <v>2.4549999999999999E-2</v>
      </c>
      <c r="AR39" s="873">
        <v>2.4549999999999999E-2</v>
      </c>
      <c r="AS39" s="873">
        <v>2.155E-2</v>
      </c>
      <c r="AT39" s="873">
        <v>2.155E-2</v>
      </c>
      <c r="AU39" s="873">
        <v>1.8549999999999997E-2</v>
      </c>
      <c r="AV39" s="873">
        <v>1.8549999999999997E-2</v>
      </c>
      <c r="AW39" s="873">
        <v>1.6549999999999999E-2</v>
      </c>
      <c r="AX39" s="873">
        <v>1.5250000000000541E-2</v>
      </c>
      <c r="AY39" s="873"/>
      <c r="AZ39" s="873"/>
      <c r="BA39" s="874">
        <v>1</v>
      </c>
    </row>
    <row r="40" spans="2:53" ht="16.5">
      <c r="B40" s="857"/>
      <c r="C40" s="871">
        <v>47</v>
      </c>
      <c r="D40" s="872" t="s">
        <v>34</v>
      </c>
      <c r="E40" s="873">
        <v>4.1999999999999997E-3</v>
      </c>
      <c r="F40" s="873">
        <v>4.1999999999999997E-3</v>
      </c>
      <c r="G40" s="873">
        <v>6.1999999999999998E-3</v>
      </c>
      <c r="H40" s="873">
        <v>6.1999999999999998E-3</v>
      </c>
      <c r="I40" s="873">
        <v>8.2000000000000007E-3</v>
      </c>
      <c r="J40" s="873">
        <v>8.2000000000000007E-3</v>
      </c>
      <c r="K40" s="873">
        <v>1.32E-2</v>
      </c>
      <c r="L40" s="873">
        <v>1.32E-2</v>
      </c>
      <c r="M40" s="873">
        <v>1.6199999999999999E-2</v>
      </c>
      <c r="N40" s="873">
        <v>1.6199999999999999E-2</v>
      </c>
      <c r="O40" s="873">
        <v>1.9199999999999998E-2</v>
      </c>
      <c r="P40" s="873">
        <v>1.9199999999999998E-2</v>
      </c>
      <c r="Q40" s="873">
        <v>2.12E-2</v>
      </c>
      <c r="R40" s="873">
        <v>2.12E-2</v>
      </c>
      <c r="S40" s="873">
        <v>2.3199999999999998E-2</v>
      </c>
      <c r="T40" s="873">
        <v>2.3199999999999998E-2</v>
      </c>
      <c r="U40" s="873">
        <v>2.3199999999999998E-2</v>
      </c>
      <c r="V40" s="873">
        <v>2.3199999999999998E-2</v>
      </c>
      <c r="W40" s="873">
        <v>2.3199999999999998E-2</v>
      </c>
      <c r="X40" s="873">
        <v>2.3199999999999998E-2</v>
      </c>
      <c r="Y40" s="873">
        <v>2.52E-2</v>
      </c>
      <c r="Z40" s="873">
        <v>2.52E-2</v>
      </c>
      <c r="AA40" s="873">
        <v>2.52E-2</v>
      </c>
      <c r="AB40" s="873">
        <v>2.52E-2</v>
      </c>
      <c r="AC40" s="873">
        <v>2.7199999999999998E-2</v>
      </c>
      <c r="AD40" s="873">
        <v>2.7199999999999998E-2</v>
      </c>
      <c r="AE40" s="873">
        <v>2.92E-2</v>
      </c>
      <c r="AF40" s="873">
        <v>2.92E-2</v>
      </c>
      <c r="AG40" s="873">
        <v>3.1199999999999999E-2</v>
      </c>
      <c r="AH40" s="873">
        <v>3.1199999999999999E-2</v>
      </c>
      <c r="AI40" s="873">
        <v>3.1199999999999999E-2</v>
      </c>
      <c r="AJ40" s="873">
        <v>3.1199999999999999E-2</v>
      </c>
      <c r="AK40" s="873">
        <v>2.92E-2</v>
      </c>
      <c r="AL40" s="873">
        <v>2.92E-2</v>
      </c>
      <c r="AM40" s="873">
        <v>2.92E-2</v>
      </c>
      <c r="AN40" s="873">
        <v>2.92E-2</v>
      </c>
      <c r="AO40" s="873">
        <v>2.7199999999999998E-2</v>
      </c>
      <c r="AP40" s="873">
        <v>2.7199999999999998E-2</v>
      </c>
      <c r="AQ40" s="873">
        <v>2.4199999999999999E-2</v>
      </c>
      <c r="AR40" s="873">
        <v>2.4199999999999999E-2</v>
      </c>
      <c r="AS40" s="873">
        <v>2.12E-2</v>
      </c>
      <c r="AT40" s="873">
        <v>2.12E-2</v>
      </c>
      <c r="AU40" s="873">
        <v>1.8199999999999997E-2</v>
      </c>
      <c r="AV40" s="873">
        <v>1.8199999999999997E-2</v>
      </c>
      <c r="AW40" s="873">
        <v>1.6199999999999999E-2</v>
      </c>
      <c r="AX40" s="873">
        <v>1.6199999999999999E-2</v>
      </c>
      <c r="AY40" s="873">
        <v>1.4800000000000035E-2</v>
      </c>
      <c r="AZ40" s="873"/>
      <c r="BA40" s="874">
        <v>1</v>
      </c>
    </row>
    <row r="41" spans="2:53" ht="16.5">
      <c r="B41" s="857"/>
      <c r="C41" s="876">
        <v>48</v>
      </c>
      <c r="D41" s="877" t="s">
        <v>34</v>
      </c>
      <c r="E41" s="878">
        <v>4.0000000000000001E-3</v>
      </c>
      <c r="F41" s="878">
        <v>4.0000000000000001E-3</v>
      </c>
      <c r="G41" s="878">
        <v>6.0000000000000001E-3</v>
      </c>
      <c r="H41" s="878">
        <v>6.0000000000000001E-3</v>
      </c>
      <c r="I41" s="878">
        <v>8.0000000000000002E-3</v>
      </c>
      <c r="J41" s="878">
        <v>8.0000000000000002E-3</v>
      </c>
      <c r="K41" s="878">
        <v>1.2999999999999999E-2</v>
      </c>
      <c r="L41" s="878">
        <v>1.2999999999999999E-2</v>
      </c>
      <c r="M41" s="878">
        <v>1.6E-2</v>
      </c>
      <c r="N41" s="878">
        <v>1.6E-2</v>
      </c>
      <c r="O41" s="878">
        <v>1.9E-2</v>
      </c>
      <c r="P41" s="878">
        <v>1.9E-2</v>
      </c>
      <c r="Q41" s="878">
        <v>2.1000000000000001E-2</v>
      </c>
      <c r="R41" s="878">
        <v>2.1000000000000001E-2</v>
      </c>
      <c r="S41" s="878">
        <v>2.3E-2</v>
      </c>
      <c r="T41" s="878">
        <v>2.3E-2</v>
      </c>
      <c r="U41" s="878">
        <v>2.3E-2</v>
      </c>
      <c r="V41" s="878">
        <v>2.3E-2</v>
      </c>
      <c r="W41" s="878">
        <v>2.3E-2</v>
      </c>
      <c r="X41" s="878">
        <v>2.3E-2</v>
      </c>
      <c r="Y41" s="878">
        <v>2.5000000000000001E-2</v>
      </c>
      <c r="Z41" s="878">
        <v>2.5000000000000001E-2</v>
      </c>
      <c r="AA41" s="878">
        <v>2.5000000000000001E-2</v>
      </c>
      <c r="AB41" s="878">
        <v>2.5000000000000001E-2</v>
      </c>
      <c r="AC41" s="878">
        <v>2.7E-2</v>
      </c>
      <c r="AD41" s="878">
        <v>2.7E-2</v>
      </c>
      <c r="AE41" s="878">
        <v>2.9000000000000001E-2</v>
      </c>
      <c r="AF41" s="878">
        <v>2.9000000000000001E-2</v>
      </c>
      <c r="AG41" s="878">
        <v>3.1E-2</v>
      </c>
      <c r="AH41" s="878">
        <v>3.1E-2</v>
      </c>
      <c r="AI41" s="878">
        <v>3.1E-2</v>
      </c>
      <c r="AJ41" s="878">
        <v>3.1E-2</v>
      </c>
      <c r="AK41" s="878">
        <v>2.9000000000000001E-2</v>
      </c>
      <c r="AL41" s="878">
        <v>2.9000000000000001E-2</v>
      </c>
      <c r="AM41" s="878">
        <v>2.9000000000000001E-2</v>
      </c>
      <c r="AN41" s="878">
        <v>2.9000000000000001E-2</v>
      </c>
      <c r="AO41" s="878">
        <v>2.7E-2</v>
      </c>
      <c r="AP41" s="878">
        <v>2.7E-2</v>
      </c>
      <c r="AQ41" s="878">
        <v>2.4E-2</v>
      </c>
      <c r="AR41" s="878">
        <v>2.4E-2</v>
      </c>
      <c r="AS41" s="878">
        <v>2.1000000000000001E-2</v>
      </c>
      <c r="AT41" s="878">
        <v>2.1000000000000001E-2</v>
      </c>
      <c r="AU41" s="878">
        <v>1.7999999999999999E-2</v>
      </c>
      <c r="AV41" s="878">
        <v>1.7999999999999999E-2</v>
      </c>
      <c r="AW41" s="878">
        <v>1.6E-2</v>
      </c>
      <c r="AX41" s="878">
        <v>1.6E-2</v>
      </c>
      <c r="AY41" s="878">
        <v>1.2999999999999999E-2</v>
      </c>
      <c r="AZ41" s="878">
        <v>1.0999999999999455E-2</v>
      </c>
      <c r="BA41" s="879">
        <v>1</v>
      </c>
    </row>
  </sheetData>
  <mergeCells count="3">
    <mergeCell ref="C2:E2"/>
    <mergeCell ref="C3:E3"/>
    <mergeCell ref="C4:C5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4</vt:i4>
      </vt:variant>
    </vt:vector>
  </HeadingPairs>
  <TitlesOfParts>
    <vt:vector size="12" baseType="lpstr">
      <vt:lpstr>분양개요</vt:lpstr>
      <vt:lpstr>사업수지표</vt:lpstr>
      <vt:lpstr>현금흐름표</vt:lpstr>
      <vt:lpstr>Exit 분양률</vt:lpstr>
      <vt:lpstr>자금판-HF</vt:lpstr>
      <vt:lpstr>할인분양 계산</vt:lpstr>
      <vt:lpstr>IRR 계산</vt:lpstr>
      <vt:lpstr>공정률</vt:lpstr>
      <vt:lpstr>분양개요!Print_Area</vt:lpstr>
      <vt:lpstr>사업수지표!Print_Area</vt:lpstr>
      <vt:lpstr>현금흐름표!Print_Area</vt:lpstr>
      <vt:lpstr>현금흐름표!Print_Titles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사업수지표 + Cash Flow</dc:title>
  <dc:creator>kait</dc:creator>
  <dc:description>이대로만 진행되라!!</dc:description>
  <cp:lastModifiedBy>User</cp:lastModifiedBy>
  <cp:lastPrinted>2025-11-17T02:06:02Z</cp:lastPrinted>
  <dcterms:created xsi:type="dcterms:W3CDTF">2004-04-06T08:32:41Z</dcterms:created>
  <dcterms:modified xsi:type="dcterms:W3CDTF">2026-03-23T01:25:38Z</dcterms:modified>
</cp:coreProperties>
</file>